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harshnigam/Downloads/"/>
    </mc:Choice>
  </mc:AlternateContent>
  <xr:revisionPtr revIDLastSave="0" documentId="13_ncr:20001_{AF18F716-2ED4-E945-9401-D7A76B36CB05}" xr6:coauthVersionLast="47" xr6:coauthVersionMax="47" xr10:uidLastSave="{00000000-0000-0000-0000-000000000000}"/>
  <bookViews>
    <workbookView xWindow="0" yWindow="620" windowWidth="28800" windowHeight="17400" activeTab="1" xr2:uid="{00000000-000D-0000-FFFF-FFFF00000000}"/>
  </bookViews>
  <sheets>
    <sheet name="README" sheetId="1" r:id="rId1"/>
    <sheet name="Mapping" sheetId="2" r:id="rId2"/>
    <sheet name="Summary" sheetId="3" r:id="rId3"/>
    <sheet name="NIST_AI_RMF_Index" sheetId="4" r:id="rId4"/>
    <sheet name="ISO_42001_Index" sheetId="5" r:id="rId5"/>
    <sheet name="Evidence_Library" sheetId="7" r:id="rId6"/>
    <sheet name="Maturity_Rubric" sheetId="8" r:id="rId7"/>
    <sheet name="Dropdowns" sheetId="9" r:id="rId8"/>
    <sheet name="Assessment_Dashboard" sheetId="10"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0" l="1"/>
  <c r="I15" i="10"/>
  <c r="H15" i="10"/>
  <c r="G15" i="10"/>
  <c r="F15" i="10"/>
  <c r="E15" i="10"/>
  <c r="I14" i="10"/>
  <c r="H14" i="10"/>
  <c r="G14" i="10"/>
  <c r="F14" i="10"/>
  <c r="E14" i="10"/>
  <c r="I13" i="10"/>
  <c r="H13" i="10"/>
  <c r="G13" i="10"/>
  <c r="F13" i="10"/>
  <c r="E13" i="10"/>
  <c r="B13" i="10"/>
  <c r="I12" i="10"/>
  <c r="H12" i="10"/>
  <c r="G12" i="10"/>
  <c r="F12" i="10"/>
  <c r="E12" i="10"/>
  <c r="B12" i="10"/>
  <c r="I11" i="10"/>
  <c r="H11" i="10"/>
  <c r="G11" i="10"/>
  <c r="F11" i="10"/>
  <c r="E11" i="10"/>
  <c r="B11" i="10"/>
  <c r="I10" i="10"/>
  <c r="H10" i="10"/>
  <c r="G10" i="10"/>
  <c r="F10" i="10"/>
  <c r="E10" i="10"/>
  <c r="B10" i="10"/>
  <c r="I9" i="10"/>
  <c r="H9" i="10"/>
  <c r="G9" i="10"/>
  <c r="F9" i="10"/>
  <c r="E9" i="10"/>
  <c r="B9" i="10"/>
  <c r="I8" i="10"/>
  <c r="H8" i="10"/>
  <c r="G8" i="10"/>
  <c r="F8" i="10"/>
  <c r="E8" i="10"/>
  <c r="B8" i="10"/>
  <c r="I7" i="10"/>
  <c r="H7" i="10"/>
  <c r="G7" i="10"/>
  <c r="F7" i="10"/>
  <c r="E7" i="10"/>
  <c r="B7" i="10"/>
  <c r="I6" i="10"/>
  <c r="H6" i="10"/>
  <c r="G6" i="10"/>
  <c r="F6" i="10"/>
  <c r="E6" i="10"/>
  <c r="B6" i="10"/>
  <c r="I5" i="10"/>
  <c r="H5" i="10"/>
  <c r="G5" i="10"/>
  <c r="F5" i="10"/>
  <c r="E5" i="10"/>
  <c r="B5" i="10"/>
  <c r="I4" i="10"/>
  <c r="H4" i="10"/>
  <c r="G4" i="10"/>
  <c r="F4" i="10"/>
  <c r="E4" i="10"/>
  <c r="B4" i="10"/>
  <c r="AH121" i="2"/>
  <c r="AG121" i="2"/>
  <c r="AD121" i="2"/>
  <c r="AC121" i="2"/>
  <c r="AB121" i="2"/>
  <c r="AA121" i="2"/>
  <c r="Z121" i="2"/>
  <c r="AH120" i="2"/>
  <c r="AG120" i="2"/>
  <c r="AD120" i="2"/>
  <c r="AC120" i="2"/>
  <c r="AB120" i="2"/>
  <c r="AA120" i="2"/>
  <c r="Z120" i="2"/>
  <c r="AH119" i="2"/>
  <c r="AG119" i="2"/>
  <c r="AD119" i="2"/>
  <c r="AC119" i="2"/>
  <c r="AB119" i="2"/>
  <c r="AA119" i="2"/>
  <c r="Z119" i="2"/>
  <c r="AH118" i="2"/>
  <c r="AG118" i="2"/>
  <c r="AD118" i="2"/>
  <c r="AC118" i="2"/>
  <c r="AB118" i="2"/>
  <c r="AA118" i="2"/>
  <c r="Z118" i="2"/>
  <c r="AH117" i="2"/>
  <c r="AG117" i="2"/>
  <c r="AD117" i="2"/>
  <c r="AC117" i="2"/>
  <c r="AB117" i="2"/>
  <c r="AA117" i="2"/>
  <c r="Z117" i="2"/>
  <c r="AH116" i="2"/>
  <c r="AG116" i="2"/>
  <c r="AD116" i="2"/>
  <c r="AC116" i="2"/>
  <c r="AB116" i="2"/>
  <c r="AA116" i="2"/>
  <c r="Z116" i="2"/>
  <c r="AH115" i="2"/>
  <c r="AG115" i="2"/>
  <c r="AD115" i="2"/>
  <c r="AC115" i="2"/>
  <c r="AB115" i="2"/>
  <c r="AA115" i="2"/>
  <c r="Z115" i="2"/>
  <c r="AH114" i="2"/>
  <c r="AG114" i="2"/>
  <c r="AD114" i="2"/>
  <c r="AC114" i="2"/>
  <c r="AB114" i="2"/>
  <c r="AA114" i="2"/>
  <c r="Z114" i="2"/>
  <c r="AH113" i="2"/>
  <c r="AG113" i="2"/>
  <c r="AD113" i="2"/>
  <c r="AC113" i="2"/>
  <c r="AB113" i="2"/>
  <c r="AA113" i="2"/>
  <c r="Z113" i="2"/>
  <c r="AH112" i="2"/>
  <c r="AG112" i="2"/>
  <c r="AD112" i="2"/>
  <c r="AC112" i="2"/>
  <c r="AB112" i="2"/>
  <c r="AA112" i="2"/>
  <c r="Z112" i="2"/>
  <c r="AH111" i="2"/>
  <c r="AG111" i="2"/>
  <c r="AD111" i="2"/>
  <c r="AC111" i="2"/>
  <c r="AB111" i="2"/>
  <c r="AA111" i="2"/>
  <c r="Z111" i="2"/>
  <c r="AH110" i="2"/>
  <c r="AG110" i="2"/>
  <c r="AD110" i="2"/>
  <c r="AC110" i="2"/>
  <c r="AB110" i="2"/>
  <c r="AA110" i="2"/>
  <c r="Z110" i="2"/>
  <c r="AH109" i="2"/>
  <c r="AG109" i="2"/>
  <c r="AD109" i="2"/>
  <c r="AC109" i="2"/>
  <c r="AB109" i="2"/>
  <c r="AA109" i="2"/>
  <c r="Z109" i="2"/>
  <c r="AH108" i="2"/>
  <c r="AG108" i="2"/>
  <c r="AD108" i="2"/>
  <c r="AC108" i="2"/>
  <c r="AB108" i="2"/>
  <c r="AA108" i="2"/>
  <c r="Z108" i="2"/>
  <c r="AH107" i="2"/>
  <c r="AG107" i="2"/>
  <c r="AD107" i="2"/>
  <c r="AC107" i="2"/>
  <c r="AB107" i="2"/>
  <c r="AA107" i="2"/>
  <c r="Z107" i="2"/>
  <c r="AH106" i="2"/>
  <c r="AG106" i="2"/>
  <c r="AD106" i="2"/>
  <c r="AC106" i="2"/>
  <c r="AB106" i="2"/>
  <c r="AA106" i="2"/>
  <c r="Z106" i="2"/>
  <c r="AH105" i="2"/>
  <c r="AG105" i="2"/>
  <c r="AD105" i="2"/>
  <c r="AC105" i="2"/>
  <c r="AB105" i="2"/>
  <c r="AA105" i="2"/>
  <c r="Z105" i="2"/>
  <c r="AH104" i="2"/>
  <c r="AG104" i="2"/>
  <c r="AD104" i="2"/>
  <c r="AC104" i="2"/>
  <c r="AB104" i="2"/>
  <c r="AA104" i="2"/>
  <c r="Z104" i="2"/>
  <c r="AH103" i="2"/>
  <c r="AG103" i="2"/>
  <c r="AD103" i="2"/>
  <c r="AC103" i="2"/>
  <c r="AB103" i="2"/>
  <c r="AA103" i="2"/>
  <c r="Z103" i="2"/>
  <c r="AH102" i="2"/>
  <c r="AG102" i="2"/>
  <c r="AD102" i="2"/>
  <c r="AC102" i="2"/>
  <c r="AB102" i="2"/>
  <c r="AA102" i="2"/>
  <c r="Z102" i="2"/>
  <c r="AH101" i="2"/>
  <c r="AG101" i="2"/>
  <c r="AD101" i="2"/>
  <c r="AC101" i="2"/>
  <c r="AB101" i="2"/>
  <c r="AA101" i="2"/>
  <c r="Z101" i="2"/>
  <c r="AH100" i="2"/>
  <c r="AG100" i="2"/>
  <c r="AD100" i="2"/>
  <c r="AC100" i="2"/>
  <c r="AB100" i="2"/>
  <c r="AA100" i="2"/>
  <c r="Z100" i="2"/>
  <c r="AH99" i="2"/>
  <c r="AG99" i="2"/>
  <c r="AD99" i="2"/>
  <c r="AC99" i="2"/>
  <c r="AB99" i="2"/>
  <c r="AA99" i="2"/>
  <c r="Z99" i="2"/>
  <c r="AH98" i="2"/>
  <c r="AG98" i="2"/>
  <c r="AD98" i="2"/>
  <c r="AC98" i="2"/>
  <c r="AB98" i="2"/>
  <c r="AA98" i="2"/>
  <c r="Z98" i="2"/>
  <c r="AH97" i="2"/>
  <c r="AG97" i="2"/>
  <c r="AD97" i="2"/>
  <c r="AC97" i="2"/>
  <c r="AB97" i="2"/>
  <c r="AA97" i="2"/>
  <c r="Z97" i="2"/>
  <c r="AH96" i="2"/>
  <c r="AG96" i="2"/>
  <c r="AD96" i="2"/>
  <c r="AC96" i="2"/>
  <c r="AB96" i="2"/>
  <c r="AA96" i="2"/>
  <c r="Z96" i="2"/>
  <c r="AH95" i="2"/>
  <c r="AG95" i="2"/>
  <c r="AD95" i="2"/>
  <c r="AC95" i="2"/>
  <c r="AB95" i="2"/>
  <c r="AA95" i="2"/>
  <c r="Z95" i="2"/>
  <c r="AH94" i="2"/>
  <c r="AG94" i="2"/>
  <c r="AD94" i="2"/>
  <c r="AC94" i="2"/>
  <c r="AB94" i="2"/>
  <c r="AA94" i="2"/>
  <c r="Z94" i="2"/>
  <c r="AH93" i="2"/>
  <c r="AG93" i="2"/>
  <c r="AD93" i="2"/>
  <c r="AC93" i="2"/>
  <c r="AB93" i="2"/>
  <c r="AA93" i="2"/>
  <c r="Z93" i="2"/>
  <c r="AH92" i="2"/>
  <c r="AG92" i="2"/>
  <c r="AD92" i="2"/>
  <c r="AC92" i="2"/>
  <c r="AB92" i="2"/>
  <c r="AA92" i="2"/>
  <c r="Z92" i="2"/>
  <c r="AH91" i="2"/>
  <c r="AG91" i="2"/>
  <c r="AD91" i="2"/>
  <c r="AC91" i="2"/>
  <c r="AB91" i="2"/>
  <c r="AA91" i="2"/>
  <c r="Z91" i="2"/>
  <c r="AH90" i="2"/>
  <c r="AG90" i="2"/>
  <c r="AD90" i="2"/>
  <c r="AC90" i="2"/>
  <c r="AB90" i="2"/>
  <c r="AA90" i="2"/>
  <c r="Z90" i="2"/>
  <c r="AH89" i="2"/>
  <c r="AG89" i="2"/>
  <c r="AD89" i="2"/>
  <c r="AC89" i="2"/>
  <c r="AB89" i="2"/>
  <c r="AA89" i="2"/>
  <c r="Z89" i="2"/>
  <c r="AH88" i="2"/>
  <c r="AG88" i="2"/>
  <c r="AD88" i="2"/>
  <c r="AC88" i="2"/>
  <c r="AB88" i="2"/>
  <c r="AA88" i="2"/>
  <c r="Z88" i="2"/>
  <c r="AH87" i="2"/>
  <c r="AG87" i="2"/>
  <c r="AD87" i="2"/>
  <c r="AC87" i="2"/>
  <c r="AB87" i="2"/>
  <c r="AA87" i="2"/>
  <c r="Z87" i="2"/>
  <c r="AH86" i="2"/>
  <c r="AG86" i="2"/>
  <c r="AD86" i="2"/>
  <c r="AC86" i="2"/>
  <c r="AB86" i="2"/>
  <c r="AA86" i="2"/>
  <c r="Z86" i="2"/>
  <c r="AH85" i="2"/>
  <c r="AG85" i="2"/>
  <c r="AD85" i="2"/>
  <c r="AC85" i="2"/>
  <c r="AB85" i="2"/>
  <c r="AA85" i="2"/>
  <c r="Z85" i="2"/>
  <c r="AH84" i="2"/>
  <c r="AG84" i="2"/>
  <c r="AD84" i="2"/>
  <c r="AC84" i="2"/>
  <c r="AB84" i="2"/>
  <c r="AA84" i="2"/>
  <c r="Z84" i="2"/>
  <c r="AH83" i="2"/>
  <c r="AG83" i="2"/>
  <c r="AD83" i="2"/>
  <c r="AC83" i="2"/>
  <c r="AB83" i="2"/>
  <c r="AA83" i="2"/>
  <c r="Z83" i="2"/>
  <c r="AH82" i="2"/>
  <c r="AG82" i="2"/>
  <c r="AD82" i="2"/>
  <c r="AC82" i="2"/>
  <c r="AB82" i="2"/>
  <c r="AA82" i="2"/>
  <c r="Z82" i="2"/>
  <c r="AH81" i="2"/>
  <c r="AG81" i="2"/>
  <c r="AD81" i="2"/>
  <c r="AC81" i="2"/>
  <c r="AB81" i="2"/>
  <c r="AA81" i="2"/>
  <c r="Z81" i="2"/>
  <c r="AH80" i="2"/>
  <c r="AG80" i="2"/>
  <c r="AD80" i="2"/>
  <c r="AC80" i="2"/>
  <c r="AB80" i="2"/>
  <c r="AA80" i="2"/>
  <c r="Z80" i="2"/>
  <c r="AH79" i="2"/>
  <c r="AG79" i="2"/>
  <c r="AD79" i="2"/>
  <c r="AC79" i="2"/>
  <c r="AB79" i="2"/>
  <c r="AA79" i="2"/>
  <c r="Z79" i="2"/>
  <c r="AH78" i="2"/>
  <c r="AG78" i="2"/>
  <c r="AD78" i="2"/>
  <c r="AC78" i="2"/>
  <c r="AB78" i="2"/>
  <c r="AA78" i="2"/>
  <c r="Z78" i="2"/>
  <c r="AH77" i="2"/>
  <c r="AG77" i="2"/>
  <c r="AD77" i="2"/>
  <c r="AC77" i="2"/>
  <c r="AB77" i="2"/>
  <c r="AA77" i="2"/>
  <c r="Z77" i="2"/>
  <c r="AH76" i="2"/>
  <c r="AG76" i="2"/>
  <c r="AD76" i="2"/>
  <c r="AC76" i="2"/>
  <c r="AB76" i="2"/>
  <c r="AA76" i="2"/>
  <c r="Z76" i="2"/>
  <c r="AH75" i="2"/>
  <c r="AG75" i="2"/>
  <c r="AD75" i="2"/>
  <c r="AC75" i="2"/>
  <c r="AB75" i="2"/>
  <c r="AA75" i="2"/>
  <c r="Z75" i="2"/>
  <c r="AH74" i="2"/>
  <c r="AG74" i="2"/>
  <c r="AD74" i="2"/>
  <c r="AC74" i="2"/>
  <c r="AB74" i="2"/>
  <c r="AA74" i="2"/>
  <c r="Z74" i="2"/>
  <c r="AH73" i="2"/>
  <c r="AG73" i="2"/>
  <c r="AD73" i="2"/>
  <c r="AC73" i="2"/>
  <c r="AB73" i="2"/>
  <c r="AA73" i="2"/>
  <c r="Z73" i="2"/>
  <c r="AH72" i="2"/>
  <c r="AG72" i="2"/>
  <c r="AD72" i="2"/>
  <c r="AC72" i="2"/>
  <c r="AB72" i="2"/>
  <c r="AA72" i="2"/>
  <c r="Z72" i="2"/>
  <c r="AH71" i="2"/>
  <c r="AG71" i="2"/>
  <c r="AD71" i="2"/>
  <c r="AC71" i="2"/>
  <c r="AB71" i="2"/>
  <c r="AA71" i="2"/>
  <c r="Z71" i="2"/>
  <c r="AH70" i="2"/>
  <c r="AG70" i="2"/>
  <c r="AD70" i="2"/>
  <c r="AC70" i="2"/>
  <c r="AB70" i="2"/>
  <c r="AA70" i="2"/>
  <c r="Z70" i="2"/>
  <c r="AH69" i="2"/>
  <c r="AG69" i="2"/>
  <c r="AD69" i="2"/>
  <c r="AC69" i="2"/>
  <c r="AB69" i="2"/>
  <c r="AA69" i="2"/>
  <c r="Z69" i="2"/>
  <c r="AH68" i="2"/>
  <c r="AG68" i="2"/>
  <c r="AD68" i="2"/>
  <c r="AC68" i="2"/>
  <c r="AB68" i="2"/>
  <c r="AA68" i="2"/>
  <c r="Z68" i="2"/>
  <c r="AH67" i="2"/>
  <c r="AG67" i="2"/>
  <c r="AD67" i="2"/>
  <c r="AC67" i="2"/>
  <c r="AB67" i="2"/>
  <c r="AA67" i="2"/>
  <c r="Z67" i="2"/>
  <c r="AH66" i="2"/>
  <c r="AG66" i="2"/>
  <c r="AD66" i="2"/>
  <c r="AC66" i="2"/>
  <c r="AB66" i="2"/>
  <c r="AA66" i="2"/>
  <c r="Z66" i="2"/>
  <c r="AH65" i="2"/>
  <c r="AG65" i="2"/>
  <c r="AD65" i="2"/>
  <c r="AC65" i="2"/>
  <c r="AB65" i="2"/>
  <c r="AA65" i="2"/>
  <c r="Z65" i="2"/>
  <c r="AH64" i="2"/>
  <c r="AG64" i="2"/>
  <c r="AD64" i="2"/>
  <c r="AC64" i="2"/>
  <c r="AB64" i="2"/>
  <c r="AA64" i="2"/>
  <c r="Z64" i="2"/>
  <c r="AH63" i="2"/>
  <c r="AG63" i="2"/>
  <c r="AD63" i="2"/>
  <c r="AC63" i="2"/>
  <c r="AB63" i="2"/>
  <c r="AA63" i="2"/>
  <c r="Z63" i="2"/>
  <c r="AH62" i="2"/>
  <c r="AG62" i="2"/>
  <c r="AD62" i="2"/>
  <c r="AC62" i="2"/>
  <c r="AB62" i="2"/>
  <c r="AA62" i="2"/>
  <c r="Z62" i="2"/>
  <c r="AH61" i="2"/>
  <c r="AG61" i="2"/>
  <c r="AD61" i="2"/>
  <c r="AC61" i="2"/>
  <c r="AB61" i="2"/>
  <c r="AA61" i="2"/>
  <c r="Z61" i="2"/>
  <c r="AH60" i="2"/>
  <c r="AG60" i="2"/>
  <c r="AD60" i="2"/>
  <c r="AC60" i="2"/>
  <c r="AB60" i="2"/>
  <c r="AA60" i="2"/>
  <c r="Z60" i="2"/>
  <c r="AH59" i="2"/>
  <c r="AG59" i="2"/>
  <c r="AD59" i="2"/>
  <c r="AC59" i="2"/>
  <c r="AB59" i="2"/>
  <c r="AA59" i="2"/>
  <c r="Z59" i="2"/>
  <c r="AH58" i="2"/>
  <c r="AG58" i="2"/>
  <c r="AD58" i="2"/>
  <c r="AC58" i="2"/>
  <c r="AB58" i="2"/>
  <c r="AA58" i="2"/>
  <c r="Z58" i="2"/>
  <c r="AH57" i="2"/>
  <c r="AG57" i="2"/>
  <c r="AD57" i="2"/>
  <c r="AC57" i="2"/>
  <c r="AB57" i="2"/>
  <c r="AA57" i="2"/>
  <c r="Z57" i="2"/>
  <c r="AH56" i="2"/>
  <c r="AG56" i="2"/>
  <c r="AD56" i="2"/>
  <c r="AC56" i="2"/>
  <c r="AB56" i="2"/>
  <c r="AA56" i="2"/>
  <c r="Z56" i="2"/>
  <c r="AH55" i="2"/>
  <c r="AG55" i="2"/>
  <c r="AD55" i="2"/>
  <c r="AC55" i="2"/>
  <c r="AB55" i="2"/>
  <c r="AA55" i="2"/>
  <c r="Z55" i="2"/>
  <c r="AH54" i="2"/>
  <c r="AG54" i="2"/>
  <c r="AD54" i="2"/>
  <c r="AC54" i="2"/>
  <c r="AB54" i="2"/>
  <c r="AA54" i="2"/>
  <c r="Z54" i="2"/>
  <c r="AH53" i="2"/>
  <c r="AG53" i="2"/>
  <c r="AD53" i="2"/>
  <c r="AC53" i="2"/>
  <c r="AB53" i="2"/>
  <c r="AA53" i="2"/>
  <c r="Z53" i="2"/>
  <c r="AH52" i="2"/>
  <c r="AG52" i="2"/>
  <c r="AD52" i="2"/>
  <c r="AC52" i="2"/>
  <c r="AB52" i="2"/>
  <c r="AA52" i="2"/>
  <c r="Z52" i="2"/>
  <c r="AH51" i="2"/>
  <c r="AG51" i="2"/>
  <c r="AD51" i="2"/>
  <c r="AC51" i="2"/>
  <c r="AB51" i="2"/>
  <c r="AA51" i="2"/>
  <c r="Z51" i="2"/>
  <c r="AH50" i="2"/>
  <c r="AG50" i="2"/>
  <c r="AD50" i="2"/>
  <c r="AC50" i="2"/>
  <c r="AB50" i="2"/>
  <c r="AA50" i="2"/>
  <c r="Z50" i="2"/>
  <c r="AH49" i="2"/>
  <c r="AG49" i="2"/>
  <c r="AD49" i="2"/>
  <c r="AC49" i="2"/>
  <c r="AB49" i="2"/>
  <c r="AA49" i="2"/>
  <c r="Z49" i="2"/>
  <c r="AH48" i="2"/>
  <c r="AG48" i="2"/>
  <c r="AD48" i="2"/>
  <c r="AC48" i="2"/>
  <c r="AB48" i="2"/>
  <c r="AA48" i="2"/>
  <c r="Z48" i="2"/>
  <c r="AH47" i="2"/>
  <c r="AG47" i="2"/>
  <c r="AD47" i="2"/>
  <c r="AC47" i="2"/>
  <c r="AB47" i="2"/>
  <c r="AA47" i="2"/>
  <c r="Z47" i="2"/>
  <c r="AH46" i="2"/>
  <c r="AG46" i="2"/>
  <c r="AD46" i="2"/>
  <c r="AC46" i="2"/>
  <c r="AB46" i="2"/>
  <c r="AA46" i="2"/>
  <c r="Z46" i="2"/>
  <c r="AH45" i="2"/>
  <c r="AG45" i="2"/>
  <c r="AD45" i="2"/>
  <c r="AC45" i="2"/>
  <c r="AB45" i="2"/>
  <c r="AA45" i="2"/>
  <c r="Z45" i="2"/>
  <c r="AH44" i="2"/>
  <c r="AG44" i="2"/>
  <c r="AD44" i="2"/>
  <c r="AC44" i="2"/>
  <c r="AB44" i="2"/>
  <c r="AA44" i="2"/>
  <c r="Z44" i="2"/>
  <c r="AH43" i="2"/>
  <c r="AG43" i="2"/>
  <c r="AD43" i="2"/>
  <c r="AC43" i="2"/>
  <c r="AB43" i="2"/>
  <c r="AA43" i="2"/>
  <c r="Z43" i="2"/>
  <c r="AH42" i="2"/>
  <c r="AG42" i="2"/>
  <c r="AD42" i="2"/>
  <c r="AC42" i="2"/>
  <c r="AB42" i="2"/>
  <c r="AA42" i="2"/>
  <c r="Z42" i="2"/>
  <c r="AH41" i="2"/>
  <c r="AG41" i="2"/>
  <c r="AD41" i="2"/>
  <c r="AC41" i="2"/>
  <c r="AB41" i="2"/>
  <c r="AA41" i="2"/>
  <c r="Z41" i="2"/>
  <c r="AH40" i="2"/>
  <c r="AG40" i="2"/>
  <c r="AD40" i="2"/>
  <c r="AC40" i="2"/>
  <c r="AB40" i="2"/>
  <c r="AA40" i="2"/>
  <c r="Z40" i="2"/>
  <c r="AH39" i="2"/>
  <c r="AG39" i="2"/>
  <c r="AD39" i="2"/>
  <c r="AC39" i="2"/>
  <c r="AB39" i="2"/>
  <c r="AA39" i="2"/>
  <c r="Z39" i="2"/>
  <c r="AH38" i="2"/>
  <c r="AG38" i="2"/>
  <c r="AD38" i="2"/>
  <c r="AC38" i="2"/>
  <c r="AB38" i="2"/>
  <c r="AA38" i="2"/>
  <c r="Z38" i="2"/>
  <c r="AH37" i="2"/>
  <c r="AG37" i="2"/>
  <c r="AD37" i="2"/>
  <c r="AC37" i="2"/>
  <c r="AB37" i="2"/>
  <c r="AA37" i="2"/>
  <c r="Z37" i="2"/>
  <c r="AH36" i="2"/>
  <c r="AG36" i="2"/>
  <c r="AD36" i="2"/>
  <c r="AC36" i="2"/>
  <c r="AB36" i="2"/>
  <c r="AA36" i="2"/>
  <c r="Z36" i="2"/>
  <c r="AH35" i="2"/>
  <c r="AG35" i="2"/>
  <c r="AD35" i="2"/>
  <c r="AC35" i="2"/>
  <c r="AB35" i="2"/>
  <c r="AA35" i="2"/>
  <c r="Z35" i="2"/>
  <c r="AH34" i="2"/>
  <c r="AG34" i="2"/>
  <c r="AD34" i="2"/>
  <c r="AC34" i="2"/>
  <c r="AB34" i="2"/>
  <c r="AA34" i="2"/>
  <c r="Z34" i="2"/>
  <c r="AH33" i="2"/>
  <c r="AG33" i="2"/>
  <c r="AD33" i="2"/>
  <c r="AC33" i="2"/>
  <c r="AB33" i="2"/>
  <c r="AA33" i="2"/>
  <c r="Z33" i="2"/>
  <c r="AH32" i="2"/>
  <c r="AG32" i="2"/>
  <c r="AD32" i="2"/>
  <c r="AC32" i="2"/>
  <c r="AB32" i="2"/>
  <c r="AA32" i="2"/>
  <c r="Z32" i="2"/>
  <c r="AH31" i="2"/>
  <c r="AG31" i="2"/>
  <c r="AD31" i="2"/>
  <c r="AC31" i="2"/>
  <c r="AB31" i="2"/>
  <c r="AA31" i="2"/>
  <c r="Z31" i="2"/>
  <c r="AH30" i="2"/>
  <c r="AG30" i="2"/>
  <c r="AD30" i="2"/>
  <c r="AC30" i="2"/>
  <c r="AB30" i="2"/>
  <c r="AA30" i="2"/>
  <c r="Z30" i="2"/>
  <c r="AH29" i="2"/>
  <c r="AG29" i="2"/>
  <c r="AD29" i="2"/>
  <c r="AC29" i="2"/>
  <c r="AB29" i="2"/>
  <c r="AA29" i="2"/>
  <c r="Z29" i="2"/>
  <c r="AH28" i="2"/>
  <c r="AG28" i="2"/>
  <c r="AD28" i="2"/>
  <c r="AC28" i="2"/>
  <c r="AB28" i="2"/>
  <c r="AA28" i="2"/>
  <c r="Z28" i="2"/>
  <c r="AH27" i="2"/>
  <c r="AG27" i="2"/>
  <c r="AD27" i="2"/>
  <c r="AC27" i="2"/>
  <c r="AB27" i="2"/>
  <c r="AA27" i="2"/>
  <c r="Z27" i="2"/>
  <c r="AH26" i="2"/>
  <c r="AG26" i="2"/>
  <c r="AD26" i="2"/>
  <c r="AC26" i="2"/>
  <c r="AB26" i="2"/>
  <c r="AA26" i="2"/>
  <c r="Z26" i="2"/>
  <c r="AH25" i="2"/>
  <c r="AG25" i="2"/>
  <c r="AD25" i="2"/>
  <c r="AC25" i="2"/>
  <c r="AB25" i="2"/>
  <c r="AA25" i="2"/>
  <c r="Z25" i="2"/>
  <c r="AH24" i="2"/>
  <c r="AG24" i="2"/>
  <c r="AD24" i="2"/>
  <c r="AC24" i="2"/>
  <c r="AB24" i="2"/>
  <c r="AA24" i="2"/>
  <c r="Z24" i="2"/>
  <c r="AH23" i="2"/>
  <c r="AG23" i="2"/>
  <c r="AD23" i="2"/>
  <c r="AC23" i="2"/>
  <c r="AB23" i="2"/>
  <c r="AA23" i="2"/>
  <c r="Z23" i="2"/>
  <c r="AH22" i="2"/>
  <c r="AG22" i="2"/>
  <c r="AD22" i="2"/>
  <c r="AC22" i="2"/>
  <c r="AB22" i="2"/>
  <c r="AA22" i="2"/>
  <c r="Z22" i="2"/>
  <c r="AH21" i="2"/>
  <c r="AG21" i="2"/>
  <c r="AD21" i="2"/>
  <c r="AC21" i="2"/>
  <c r="AB21" i="2"/>
  <c r="AA21" i="2"/>
  <c r="Z21" i="2"/>
  <c r="AH20" i="2"/>
  <c r="AG20" i="2"/>
  <c r="AD20" i="2"/>
  <c r="AC20" i="2"/>
  <c r="AB20" i="2"/>
  <c r="AA20" i="2"/>
  <c r="Z20" i="2"/>
  <c r="AH19" i="2"/>
  <c r="AG19" i="2"/>
  <c r="AD19" i="2"/>
  <c r="AC19" i="2"/>
  <c r="AB19" i="2"/>
  <c r="AA19" i="2"/>
  <c r="Z19" i="2"/>
  <c r="AH18" i="2"/>
  <c r="AG18" i="2"/>
  <c r="AD18" i="2"/>
  <c r="AC18" i="2"/>
  <c r="AB18" i="2"/>
  <c r="AA18" i="2"/>
  <c r="Z18" i="2"/>
  <c r="AH17" i="2"/>
  <c r="AG17" i="2"/>
  <c r="AD17" i="2"/>
  <c r="AC17" i="2"/>
  <c r="AB17" i="2"/>
  <c r="AA17" i="2"/>
  <c r="Z17" i="2"/>
  <c r="AH16" i="2"/>
  <c r="AG16" i="2"/>
  <c r="AD16" i="2"/>
  <c r="AC16" i="2"/>
  <c r="AB16" i="2"/>
  <c r="AA16" i="2"/>
  <c r="Z16" i="2"/>
  <c r="AH15" i="2"/>
  <c r="AG15" i="2"/>
  <c r="AD15" i="2"/>
  <c r="AC15" i="2"/>
  <c r="AB15" i="2"/>
  <c r="AA15" i="2"/>
  <c r="Z15" i="2"/>
  <c r="AH14" i="2"/>
  <c r="AG14" i="2"/>
  <c r="AD14" i="2"/>
  <c r="AC14" i="2"/>
  <c r="AB14" i="2"/>
  <c r="AA14" i="2"/>
  <c r="Z14" i="2"/>
  <c r="AH13" i="2"/>
  <c r="AG13" i="2"/>
  <c r="AD13" i="2"/>
  <c r="AC13" i="2"/>
  <c r="AB13" i="2"/>
  <c r="AA13" i="2"/>
  <c r="Z13" i="2"/>
  <c r="AH12" i="2"/>
  <c r="AG12" i="2"/>
  <c r="AD12" i="2"/>
  <c r="AC12" i="2"/>
  <c r="AB12" i="2"/>
  <c r="AA12" i="2"/>
  <c r="Z12" i="2"/>
  <c r="AH11" i="2"/>
  <c r="AG11" i="2"/>
  <c r="AD11" i="2"/>
  <c r="AC11" i="2"/>
  <c r="AB11" i="2"/>
  <c r="AA11" i="2"/>
  <c r="Z11" i="2"/>
  <c r="AH10" i="2"/>
  <c r="AG10" i="2"/>
  <c r="AD10" i="2"/>
  <c r="AC10" i="2"/>
  <c r="AB10" i="2"/>
  <c r="AA10" i="2"/>
  <c r="Z10" i="2"/>
  <c r="AH9" i="2"/>
  <c r="AG9" i="2"/>
  <c r="AD9" i="2"/>
  <c r="AC9" i="2"/>
  <c r="AB9" i="2"/>
  <c r="AA9" i="2"/>
  <c r="Z9" i="2"/>
  <c r="AH8" i="2"/>
  <c r="AG8" i="2"/>
  <c r="AD8" i="2"/>
  <c r="AC8" i="2"/>
  <c r="AB8" i="2"/>
  <c r="AA8" i="2"/>
  <c r="Z8" i="2"/>
  <c r="AH7" i="2"/>
  <c r="AG7" i="2"/>
  <c r="AD7" i="2"/>
  <c r="AC7" i="2"/>
  <c r="AB7" i="2"/>
  <c r="AA7" i="2"/>
  <c r="Z7" i="2"/>
  <c r="AH6" i="2"/>
  <c r="AG6" i="2"/>
  <c r="AD6" i="2"/>
  <c r="AC6" i="2"/>
  <c r="AB6" i="2"/>
  <c r="AA6" i="2"/>
  <c r="Z6" i="2"/>
  <c r="AH5" i="2"/>
  <c r="AG5" i="2"/>
  <c r="AD5" i="2"/>
  <c r="AC5" i="2"/>
  <c r="AB5" i="2"/>
  <c r="AA5" i="2"/>
  <c r="Z5" i="2"/>
  <c r="AH4" i="2"/>
  <c r="AG4" i="2"/>
  <c r="AD4" i="2"/>
  <c r="AC4" i="2"/>
  <c r="AB4" i="2"/>
  <c r="AA4" i="2"/>
  <c r="Z4" i="2"/>
  <c r="AH3" i="2"/>
  <c r="AG3" i="2"/>
  <c r="AD3" i="2"/>
  <c r="AC3" i="2"/>
  <c r="AB3" i="2"/>
  <c r="AA3" i="2"/>
  <c r="Z3" i="2"/>
  <c r="AH2" i="2"/>
  <c r="AG2" i="2"/>
  <c r="AD2" i="2"/>
  <c r="AC2" i="2"/>
  <c r="AB2" i="2"/>
  <c r="AA2" i="2"/>
  <c r="Z2" i="2"/>
</calcChain>
</file>

<file path=xl/sharedStrings.xml><?xml version="1.0" encoding="utf-8"?>
<sst xmlns="http://schemas.openxmlformats.org/spreadsheetml/2006/main" count="3526" uniqueCount="1280">
  <si>
    <t>CSA AISMM ↔ NIST AI RMF ↔ ISO/IEC 42001 Mapping Workbook</t>
  </si>
  <si>
    <t>Purpose</t>
  </si>
  <si>
    <t>A working crosswalk that maps CSA AI Security Maturity Model control objectives to NIST AI RMF functions/categories and ISO/IEC 42001 AIMS clauses / Annex A control objectives.</t>
  </si>
  <si>
    <t>How to use</t>
  </si>
  <si>
    <t>Filter the Mapping sheet by CSA domain, maturity level, deployment type, NIST function, or ISO clause/Annex area. Use the notes column to convert mappings into audit evidence and implementation backlog items.</t>
  </si>
  <si>
    <t>Mapping method</t>
  </si>
  <si>
    <t>Direct references from the AISMM External References column were prioritized. Where AISMM did not cite NIST/ISO explicitly, mappings were derived from the CSA domain/theme and control objective text.</t>
  </si>
  <si>
    <t>Key caveat</t>
  </si>
  <si>
    <t>This is an implementation crosswalk, not a formal certification equivalence statement. ISO/IEC 42001 certification requires conforming to the standard and audit evidence in your organizational context.</t>
  </si>
  <si>
    <t>Primary sources</t>
  </si>
  <si>
    <t>CSA AISMM page: https://cloudsecurityalliance.org/artifacts/ai-security-maturity-model</t>
  </si>
  <si>
    <t>NIST AI RMF page: https://www.nist.gov/itl/ai-risk-management-framework</t>
  </si>
  <si>
    <t>NIST AI RMF Core: https://airc.nist.gov/airmf-resources/airmf/5-sec-core/</t>
  </si>
  <si>
    <t>ISO/IEC 42001 page: https://www.iso.org/standard/42001</t>
  </si>
  <si>
    <t>Uploaded sources: AISMM_v3.7_20260507.xlsx, nist_ai_rmf_playbook.xlsx, ISO 42001 checklist PDF</t>
  </si>
  <si>
    <t>Update</t>
  </si>
  <si>
    <t>Added requested control-language columns.</t>
  </si>
  <si>
    <t>NIST Control Language</t>
  </si>
  <si>
    <t>Pulled from the uploaded NIST AI RMF Playbook spreadsheet: subcategory action guidance is displayed next to each NIST ID.</t>
  </si>
  <si>
    <t>ISO Control Language</t>
  </si>
  <si>
    <t>Pulled from the uploaded ISO 42001 checklist: clause and Annex A checklist criteria/summaries are displayed next to each ISO mapping.</t>
  </si>
  <si>
    <t>Caution</t>
  </si>
  <si>
    <t>The ISO language is checklist-based mapping support, not verbatim ISO standard text or certification advice.</t>
  </si>
  <si>
    <t>Assessment model added</t>
  </si>
  <si>
    <t>Columns S:AN on the Mapping sheet turn the crosswalk into an assessment worksheet.</t>
  </si>
  <si>
    <t>Maturity scoring</t>
  </si>
  <si>
    <t>Use 0-5 scale from the Maturity_Rubric sheet. Target score can be adjusted by risk tier or organization policy.</t>
  </si>
  <si>
    <t>Framework compliance</t>
  </si>
  <si>
    <t>CSA result compares current maturity to AISMM target level. NIST and ISO compliance require mapped control, score &gt;=3, and Validated evidence.</t>
  </si>
  <si>
    <t>Evidence guidance</t>
  </si>
  <si>
    <t>Suggested reference evidence and verification tests are populated from Evidence_Library by CSA prefix.</t>
  </si>
  <si>
    <t>Dashboard</t>
  </si>
  <si>
    <t>Assessment_Dashboard summarizes maturity, compliance, validated evidence, and open gaps.</t>
  </si>
  <si>
    <t>Source note</t>
  </si>
  <si>
    <t>ISO control language in this workbook is checklist-derived support language, not verbatim ISO standard text.</t>
  </si>
  <si>
    <t>Public references</t>
  </si>
  <si>
    <t>CSA AISMM artifact: https://cloudsecurityalliance.org/artifacts/ai-security-maturity-model ; NIST AI RMF Core: https://airc.nist.gov/airmf-resources/airmf/5-sec-core/ ; ISO overview: https://www.iso.org/obp/ui/en/</t>
  </si>
  <si>
    <t>CSA Domain</t>
  </si>
  <si>
    <t>CSA Control ID</t>
  </si>
  <si>
    <t>CSA Prefix</t>
  </si>
  <si>
    <t>Maturity Level</t>
  </si>
  <si>
    <t>CSA Control Objective</t>
  </si>
  <si>
    <t>CSA Control Description</t>
  </si>
  <si>
    <t>Automated or Manual</t>
  </si>
  <si>
    <t>Deployment Types</t>
  </si>
  <si>
    <t>CSA AICM Mapping</t>
  </si>
  <si>
    <t>NIST AI RMF Control ID(s)</t>
  </si>
  <si>
    <t>NIST AI RMF Control Language / Playbook Actions</t>
  </si>
  <si>
    <t>NIST Mapping Basis</t>
  </si>
  <si>
    <t>ISO/IEC 42001 Clause / Annex Control ID(s)</t>
  </si>
  <si>
    <t>ISO/IEC 42001 Control Language / Checklist Criteria</t>
  </si>
  <si>
    <t>ISO Mapping Basis</t>
  </si>
  <si>
    <t>Evidence / Implementation Notes</t>
  </si>
  <si>
    <t>Source / Traceability</t>
  </si>
  <si>
    <t>AISMM External References</t>
  </si>
  <si>
    <t>Applicable?</t>
  </si>
  <si>
    <t>Mapped Frameworks In Scope</t>
  </si>
  <si>
    <t>Business Unit / AI System</t>
  </si>
  <si>
    <t>Control Owner</t>
  </si>
  <si>
    <t>Current Implementation Status</t>
  </si>
  <si>
    <t>Current Maturity Score (0-5)</t>
  </si>
  <si>
    <t>Target Maturity Score (0-5)</t>
  </si>
  <si>
    <t>Maturity Gap</t>
  </si>
  <si>
    <t>CSA AISMM Maturity Result</t>
  </si>
  <si>
    <t>NIST AI RMF Compliance Result</t>
  </si>
  <si>
    <t>ISO/IEC 42001 Compliance Result</t>
  </si>
  <si>
    <t>Frameworks Complied To</t>
  </si>
  <si>
    <t>Evidence Status</t>
  </si>
  <si>
    <t>Evidence Repository / Link</t>
  </si>
  <si>
    <t>Suggested Reference Evidence for Verification</t>
  </si>
  <si>
    <t>Verification Test Procedure</t>
  </si>
  <si>
    <t>Test Result</t>
  </si>
  <si>
    <t>Assessor Notes</t>
  </si>
  <si>
    <t>Remediation Action</t>
  </si>
  <si>
    <t>Due Date</t>
  </si>
  <si>
    <t>Residual Risk</t>
  </si>
  <si>
    <t>Last Assessed</t>
  </si>
  <si>
    <t>Governance</t>
  </si>
  <si>
    <t>GOV-02.1</t>
  </si>
  <si>
    <t>GOV</t>
  </si>
  <si>
    <t>2</t>
  </si>
  <si>
    <t>Enterprise AI acceptable use policy with signed personnel attestation</t>
  </si>
  <si>
    <t>Every employee and contractor with system access has reviewed and assigned the organization's AI policies, which include which AI tools are permitted, what data classifications can go into each, what use cases are prohibited, and how to report incidents or request exceptions.</t>
  </si>
  <si>
    <t>Manual</t>
  </si>
  <si>
    <t>All</t>
  </si>
  <si>
    <t>HRS-15 (AI acceptable use), GRC-09 (acceptable use of AI service), HRS-02 (acceptable use of technology)</t>
  </si>
  <si>
    <t>GOVERN 1.1; GOVERN 1</t>
  </si>
  <si>
    <t>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t>
  </si>
  <si>
    <t>Direct from AISMM external reference</t>
  </si>
  <si>
    <t>Annex A.2; Annex A.7; Annex A.8; Annex A.9</t>
  </si>
  <si>
    <t>Annex A.2 – Policies related to AI: Document and approve AI policy, include responsible AI principles and continual improvement, review policy regularly, and align it to other relevant organizational policies.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t>
  </si>
  <si>
    <t>Publish approved AI policy/standard; maintain attestation and exception workflow.</t>
  </si>
  <si>
    <t>CSA AISMM uploaded spreadsheet; NIST AI RMF Playbook uploaded spreadsheet; ISO 42001 checklist uploaded PDF; public CSA/NIST/ISO pages</t>
  </si>
  <si>
    <t>NIST AI RMF Govern 1.1; ISO/IEC 42001 AI management system policy requirements</t>
  </si>
  <si>
    <t>Yes</t>
  </si>
  <si>
    <t>CSA AISMM; NIST AI RMF; ISO/IEC 42001</t>
  </si>
  <si>
    <t>Not Assessed</t>
  </si>
  <si>
    <t>Not Provided</t>
  </si>
  <si>
    <t>Not Tested</t>
  </si>
  <si>
    <t>GOV-02.2</t>
  </si>
  <si>
    <t>Named approval authority for enterprise AI procurement and major deployments</t>
  </si>
  <si>
    <t>A named approval authority makes and records yes/no decisions before new AI providers are contracted or AI-powered applications ship to production. Teams are not allowed to adopt new AI products or use cases without approval.</t>
  </si>
  <si>
    <t>GRC-06 (governance responsibility model), GRC-09 (acceptable use of AI service)</t>
  </si>
  <si>
    <t>GOVERN 2.1; GOVERN 2</t>
  </si>
  <si>
    <t>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t>
  </si>
  <si>
    <t>Annex A.3; Annex A.6; Annex A.9; Annex A.10</t>
  </si>
  <si>
    <t>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</si>
  <si>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Derived by control theme/domain</t>
  </si>
  <si>
    <t>Use this row as a control objective to assess current state, define target maturity, collect evidence, and remediate gaps.</t>
  </si>
  <si>
    <t>NIST AI RMF Govern 2.1 (roles, responsibilities, accountability)</t>
  </si>
  <si>
    <t>GOV-03.1</t>
  </si>
  <si>
    <t>3</t>
  </si>
  <si>
    <t>AI Council issues and maintains a catalog of approved use cases with provider and data type mappings</t>
  </si>
  <si>
    <t>A cross-functional AI Council (or equivalent body) publishes a catalog of approved AI use cases, mapped to approved AI providers/technologies and data types. Use cases include examples like AI coding tools, customer service agents, AI data analytics platforms. These map to specific providers and which data types are allowed per use case and provider (e.g. PII).</t>
  </si>
  <si>
    <t>GRC-01 (governance program policy), GRC-06 (governance responsibility model), GRC-09 (acceptable use of AI service)</t>
  </si>
  <si>
    <t>GOVERN 1.2; GOVERN 2.1; GOVERN 1; GOVERN 2</t>
  </si>
  <si>
    <t>GOVERN 1.2: Organizational AI risk management policies should be designed to: - Define key terms and concepts related to AI systems and the scope of their purposes and intended uses. - Connect AI governance to existing organizational governance and risk controls. - Align to broader data governance policies and practices, particularly the use of sensitive or otherwise risky data. - Detail standards for experimental design, data quality, and model training. - Outline and document risk mapping and measurement processes and standards. - Detail model testing and validation processes. - Detail review processes for legal and risk functions. - Establish the frequency of and detail for monitoring, auditing and review processes. - Outline change management requirements. - Outline processes for internal and external stakeholder engagement.…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t>
  </si>
  <si>
    <t>Clause 5; Annex A.6</t>
  </si>
  <si>
    <t>Clause 5 – Leadership: Top management demonstrates commitment to the AIMS, establishes an AI policy aligned to strategy, and assigns/communicates AI management roles, responsibilities, and authorities. Annex A.6 – AI system life cycle: Define responsible development objectives, specify verification and validation, maintain technical documentation, and record/maintain event logs during system use.</t>
  </si>
  <si>
    <t>Tie provider/model/library onboarding to supplier risk, licensing, model/data provenance, and AI-BOM/SBOM records.</t>
  </si>
  <si>
    <t>NIST AI RMF Govern 1.2, Govern 2.1; ISO/IEC 42001 Clause 5 (leadership) and Annex A.6 (AI system life cycle)</t>
  </si>
  <si>
    <t>GOV-03.2</t>
  </si>
  <si>
    <t>Authoritative AI deployment and application registry</t>
  </si>
  <si>
    <t>The AI Council maintains an authoritative registry of AI deployments and applications, with each entry linked to the approved use case it serves under GOV-03.1, the owning team, and the underlying models, agents, and MCP integrations in use. The registry is the canonical record of what AI runs under what approval.</t>
  </si>
  <si>
    <t>Either</t>
  </si>
  <si>
    <t>GRC-05 (information security program scope), GRC-01 (governance program policy)</t>
  </si>
  <si>
    <t>MAP 1.1; MAP 1</t>
  </si>
  <si>
    <t>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t>
  </si>
  <si>
    <t>Annex A.6</t>
  </si>
  <si>
    <t>Annex A.6 – AI system life cycle: Define responsible development objectives, specify verification and validation, maintain technical documentation, and record/maintain event logs during system use.</t>
  </si>
  <si>
    <t>Maintain authoritative AI inventory; link assets to owners, use cases, providers, data classes, and risk tiers.</t>
  </si>
  <si>
    <t>NIST AI RMF Map 1.1 (AI system context); ISO/IEC 42001 Annex A.6.2 (AI system inventory)</t>
  </si>
  <si>
    <t>GOV-03.3</t>
  </si>
  <si>
    <t>Role-based AI training with measured completion</t>
  </si>
  <si>
    <t>Employees receive AI training aligned with their job role. E.g. a baseline for everyone, a developer track for those using coding assistants or building AI applications, and a high-risk-role track for functions whose AI use affects customer, employee, or regulated decisions. Completion is tracked.</t>
  </si>
  <si>
    <t>Automated</t>
  </si>
  <si>
    <t>HRS-14 (AI competency training), HRS-11 (security awareness training), HRS-15 (AI acceptable use)</t>
  </si>
  <si>
    <t>GOVERN 3.2; GOVERN 6.2; GOVERN 3; GOVERN 6</t>
  </si>
  <si>
    <t>GOVERN 3.2: -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 GOVERN 6.2: - Establish policies for handling third-party system failures to include consideration of redundancy mechanisms for vital third-party AI systems. - Verify that incident response plans address third-party AI systems.</t>
  </si>
  <si>
    <t>Clause 7</t>
  </si>
  <si>
    <t>Clause 7 – Support: Provide AIMS resources; ensure competence, awareness, communication, and control of documented information.</t>
  </si>
  <si>
    <t>Track role-based completion, knowledge checks, and refresh cadence.</t>
  </si>
  <si>
    <t>NIST AI RMF Govern 3.2, Govern 6.2; ISO/IEC 42001 Clause 7.2 (competence) and Clause 7.3 (awareness)</t>
  </si>
  <si>
    <t>GOV-04.1</t>
  </si>
  <si>
    <t>4</t>
  </si>
  <si>
    <t>AI Council issues written standards that downstream categories enforce</t>
  </si>
  <si>
    <t>The AI Council adopts an enterprise standard based on an industry framework, such as the AICM, which is communicated and integrated into downstream requirements.</t>
  </si>
  <si>
    <t>GOVERN 1.3; GOVERN 2.3; GOVERN 1; GOVERN 2</t>
  </si>
  <si>
    <t>GOVERN 1.3: - Establish policies to define mechanisms for measuring or understanding an AI system’s potential impacts, e.g., via regular impact assessments at key stages in the AI lifecycle, connected to system impacts and frequency of system updates. - Establish policies to define mechanisms for measuring or understanding the likelihood of an AI system’s impacts and their magnitude at key stages in the AI lifecycle. - Establish policies that define assessment scales for measuring potential AI system impact. Scales may be qualitative, such as red-amber-green (RAG), or may entail simulations or econometric approaches. - Establish policies for assigning an overall risk measurement approach for an AI system, or its important components, e.g., via multiplication or combination of a mapped risk’s impact and likelihood (risk ≈ impact x likelihood).… GOVERN 2.3: - Organizational management can: - Declare risk tolerances for developing or using AI systems. - Support AI risk management efforts, and play an active role in such efforts. - Integrate a risk and harm prevention mindset throughout the AI lifecycle as part of organizational culture - Support competent risk management executives. - Delegate the power, resources, and authorization to perform risk management to each appropriate level throughout the management chain. - Organizations can establish board committees for AI risk management and oversight functions and integrate those functions within the organization’s broader enterprise risk management approaches.</t>
  </si>
  <si>
    <t>Annex A.6; Annex A.9</t>
  </si>
  <si>
    <t>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t>
  </si>
  <si>
    <t>NIST AI RMF Govern 1.3, Govern 2.3; ISO/IEC 42001 Annex A.6 (AI system life cycle) and Annex A.9 (use of AI systems)</t>
  </si>
  <si>
    <t>GOV-04.2</t>
  </si>
  <si>
    <t>Cross-functional ethics and safety review for high-risk AI use cases</t>
  </si>
  <si>
    <t>No high-risk AI use case reaches production without a cross-functional ethics and safety review that produces a written go / go-with-conditions / no-go disposition. This can be a function of the AI council.</t>
  </si>
  <si>
    <t>GRC-10 (AI impact assessment), GRC-11 (bias and fairness assessment), GRC-12 (ethics committee), GRC-13 (explainability requirement), GRC-14 (explainability evaluation), GRC-15 (human supervision)</t>
  </si>
  <si>
    <t>GOVERN 5.1; MEASURE 2.5; MANAGE 1.3; GOVERN 5; MEASURE 2; MANAGE 1</t>
  </si>
  <si>
    <t>GOVERN 5.1: - Establish AI risk management policies that explicitly address mechanisms for collecting, evaluating, and incorporating stakeholder and user feedback that could include: - Recourse mechanisms for faulty AI system outputs. - Bug bounties. - Human-centered design. - User-interaction and experience research. - Participatory stakeholder engagement with individuals and communities that may experience negative impacts. - Verify that stakeholder feedback is considered and addressed, including environmental concerns, and across the entire population of intended users, including historically excluded populations, people with disabilities, older people, and those with limited access to the internet and other basic technologies.… MEASURE 2.5: - Define the operating conditions and socio-technical context under which the AI system will be validated. - Define and document processes to establish the system’s operational conditions and limits. -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 Assess and document system variance. Standard approaches include confidence intervals, standard deviation, standard error, bootstrapping, or cross-validation. - Establish or identify, and document robustness measures.… MANAGE 1.3: - Observe regulatory and established organizational, sector, discipline, or professional standards and requirements for applying risk tolerances within the organization. - Document procedures for acting on AI system risks related to trustworthiness characteristics. - Prioritize risks involving physical safety, legal liabilities, regulatory compliance, and negative impacts on individuals, groups, or society. - Identify risk response plans and resources and organizational teams for carrying out response functions. - Store risk management and system documentation in an organized, secure repository that is accessible by relevant AI Actors and appropriate personnel.</t>
  </si>
  <si>
    <t>Annex A.5</t>
  </si>
  <si>
    <t>Annex A.5 – Assessing impacts of AI systems: Perform documented, repeatable impact assessments on individuals, groups, or society; update after significant changes; feed findings into design, controls, and stakeholder communication.</t>
  </si>
  <si>
    <t>NIST AI RMF Govern 5.1, Measure 2.5, Manage 1.3; EU AI Act Article 9 (risk management system) and Article 14 (human oversight) concepts; ISO/IEC 42001 Annex A.5 (responsible use)</t>
  </si>
  <si>
    <t>GOV-04.3</t>
  </si>
  <si>
    <t>Executive / board AI risk-committee oversight with defined escalation triggers</t>
  </si>
  <si>
    <t>Executive and/or board members are actively engaged with the AI council, which includes regular reporting, review, and disposition of anything requiring executive/board feedback. Executive and/or board members sign off on any governance policies from the AI council.</t>
  </si>
  <si>
    <t>GRC-06 (governance responsibility model), GRC-07 (information security committee), GRC-12 (ethics committee)</t>
  </si>
  <si>
    <t>GOVERN 2.1; GOVERN 4.1; GOVERN 2; GOVERN 4</t>
  </si>
  <si>
    <t>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GOVERN 4.1: - Establish policies that require inclusion of oversight functions (legal, compliance, risk management) from the outset of the system design process. - Establish policies that promote effective challenge of AI system design, implementation, and deployment decisions, via mechanisms such as the three lines of defense, model audits, or red-teaming – to minimize workplace risks such as groupthink. - Establish policies that incentivize safety-first mindset and general critical thinking and review at an organizational and procedural level. - Establish whistleblower protections for insiders who report on perceived serious problems with AI systems. - Establish policies to integrate a harm and risk prevention mindset throughout the AI lifecycle.</t>
  </si>
  <si>
    <t>Clause 5; Clause 9</t>
  </si>
  <si>
    <t>Clause 5 – Leadership: Top management demonstrates commitment to the AIMS, establishes an AI policy aligned to strategy, and assigns/communicates AI management roles, responsibilities, and authorities. Clause 9 – Performance Evaluation: Monitor, measure, analyze, and evaluate the AIMS; perform internal audits; conduct management review at planned intervals.</t>
  </si>
  <si>
    <t>NIST AI RMF Govern 2.1, Govern 4.1; ISO/IEC 42001 Clause 5.1 (leadership and commitment), Clause 9.3 (management review)</t>
  </si>
  <si>
    <t>GOV-05.1</t>
  </si>
  <si>
    <t>5</t>
  </si>
  <si>
    <t>Automated governance evidence and exception lifecycle</t>
  </si>
  <si>
    <t>Governance posture is visible on a live dashboard fed by source-system telemetry rather than hand-assembled, and policy exceptions move through a tracked lifecycle that closes or renews on schedule.</t>
  </si>
  <si>
    <t>GRC-01 (governance program policy), GRC-03 (organizational policy reviews), GRC-04 (policy exception process)</t>
  </si>
  <si>
    <t>GOVERN 1.5; MANAGE 4.1; GOVERN 1; MANAGE 4</t>
  </si>
  <si>
    <t>GOVERN 1.5: - Establish policies to allocate appropriate resources and capacity for assessing impacts of AI systems on individuals, communities and society. - Establish policies and procedures for monitoring and addressing AI system performance and trustworthiness, including bias and security problems, across the lifecycle of the system. - Establish policies for AI system incident response, or confirm that existing incident response policies apply to AI systems. - Establish policies to define organizational functions and personnel responsible for AI system monitoring and incident response activities. - Establish mechanisms to enable the sharing of feedback from impacted individuals or communities about negative impacts from AI systems. - Establish mechanisms to provide recourse for impacted individuals or communities to contest problematic AI system outcomes. - Establish opt-out mechanisms.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t>
  </si>
  <si>
    <t>Clause 9</t>
  </si>
  <si>
    <t>Clause 9 – Performance Evaluation: Monitor, measure, analyze, and evaluate the AIMS; perform internal audits; conduct management review at planned intervals.</t>
  </si>
  <si>
    <t>NIST AI RMF Govern 1.5, Manage 4.1; ISO/IEC 42001 Clause 9 (performance evaluation)</t>
  </si>
  <si>
    <t>GOV-05.2</t>
  </si>
  <si>
    <t>Ethics review board with on-change reviews and enforcement authority</t>
  </si>
  <si>
    <t>A standing AI ethics review board has and demonstrably exercises enforcement authority, halting, modifying, or remediating production AI deployments as needed to meet enterprise AI ethics requirements. The governance function responds to provider and regulatory changes within defined SLAs, so governance is active and current rather than declarative.</t>
  </si>
  <si>
    <t>GRC-12 (ethics committee), GRC-10 (AI impact assessment), GRC-15 (human supervision), GRC-04 (policy exception process)</t>
  </si>
  <si>
    <t>GOVERN 1.3; GOVERN 3.2; MANAGE 4.1; MANAGE 4.3; GOVERN 1; GOVERN 3; MANAGE 4</t>
  </si>
  <si>
    <t>GOVERN 1.3: - Establish policies to define mechanisms for measuring or understanding an AI system’s potential impacts, e.g., via regular impact assessments at key stages in the AI lifecycle, connected to system impacts and frequency of system updates. - Establish policies to define mechanisms for measuring or understanding the likelihood of an AI system’s impacts and their magnitude at key stages in the AI lifecycle. - Establish policies that define assessment scales for measuring potential AI system impact. Scales may be qualitative, such as red-amber-green (RAG), or may entail simulations or econometric approaches. - Establish policies for assigning an overall risk measurement approach for an AI system, or its important components, e.g., via multiplication or combination of a mapped risk’s impact and likelihood (risk ≈ impact x likelihood).… GOVERN 3.2: -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 MANAGE 4.3: - Establish procedures to regularly share information about errors, incidents and negative impacts with relevant stakeholders, operators, practitioners and users, and impacted parties. - Maintain a database of reported errors, near-misses, incidents and negative impacts including date reported, number of reports, assessment of impact and severity, and responses. - Maintain a database of system changes, reason for change, and details of how the change was made, tested and deployed.…</t>
  </si>
  <si>
    <t>Annex A.10</t>
  </si>
  <si>
    <t>Annex A.10 – Third-party and customer relationships: Define lifecycle responsibilities with third parties, manage AI suppliers, capture customer expectations, and review third-party roles through ongoing governance.</t>
  </si>
  <si>
    <t>NIST AI RMF Govern 1.3, Govern 3.2, Manage 4.1, Manage 4.3; EU AI Act Article 14 (human oversight) and Article 72 (post-market monitoring) concepts; ISO/IEC 42001 Annex A.10 (third-party relationships)</t>
  </si>
  <si>
    <t>Organization Management</t>
  </si>
  <si>
    <t>ORG-02.1</t>
  </si>
  <si>
    <t>ORG</t>
  </si>
  <si>
    <t>Enterprise AI service discovery via reconciled telemetry</t>
  </si>
  <si>
    <t>Security leadership knows which AI services are in use across the enterprise, reconciled across cloud and SaaS billing, identity provider sign-in records for AI services, and CASB or DNS/egress allowlist matches against known AI provider endpoints. AI services adopted outside formal approval channels are visible to the Council.</t>
  </si>
  <si>
    <t>CCC-06 (change management baseline — establishing the AI service baseline), CCC-07 (detection of baseline deviation — manual at L2)</t>
  </si>
  <si>
    <t>MAP 1</t>
  </si>
  <si>
    <t>MAP 1: Parent AI RMF category/function referenced; use associated subcategory rows for testable control language.</t>
  </si>
  <si>
    <t>Annex A.3; Annex A.10</t>
  </si>
  <si>
    <t>Annex A.3 – Internal organization: Define AI roles and responsibilities; provide reporting and confidential escalation paths; investigate and resolve AI-related concerns. Annex A.10 – Third-party and customer relationships: Define lifecycle responsibilities with third parties, manage AI suppliers, capture customer expectations, and review third-party roles through ongoing governance.</t>
  </si>
  <si>
    <t>Define log schema, retention, access controls, alerting, and incident triage integration.</t>
  </si>
  <si>
    <t>NIST AI RMF MAP-1; CSA AI Controls Matrix; Gartner AI TRiSM guidance</t>
  </si>
  <si>
    <t>ORG-02.2</t>
  </si>
  <si>
    <t>Baseline AI-feature settings for licensed SaaS platforms</t>
  </si>
  <si>
    <t>Embedded AI features in licensed SaaS platforms run under a configuration baseline that scopes which users can invoke them, blocks customer data from being used for provider model training, and binds AI to enterprise data protection or sensitivity controls where the platform supports it. The baseline is applied in every in-scope tenant with a recent admin validation on file.</t>
  </si>
  <si>
    <t>API/SaaS</t>
  </si>
  <si>
    <t>CCC-06 (change management baseline), CCC-02 (quality testing / approval process for baseline)</t>
  </si>
  <si>
    <t>GOVERN 1.6; GOVERN 2.1; MAP 1.1; MAP 1.4; MANAGE 1.2</t>
  </si>
  <si>
    <t>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 MANAGE 1.2: - Assign risk management resources relative to established risk tolerance. AI systems with lower risk tolerances receive greater oversight, mitigation and management resources.…</t>
  </si>
  <si>
    <t>Derived by CSA domain/theme</t>
  </si>
  <si>
    <t>Annex A.3; Annex A.6; Annex A.7; Annex A.8; Annex A.10</t>
  </si>
  <si>
    <t>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t>
  </si>
  <si>
    <t>Microsoft Purview for Copilot, Google Workspace admin controls for Gemini, Salesforce Einstein Trust Layer configuration guides</t>
  </si>
  <si>
    <t>ORG-03.1</t>
  </si>
  <si>
    <t>Cloud org policy controls AI services on the primary platform</t>
  </si>
  <si>
    <t>On the primary cloud, organization-level policy (SCPs, Azure Policy, GCP Org Policy, or equivalent) blocks unapproved AI services, unapproved regions, and provider model-training opt-ins. A CSPM or AI-SPM pilot on the same cloud feeds discovered services into the enterprise inventory, and exceptions carry a named approver and an expiration.</t>
  </si>
  <si>
    <t>PaaS (primary)</t>
  </si>
  <si>
    <t>CCC-03 (change management technology), CCC-04 (change authorization), CCC-06 (change management baseline)</t>
  </si>
  <si>
    <t>Annex A.2; Annex A.3; Annex A.4; Annex A.6; Annex A.10</t>
  </si>
  <si>
    <t>Annex A.2 – Policies related to AI: Document and approve AI policy, include responsible AI principles and continual improvement, review policy regularly, and align it to other relevant organizational policies. 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t>
  </si>
  <si>
    <t>AWS SCP reference (organizations/aws-managed-policies, bedrock IAM actions); Azure Policy built-in definitions for Azure OpenAI and Cognitive Services; GCP Organization Policy constraints for Vertex AI</t>
  </si>
  <si>
    <t>ORG-03.2</t>
  </si>
  <si>
    <t>Enterprise administration of AI coding assistants</t>
  </si>
  <si>
    <t>Engineering reaches AI coding assistants only through enterprise-tier licensing under centralized administration, with consumer-tier subscriptions prohibited and blocked via endpoint or network controls. Access is IdP-bound and scoped to a defined engineering group, and content-exclusion and non-enterprise telemetry opt-outs are enabled in the admin console.</t>
  </si>
  <si>
    <t>CCC-04 (change authorization), CCC-06 (change management baseline)</t>
  </si>
  <si>
    <t>Annex A.8</t>
  </si>
  <si>
    <t>Annex A.8 – Information for interested parties: Provide necessary documentation to users and interested parties; define incident reporting/escalation, incident communication, and stakeholder information requirements.</t>
  </si>
  <si>
    <t>GitHub Copilot Business/Enterprise admin documentation; Cursor for Teams admin controls; JetBrains AI Assistant enterprise configuration; AWS Q Developer Pro admin controls</t>
  </si>
  <si>
    <t>ORG-03.3</t>
  </si>
  <si>
    <t>Dedicated cloud deployment environments for AI workloads</t>
  </si>
  <si>
    <t>Production AI workloads on the primary cloud are isolated into AI-designated accounts, subscriptions, or projects vended from a repeatable landing-zone pattern that aligns with enterprise standard configurations. Exceptions carry a named approver and a remediation date.</t>
  </si>
  <si>
    <t>Self-hosted, PaaS</t>
  </si>
  <si>
    <t>CCC-04 (change authorization — account provisioning), CCC-06 (change management baseline)</t>
  </si>
  <si>
    <t>Annex A.2; Annex A.4</t>
  </si>
  <si>
    <t>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t>
  </si>
  <si>
    <t>AWS Well-Architected Generative AI Lens; AWS Organizations multi-account strategy; Azure landing zones for AI/ML; GCP security foundations blueprint</t>
  </si>
  <si>
    <t>ORG-04.1</t>
  </si>
  <si>
    <t>Consistent AI org-policy enforcement across every cloud environment</t>
  </si>
  <si>
    <t>AI deployments in cloud comply with a technical configuration standard that aligns with the approved enterprise framework in GOV-04.1 (e.g. the AICM). This is continuously monitored with CSPM/CNAPP/AI-SPM or equivalent automated tooling.</t>
  </si>
  <si>
    <t>PaaS, Self-hosted</t>
  </si>
  <si>
    <t>CCC-04 (change authorization), CCC-06 (change management baseline), CCC-07 (detection of baseline deviation)</t>
  </si>
  <si>
    <t>Annex A.2; Annex A.4; Annex A.6; Annex A.9</t>
  </si>
  <si>
    <t>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t>
  </si>
  <si>
    <t>AWS SCP baseline guidance; Azure Policy at management-group scope; GCP Organization Policy constraints; CSA Cloud Controls Matrix UEM/IAM mappings</t>
  </si>
  <si>
    <t>ORG-04.2</t>
  </si>
  <si>
    <t>Automated AI discovery across clouds and endpoints</t>
  </si>
  <si>
    <t>Automated AI discovery extends across cloud environments and managed endpoints, covering AI services, model endpoints, agents, MCP servers, and AI-enabled SaaS features. Discovery uses CSPM/CNAPP with AI awareness, EDR endpoint visibility, CASB, and dedicated AI-discovery products where deployed, with discovered assets auto-reconciled to a named owning team.</t>
  </si>
  <si>
    <t>CCC-06 (change management baseline), CCC-07 (detection of baseline deviation)</t>
  </si>
  <si>
    <t>Annex A.4; Annex A.6; Annex A.10</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</si>
  <si>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t>
  </si>
  <si>
    <t>Gartner AI TRiSM / AI-SPM category guidance; OWASP LLM03:2025 Supply Chain (visibility into AI components); Wiz / Prisma Cloud AI-SPM / Palo Alto AI Access Security / Microsoft Defender for Cloud AI workloads / Tenable AI Aware feature sets</t>
  </si>
  <si>
    <t>ORG-04.3</t>
  </si>
  <si>
    <t>Deployment isolation</t>
  </si>
  <si>
    <t>AI projects run in isolated cloud accounts or datacenter environments and are network isolated. There are no unmanaged network paths to general workload environments.</t>
  </si>
  <si>
    <t>Annex A.4; Annex A.7</t>
  </si>
  <si>
    <t>Annex A.4 – Resources for AI systems: Maintain a register of AI resources including data, tools, systems, people, tooling, compute resources, and relevant operational/environmental impacts. Annex A.7 – Data for AI systems: Maintain documented AI data management, identify sources and provenance, record intended use, define data quality requirements, and document/justify preparation methods.</t>
  </si>
  <si>
    <t>AWS Well-Architected Generative AI Lens (isolation patterns); NIST SP 800-207 Zero Trust Architecture (microsegmentation); CSA Cloud Controls Matrix IVS (infrastructure and virtualization security)</t>
  </si>
  <si>
    <t>ORG-05.1</t>
  </si>
  <si>
    <t>Policy-as-code pipeline for AI enforcement policies</t>
  </si>
  <si>
    <t>Technical controls enforcing ORG-04.1 are managed as code where tooling supports it. Both org-wide controls (such as SCPs, Azure Policy, GCP Organization Policy) and project-specific policy bundles (such as OPA rules or Cedar policies for the agents and MCP servers in a given project) live in enterprise version control and deploy via CI/CD with staged rollout and exercised rollback.</t>
  </si>
  <si>
    <t>CCC-03 (change management technology), CCC-04 (change authorization), CCC-06 (change management baseline), CCC-07 (detection of baseline deviation), CCC-09 (change restoration)</t>
  </si>
  <si>
    <t>MANAGE 4</t>
  </si>
  <si>
    <t>MANAGE 4: Parent AI RMF category/function referenced; use associated subcategory rows for testable control language.</t>
  </si>
  <si>
    <t>Annex A.2; Annex A.6; Annex A.9</t>
  </si>
  <si>
    <t>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t>
  </si>
  <si>
    <t>OPA / Rego, Azure Policy as code via Bicep/ARM templates, GCP Organization Policy as code via Terraform, HashiCorp Sentinel; NIST AI RMF MANAGE-4; AWS Well-Architected Generative AI Lens operational excellence pillar</t>
  </si>
  <si>
    <t>ORG-05.2</t>
  </si>
  <si>
    <t>Proactive response to AI provider releases</t>
  </si>
  <si>
    <t>New models, features, and services from major AI providers (AWS Bedrock, Azure OpenAI, OpenAI, Anthropic, Google Vertex) are detected on announcement, given a documented approve/block/conditional decision before general availability, and translated into updates to ORG-04.1 standards and ORG-04.2 discovery rules through the same CI/CD pipeline.</t>
  </si>
  <si>
    <t>CCC-07 (detection of baseline deviation), CCC-08 (exception management), CCC-09 (change restoration)</t>
  </si>
  <si>
    <t>Annex A.2; Annex A.6; Annex A.10</t>
  </si>
  <si>
    <t>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t>
  </si>
  <si>
    <t>Gartner AI TRiSM; OWASP LLM03:2025 Supply Chain; SANS Shadow IT guidance extended to shadow AI</t>
  </si>
  <si>
    <t>IAM</t>
  </si>
  <si>
    <t>IAM-02.1</t>
  </si>
  <si>
    <t>SSO with MFA for enterprise AI applications</t>
  </si>
  <si>
    <t>Human access to enterprise AI applications goes through the enterprise IdP with MFA, with no local accounts, shared logins, or personal credentials in use. This holds across self-hosted apps, PaaS AI consoles, and SaaS AI seats like Copilot, Agentforce, and Gemini, so downstream delegation and audit have a real user identity to anchor on.</t>
  </si>
  <si>
    <t>IAM-14 (strong authentication), IAM-13 (uniquely identifiable users), IAM-15 (passwords and secrets management)</t>
  </si>
  <si>
    <t>GOVERN 1.4; GOVERN 1</t>
  </si>
  <si>
    <t>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t>
  </si>
  <si>
    <t>OWASP ASI03 (Identity &amp; Privilege Abuse), NIST AI RMF GOVERN-1.4</t>
  </si>
  <si>
    <t>IAM-02.2</t>
  </si>
  <si>
    <t>Inventoried non-human identities for AI workloads</t>
  </si>
  <si>
    <t>AI workloads run under inventoried non-human identities: service accounts, managed identities, workload identities, API keys They never use personal or shared human credentials, and manage secrets in a central store rather than source code or environment files. Each NHI in use across self-hosted, PaaS, and SaaS workloads traces back to a named owner.</t>
  </si>
  <si>
    <t>IAM-03 (identity inventory), IAM-13 (uniquely identifiable users), IAM-15 (passwords and secrets management)</t>
  </si>
  <si>
    <t>MAP 4</t>
  </si>
  <si>
    <t>MAP 4: Parent AI RMF category/function referenced; use associated subcategory rows for testable control language.</t>
  </si>
  <si>
    <t>Annex A.4; Annex A.6; Annex A.9</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</si>
  <si>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t>
  </si>
  <si>
    <t>OWASP ASI03 (Identity &amp; Privilege Abuse), ASI10 (Rogue Agents), NIST AI RMF MAP-4</t>
  </si>
  <si>
    <t>IAM-03.1</t>
  </si>
  <si>
    <t>Per-workload NHI with managed credential lifecycle</t>
  </si>
  <si>
    <t>Each production AI workload runs under its own non-human identity, using short-lived federated credentials where possible and with static credentials rotating on a managed cadence, when used. A compromise of one workload's identity does not cascade across the AI estate.</t>
  </si>
  <si>
    <t>IAM-05 (least privilege), IAM-06 (user access provisioning), IAM-07 (access changes and revocation), IAM-15 (secrets management)</t>
  </si>
  <si>
    <t>OWASP ASI03 (Identity &amp; Privilege Abuse), NIST AI RMF GOVERN-1.4, NIST SP 800-207 (Zero Trust — NHI patterns)</t>
  </si>
  <si>
    <t>IAM-03.2</t>
  </si>
  <si>
    <t>PaaS and SaaS provider IAM hardened to standard</t>
  </si>
  <si>
    <t>Every PaaS AI platform and SaaS AI feature in the inventory has its provider IAM surface configured to a written enterprise standard, with drift detected and remediated rather than accumulating silently. Copilot, Agentforce, Gemini, Bedrock AgentCore, Azure AI Foundry, and Vertex AI operate as governed identity surfaces rather than out-of-the-box defaults.</t>
  </si>
  <si>
    <t>PaaS and API/SaaS (self-hosted marked not applicable)</t>
  </si>
  <si>
    <t>IAM-05 (least privilege), IAM-06 (access provisioning), IAM-16 (authorization mechanisms), IAM-17 (need-to-know access to knowledge)</t>
  </si>
  <si>
    <t>GOVERN 1.4; MAP 4.1; MANAGE 2.3; MANAGE 4.1</t>
  </si>
  <si>
    <t>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t>
  </si>
  <si>
    <t>Annex A.2; Annex A.4; Annex A.6; Annex A.9; Annex A.10</t>
  </si>
  <si>
    <t>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</si>
  <si>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Publish approved AI policy/standard; maintain attestation and exception workflow. Tie provider/model/library onboarding to supplier risk, licensing, model/data provenance, and AI-BOM/SBOM records.</t>
  </si>
  <si>
    <t>OWASP ASI03 (Identity &amp; Privilege Abuse), ASI04 (Supply Chain Vulnerabilities — provider scoping), Microsoft Purview / Copilot Control System, Salesforce Einstein Trust Layer</t>
  </si>
  <si>
    <t>IAM-03.3</t>
  </si>
  <si>
    <t>OAuth-based MCP and tool authorization with named scopes</t>
  </si>
  <si>
    <t>Production AI agents and applications authorize MCP and external tool calls via OAuth-issued named scopes rather than static API keys, against a scope registry treated as authoritative. Wildcard or catch-all scopes are not used, and the registry includes an MCP-server allowlist per agent class.</t>
  </si>
  <si>
    <t>IAM-16 (authorization mechanisms), IAM-19 (agent access restriction), IAM-15 (secrets management)</t>
  </si>
  <si>
    <t>Annex A.4; Annex A.6; Annex A.7; Annex A.9; Annex A.10</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</si>
  <si>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</si>
  <si>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MCP Authorization spec (OAuth 2.1, RFC 8707 Resource Indicators as of 2026-03-15 spec), RFC 9728 Protected Resource Metadata, OWASP ASI02 (Tool Misuse), ASI04 (Supply Chain Vulnerabilities)</t>
  </si>
  <si>
    <t>IAM-04.1</t>
  </si>
  <si>
    <t>Per-agent NHI federated to enterprise IdP and/or attestation-based</t>
  </si>
  <si>
    <t>Each production self-hosted or PaaS-embedded AI agent has its own non-human identity, registered or federated through an enterprise IdP or established via attestation-based identity, and uniquely attributed in every auth event, so authorization, revocation, and audit work per-agent rather than per-workload. Self-hosted agents use workload identity primitives like SPIFFE/SPIRE; PaaS agents use the provider's per-agent primitive (AgentCore Workload Identity, Foundry managed identity, Vertex per-agent service account).</t>
  </si>
  <si>
    <t>Self-hosted and PaaS (SaaS-embedded agent identity covered by IAM-04.2)</t>
  </si>
  <si>
    <t>IAM-03 (identity inventory), IAM-13 (uniquely identifiable users), IAM-05 (least privilege)</t>
  </si>
  <si>
    <t>Annex A.2; Annex A.6; Annex A.9; Annex A.10</t>
  </si>
  <si>
    <t>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</si>
  <si>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OWASP ASI03 (Identity &amp; Privilege Abuse), ASI10 (Rogue Agents), SPIFFE/SPIRE workload identity, AWS Bedrock AgentCore Identity, Azure Entra workload identity federation</t>
  </si>
  <si>
    <t>IAM-04.2</t>
  </si>
  <si>
    <t>Dual-identity delegation and consent for on-behalf-of flows</t>
  </si>
  <si>
    <t>When an agent acts on behalf of a user in production, the authorization carries both identities, the agent's delegated scope is a strict subset of the user's, and consent is captured up front and revocable end-to-end. Mechanism varies by island (RFC 8693 token exchange for self-hosted, provider OBO primitives for PaaS, provider consent and delegation surfaces for SaaS), but every on-behalf-of action attributes back to both the agent and the delegating user.</t>
  </si>
  <si>
    <t>All (mechanism varies: self-hosted uses OAuth Token Exchange; PaaS uses provider OBO primitives; SaaS uses provider-exposed consent and delegation surface)</t>
  </si>
  <si>
    <t>IAM-13 (uniquely identifiable users), IAM-16 (authorization mechanisms), IAM-11 (customer approval for privileged access)</t>
  </si>
  <si>
    <t>MANAGE 2</t>
  </si>
  <si>
    <t>MANAGE 2: Parent AI RMF category/function referenced; use associated subcategory rows for testable control language.</t>
  </si>
  <si>
    <t>Annex A.6; Annex A.10</t>
  </si>
  <si>
    <t>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t>
  </si>
  <si>
    <t>RFC 8693 (OAuth 2.0 Token Exchange) `act` claim pattern, draft-oauth-ai-agents-on-behalf-of-user, OWASP ASI03, ASI09 (Human-Agent Trust Exploitation), NIST AI RMF MANAGE-2</t>
  </si>
  <si>
    <t>IAM-04.3</t>
  </si>
  <si>
    <t>MCP and tool authorization with fine-grained scopes and deny-by-default</t>
  </si>
  <si>
    <t>95% of MCP servers and AI tool integrations authorize requests against fine-grained scopes defined per operation (read vs. write, per-resource, per-action) rather than per-tool. For self-hosted and PaaS deployments, authorization policy is expressed as code (Cedar, OPA/Rego, or equivalent) stored in version control, with a deny-by-default posture, and enforcement occurs at a policy-decision point like MCP server or gateway. For SaaS, implement least privilege using the mechanisms available in the provider (e.g. Microsoft Purview Restricted SharePoint Search). Wildcard scopes (`*`, `tool:*`, `resource:*`) are prohibited in production policy.</t>
  </si>
  <si>
    <t>All (self-hosted/PaaS via policy-as-code at a policy-decision point; pure SaaS-consumer orgs via provider-native restricted-scope configuration hardened to standard — see SaaS variant in description)</t>
  </si>
  <si>
    <t>IAM-16 (authorization mechanisms), IAM-19 (agent access restriction), IAM-05 (least privilege), IAM-04 (separation of duties)</t>
  </si>
  <si>
    <t>MCP Authorization spec (OAuth 2.1 + RFC 8707 Resource Indicators), OAuth 2.0 scope best practices, Cedar policy language (AWS Verified Permissions / AgentCore), OPA/Rego, OWASP ASI02 (Tool Misuse)</t>
  </si>
  <si>
    <t>IAM-05.1</t>
  </si>
  <si>
    <t>Just-in-time ephemeral credentials wired into the agent pipeline</t>
  </si>
  <si>
    <t>Production AI agent credentials are short-lived and issued just-in-time by the identity platform, with provisioning, scoping, and revocation wired into the agent deployment pipeline. Human-in-the-Loop JIT for agents is available for applications with that use case. Long-lived static credentials exist only as time-bounded exceptions with executive sign-off and a compensating control.</t>
  </si>
  <si>
    <t>All (mechanism differs: self-hosted via STS/Vault dynamic secrets; PaaS via provider short-lived tokens; SaaS via provider consent-token lifetime policy)</t>
  </si>
  <si>
    <t>IAM-10 (management of privileged access roles — time-limited), IAM-15 (secrets management), IAM-07 (access changes and revocation)</t>
  </si>
  <si>
    <t>MANAGE 3</t>
  </si>
  <si>
    <t>MANAGE 3: Parent AI RMF category/function referenced; use associated subcategory rows for testable control language.</t>
  </si>
  <si>
    <t>OWASP ASI03 (Identity &amp; Privilege Abuse), NIST AI RMF MANAGE-3, NIST SP 800-207 (Zero Trust — ephemeral credentials), Auth0 Token Vault, HashiCorp Vault dynamic secrets</t>
  </si>
  <si>
    <t>IAM-05.2</t>
  </si>
  <si>
    <t>Delegation-chain validation in multi-agent workflows</t>
  </si>
  <si>
    <t>In production multi-agent workflows, every hop preserves the full delegation chain and reduces (rather than expands) authority, with scope-expansion attempts denied and logged. The chain from user intent through every agent hop to the final resource action is reconstructible end-to-end, and SaaS gaps where provider records cannot carry the chain are tracked rather than hidden.</t>
  </si>
  <si>
    <t>All (self-hosted and PaaS implement via token-exchange chains and policy-as-code; SaaS implements via provider-native agent-to-agent delegation surface where available, with gaps tracked)</t>
  </si>
  <si>
    <t>IAM-16 (authorization mechanisms), IAM-04 (separation of duties), IAM-09 (segregation of privileged access), IAM-12 (log integrity)</t>
  </si>
  <si>
    <t>RFC 8693 token chaining with nested `act`, draft-oauth-ai-agents-on-behalf-of-user (single-hop coverage noted; multi-hop handled via RFC 8693), OWASP ASI03, ASI09 (Human-Agent Trust Exploitation), ASI10 (Rogue Agents), NIST AI RMF MANAGE-2</t>
  </si>
  <si>
    <t>IAM-05.3</t>
  </si>
  <si>
    <t>Policy-as-code agent authorization with intent-binding</t>
  </si>
  <si>
    <t>Production agent authorization is engineered: policy-as-code in version control, the agent's declared task or user intent evaluated at the decision point so actions outside that intent are denied, and stale permissions retired automatically. SaaS-consumer organizations achieve the same posture through provider context and intent controls managed under the same engineering discipline.</t>
  </si>
  <si>
    <t>All (self-hosted/PaaS via version-controlled policy-as-code; pure SaaS-consumer orgs via provider-native intent/context-based access controls hardened to standard — see SaaS variant in description)</t>
  </si>
  <si>
    <t>IAM-05 (least privilege), IAM-08 (user access review — continuous), IAM-16 (authorization mechanisms), IAM-18 (output modification and special authorization)</t>
  </si>
  <si>
    <t>Cedar policy language, OPA/Rego, NIST AI RMF GOVERN-1.4, OWASP ASI02 (Tool Misuse), LLM06 (Excessive Agency)</t>
  </si>
  <si>
    <t>Security Monitoring</t>
  </si>
  <si>
    <t>MON-02.1</t>
  </si>
  <si>
    <t>MON</t>
  </si>
  <si>
    <t>Provider-managed invocation telemetry across the AI platform footprint</t>
  </si>
  <si>
    <t>Provider-managed invocation logs are enabled, collected, and retained for every AI platform in the enterprise inventory. Coverage spans the full platform footprint rather than only the well-instrumented platforms, and token and cost telemetry gets a monthly look for billing and capacity anomalies.</t>
  </si>
  <si>
    <t>LOG-03 (security monitoring and alerting — baseline), LOG-04 (log records retention), LOG-07 (logging scope), LOG-08 (log records)</t>
  </si>
  <si>
    <t>MEASURE 2.7; MEASURE 2</t>
  </si>
  <si>
    <t>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t>
  </si>
  <si>
    <t>Annex A.4; Annex A.10</t>
  </si>
  <si>
    <t>Annex A.4 – Resources for AI systems: Maintain a register of AI resources including data, tools, systems, people, tooling, compute resources, and relevant operational/environmental impacts. Annex A.10 – Third-party and customer relationships: Define lifecycle responsibilities with third parties, manage AI suppliers, capture customer expectations, and review third-party roles through ongoing governance.</t>
  </si>
  <si>
    <t>Define log schema, retention, access controls, alerting, and incident triage integration. Tie provider/model/library onboarding to supplier risk, licensing, model/data provenance, and AI-BOM/SBOM records.</t>
  </si>
  <si>
    <t>NIST AI RMF MEASURE-2.7, OpenTelemetry Semantic Conventions for GenAI</t>
  </si>
  <si>
    <t>MON-02.2</t>
  </si>
  <si>
    <t>Named owner for the AI logging pipeline</t>
  </si>
  <si>
    <t>A single named owner is accountable for AI logging coverage and maintains a register of platforms, log sources, retention, and storage that stays current as the AI estate changes. Raw AI logs are restricted to a named operations group rather than broadly readable.</t>
  </si>
  <si>
    <t>LOG-01 (logging and monitoring policy and procedures), LOG-02 (audit logs protection)</t>
  </si>
  <si>
    <t>GOVERN 2</t>
  </si>
  <si>
    <t>GOVERN 2: Parent AI RMF category/function referenced; use associated subcategory rows for testable control language.</t>
  </si>
  <si>
    <t>Annex A.6; Annex A.7</t>
  </si>
  <si>
    <t>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t>
  </si>
  <si>
    <t>NIST AI RMF GOVERN-2</t>
  </si>
  <si>
    <t>MON-03.1</t>
  </si>
  <si>
    <t>Prompt, response, and agent-action telemetry centralized in the SIEM</t>
  </si>
  <si>
    <t>Prompts, responses, and agent tool and MCP invocations from high-criticality production AI deployments arrive in the enterprise SIEM under a documented schema, with sensitive data masked before persistence, or logs are encrypted and restricted. Exceptions are time-bound and carry named owners.</t>
  </si>
  <si>
    <t>LOG-03 (security monitoring and alerting), LOG-07 (logging scope), LOG-14 (input monitoring), LOG-15 (output monitoring), LOG-08 (log records)</t>
  </si>
  <si>
    <t>Annex A.6; Annex A.7; Annex A.9</t>
  </si>
  <si>
    <t>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t>
  </si>
  <si>
    <t>OWASP LLM02:2025 Sensitive Information Disclosure, OWASP ASI02 (Tool Misuse), OpenTelemetry Semantic Conventions for GenAI, NIST AI RMF MEASURE-2.7</t>
  </si>
  <si>
    <t>MON-03.2</t>
  </si>
  <si>
    <t>AI-specific detection content with routed alerts</t>
  </si>
  <si>
    <t>The SIEM runs AI-specific detection content covering guardrail violations, sensitive-data patterns in outputs, abnormal token or invocation volume, and unapproved or excessive tool use. Alerts route to a named on-call queue with a triage SLA, and the program shows confirmed true-positive activity rather than just rule presence.</t>
  </si>
  <si>
    <t>LOG-03 (security monitoring and alerting), LOG-05 (audit logs monitoring and response), LOG-13 (failures and anomalies reporting)</t>
  </si>
  <si>
    <t>MEASURE 2.5; MEASURE 3.1; MEASURE 4.1; MANAGE 4.1</t>
  </si>
  <si>
    <t>MEASURE 2.5: - Define the operating conditions and socio-technical context under which the AI system will be validated. - Define and document processes to establish the system’s operational conditions and limits. -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 Assess and document system variance. Standard approaches include confidence intervals, standard deviation, standard error, bootstrapping, or cross-validation. - Establish or identify, and document robustness measures.… 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MEASURE 4.1: - Support mechanisms for capturing feedback from system end users (including domain experts, operators, and practitioners). Successful approaches are: - conducted in settings where end users are able to openly share their doubts and insights about AI system output, and in connection to their specific context of use (including setting and task-specific lines of inquiry) - developed and implemented by human-factors and socio-technical domain experts and researchers - designed to ensure control of interviewer and end user subjectivity and biases - Identify and document approaches - for evaluating and integrating elicited feedback from system end users - in collaboration with human-factors and socio-technical domain experts, - to actively inform a process of continual improvement. - Evaluate feedback from end users alongside evaluated feedback from impacted communities (MEASURE 3.3).…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t>
  </si>
  <si>
    <t>OWASP LLM01:2025 Prompt Injection, OWASP LLM02:2025 Sensitive Information Disclosure, MITRE ATLAS, OWASP ASI01 (Agent Goal Hijack)</t>
  </si>
  <si>
    <t>MON-04.1</t>
  </si>
  <si>
    <t>End-to-end auditability for agent and delegation chains</t>
  </si>
  <si>
    <t>A randomly selected agent session can be reconstructed on demand from telemetry, showing user intent, agent reasoning, tool and MCP invocations, delegation hops, and downstream resource access in a single trace. Delegation chains carry originating user identity through IAM-issued credentials rather than synthesized correlation IDs. **N/A clause** applies for organizations with no agent deployments.</t>
  </si>
  <si>
    <t>All (primary relevance to deployments using agent frameworks, MCP servers, or multi-agent orchestration)</t>
  </si>
  <si>
    <t>LOG-07 (logging scope), LOG-08 (log records), LOG-14 (input monitoring), LOG-15 (output monitoring)</t>
  </si>
  <si>
    <t>OWASP ASI02 (Tool Misuse), ASI05 (Cascading Trust Failures), ASI10 (Rogue Agents), OpenTelemetry distributed tracing for GenAI</t>
  </si>
  <si>
    <t>MON-04.2</t>
  </si>
  <si>
    <t>Baseline-derived AI threat detection running at SOC cadence</t>
  </si>
  <si>
    <t>AI-specific detection content fires on deviation from baselines computed and refreshed from observed telemetry rather than static thresholds alone, spanning prompt injection and jailbreak, sensitive-data exfiltration, anomalous agent action sequences, abnormal delegation depth, and cost anomalies. Alerts triage through the primary SOC queue at the same cadence as non-AI alerts of equal severity.</t>
  </si>
  <si>
    <t>MEASURE 2.8; MEASURE 2</t>
  </si>
  <si>
    <t>MEASURE 2.8: - Instrument the system for measurement and tracking, e.g., by maintaining histories, audit logs and other information that can be used by AI actors to review and evaluate possible sources of error, bias, or vulnerability. - Calibrate controls for users in close collaboration with experts in user interaction and user experience (UI/UX), human computer interaction (HCI), and/or human-AI teaming. - Test provided explanations for calibration with different audiences including operators, end users, decision makers and decision subjects (individuals for whom decisions are being made), and to enable recourse for consequential system decisions that affect end users or subjects. - Measure and document human oversight of AI systems: - Document the degree of oversight that is provided by specified AI actors regarding AI system output.…</t>
  </si>
  <si>
    <t>Annex A.4; Annex A.6; Annex A.7; Annex A.9</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</si>
  <si>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t>
  </si>
  <si>
    <t>OWASP LLM01:2025 Prompt Injection, OWASP LLM02:2025 Sensitive Information Disclosure, OWASP LLM10:2025 Unbounded Consumption, MITRE ATLAS, NIST AI RMF MEASURE-2.8</t>
  </si>
  <si>
    <t>MON-04.3</t>
  </si>
  <si>
    <t>Sensitive-data detection events on AI flows consumed by the SIEM</t>
  </si>
  <si>
    <t>AI prompts and responses are scanned for sensitive data. Detection events are recorded in the SIEM tagged with the user or agent identity and the enterprise data classification, with the matched content redacted or hashed.</t>
  </si>
  <si>
    <t>LOG-14 (input monitoring), LOG-15 (output monitoring), LOG-03 (security monitoring and alerting)</t>
  </si>
  <si>
    <t>MEASURE 2.6; MEASURE 2</t>
  </si>
  <si>
    <t>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t>
  </si>
  <si>
    <t>OWASP LLM02:2025 Sensitive Information Disclosure, OWASP LLM06:2025 Excessive Agency (downstream), NIST AI RMF MEASURE-2.6</t>
  </si>
  <si>
    <t>MON-05.1</t>
  </si>
  <si>
    <t>Atomic automated response on high-severity AI events</t>
  </si>
  <si>
    <t>Defined high-severity AI events trigger an atomic automated response through SOAR or equivalent within minutes of detection. This can include session termination, credential revocation, deployment throttling, or circuit-break shutdown. The automation acts reliably on matching events, reverses rarely, and operates under a named approver with recurring review.</t>
  </si>
  <si>
    <t>OWASP LLM01:2025 Prompt Injection, OWASP LLM10:2025 Unbounded Consumption, OWASP ASI01 (Agent Goal Hijack), NIST AI RMF MANAGE-4</t>
  </si>
  <si>
    <t>MON-05.2</t>
  </si>
  <si>
    <t>AI threat hunting and cross-deployment behavioral baselines</t>
  </si>
  <si>
    <t>An AI threat-hunting program runs intelligence-driven hunts on a documented cadence, hands findings to IR, and produces detection-engineering output over time. Cross-deployment behavioral baselines support anomaly detection across the AI estate rather than per-deployment alone.</t>
  </si>
  <si>
    <t>LOG-05 (audit logs monitoring and response), LOG-03 (security monitoring and alerting), LOG-13 (failures and anomalies reporting)</t>
  </si>
  <si>
    <t>MEASURE 2.7; MANAGE 4.1; MEASURE 2; MANAGE 4</t>
  </si>
  <si>
    <t>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t>
  </si>
  <si>
    <t>Clause 8; Clause 9; Annex A.6</t>
  </si>
  <si>
    <t>Clause 8 – Operation: Plan, implement, and control AI operational processes; integrate AI risk assessment/treatment into operations; maintain and update AI system impact assessments. Clause 9 – Performance Evaluation: Monitor, measure, analyze, and evaluate the AIMS; perform internal audits; conduct management review at planned intervals. Annex A.6 – AI system life cycle: Define responsible development objectives, specify verification and validation, maintain technical documentation, and record/maintain event logs during system use.</t>
  </si>
  <si>
    <t>MITRE ATLAS, OWASP LLM / ASI top-10 (current version), NIST AI RMF MEASURE-2.7, MANAGE-4.1</t>
  </si>
  <si>
    <t>Infrastructure</t>
  </si>
  <si>
    <t>INF-02.1</t>
  </si>
  <si>
    <t>INF</t>
  </si>
  <si>
    <t>Separation of AI development, training, and production environments</t>
  </si>
  <si>
    <t>AI workloads are classified development, training, or production, and production AI compute and serving sit on a separate account, subscription, or documented network boundary from development and training. The AI environment inventory is reconciled against an independent discovery signal (such as CSPM/CNAPP capabilities or AI-SPM where deployed).</t>
  </si>
  <si>
    <t>Self-hosted (primary); PaaS and API/SaaS where the organization runs supporting infrastructure (orchestrators, agent frameworks, RAG services, vector stores)</t>
  </si>
  <si>
    <t>I&amp;S-05 (production / non-production separation), I&amp;S-06 (segmentation and segregation), DCS-05 (asset classification)</t>
  </si>
  <si>
    <t>GOVERN 1.5; GOVERN 1</t>
  </si>
  <si>
    <t>GOVERN 1.5: - Establish policies to allocate appropriate resources and capacity for assessing impacts of AI systems on individuals, communities and society. - Establish policies and procedures for monitoring and addressing AI system performance and trustworthiness, including bias and security problems, across the lifecycle of the system. - Establish policies for AI system incident response, or confirm that existing incident response policies apply to AI systems. - Establish policies to define organizational functions and personnel responsible for AI system monitoring and incident response activities. - Establish mechanisms to enable the sharing of feedback from impacted individuals or communities about negative impacts from AI systems. - Establish mechanisms to provide recourse for impacted individuals or communities to contest problematic AI system outcomes. - Establish opt-out mechanisms.</t>
  </si>
  <si>
    <t>Annex A.3; Annex A.4</t>
  </si>
  <si>
    <t>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t>
  </si>
  <si>
    <t>NIST AI RMF GOVERN-1.5, CSA AI Assessment Criteria INFRA-01 (approved hosting environment)</t>
  </si>
  <si>
    <t>INF-02.2</t>
  </si>
  <si>
    <t>AI hosting infrastructure included in enterprise vulnerability management</t>
  </si>
  <si>
    <t>AI hosting infrastructure including training clusters, inference hosts, orchestrator and agent-framework hosts, self-operated vector-store and RAG-service hosts, and the container images backing them are enrolled in the enterprise vulnerability scanning program under the same SLAs as everything else, with Critical and High findings tracked for remediation or formal exception.</t>
  </si>
  <si>
    <t>Self-hosted (primary); PaaS and API/SaaS where the organization runs supporting infrastructure</t>
  </si>
  <si>
    <t>TVM-03 (vulnerability identification), TVM-05 (external library vulnerabilities), TVM-07 (vulnerability remediation schedule), I&amp;S-04 (OS hardening and base controls)</t>
  </si>
  <si>
    <t>MAP 2.3; MAP 4.1; MANAGE 2.3; MANAGE 4.1</t>
  </si>
  <si>
    <t>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t>
  </si>
  <si>
    <t>Annex A.3; Annex A.4; Annex A.6</t>
  </si>
  <si>
    <t>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t>
  </si>
  <si>
    <t>CSA AI Assessment Criteria INFRA-05 (patching and endpoint security), NIST SP 800-40</t>
  </si>
  <si>
    <t>INF-03.1</t>
  </si>
  <si>
    <t>AI infrastructure provisioned from IaC against a hardened baseline</t>
  </si>
  <si>
    <t>A named, version-controlled AI-infrastructure security baseline covers host hardening and network defaults, and the production Infrastructure-as-Code that provisions training clusters, inference hosts, model-serving runtimes, orchestrator hosts, and self-operated RAG and vector-store infrastructure (e.g., Terraform, Bicep, Kubernetes manifests) imports or pins a version of that baseline.</t>
  </si>
  <si>
    <t>I&amp;S-04 (OS hardening and base controls), I&amp;S-01 (infrastructure and virtualization security policy), DCS-05 (asset classification)</t>
  </si>
  <si>
    <t>Annex A.3; Annex A.4; Annex A.6; Annex A.10</t>
  </si>
  <si>
    <t>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t>
  </si>
  <si>
    <t>CIS Benchmarks (Kubernetes, Linux, cloud-provider), NIST SP 800-190 (container security), CSA AI Assessment Criteria INFRA-01</t>
  </si>
  <si>
    <t>INF-03.2</t>
  </si>
  <si>
    <t>CSPM/CNAPP coverage of AI infrastructure with tracked findings</t>
  </si>
  <si>
    <t>AI hosting infrastructure is visible in the enterprise CSPM or CNAPP platform and runs against the production rule set plus a named AI-specific rule pack covering things like exposed model-serving endpoints, internet-reachable notebook services, and unencrypted self-operated vector stores. Critical and High findings are tracked to remediation or documented exception.</t>
  </si>
  <si>
    <t>I&amp;S-08 (network architecture documentation), I&amp;S-04 (OS hardening and base controls), DCS-05 (asset classification), CCC-07 (cloud configuration baseline assessment)</t>
  </si>
  <si>
    <t>MEASURE 2</t>
  </si>
  <si>
    <t>MEASURE 2: Parent AI RMF category/function referenced; use associated subcategory rows for testable control language.</t>
  </si>
  <si>
    <t>Annex A.4; Annex A.6</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</si>
  <si>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t>
  </si>
  <si>
    <t>CSA AI Assessment Criteria INFRA-04 (continuous security assessment), NIST AI RMF MEASURE-2</t>
  </si>
  <si>
    <t>INF-03.3</t>
  </si>
  <si>
    <t>Network isolation and controlled egress for AI inference and training</t>
  </si>
  <si>
    <t>Production AI workloads run inside a documented network-isolation boundary with deny-by-default egress restricted to a named allowlist of model APIs, MCP servers, RAG and vector-store backends, and platform dependencies. Externally reachable inference endpoints terminate at a named enterprise ingress control such as an API gateway or WAF-fronted load balancer, not directly on the workload host.</t>
  </si>
  <si>
    <t>Self-hosted (primary); PaaS and API/SaaS where the organization runs supporting infrastructure (agents, RAG, orchestrators, MCP servers)</t>
  </si>
  <si>
    <t>I&amp;S-03 (network security), I&amp;S-06 (segmentation and segregation), I&amp;S-09 (network defense), I&amp;S-08 (network architecture documentation)</t>
  </si>
  <si>
    <t>Annex A.3; Annex A.6; Annex A.8</t>
  </si>
  <si>
    <t>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t>
  </si>
  <si>
    <t>CSA AI Assessment Criteria INFRA-02 (network isolation), INFRA-03 (encrypted communications), OWASP LLM02:2025 Sensitive Information Disclosure</t>
  </si>
  <si>
    <t>INF-04.1</t>
  </si>
  <si>
    <t>Runtime security monitoring and enforcement on AI inference and training hosts</t>
  </si>
  <si>
    <t>Self-hosted AI inference, training, orchestrator, and agent-framework hosts run a runtime-security agent in prevention mode covering, at a minimum, code execution, container escape, and unauthorized process launch. Coverage is verified at deployment time so non-compliant hosts cannot enter production, and runtime alerts ship into the MON telemetry pipeline.</t>
  </si>
  <si>
    <t>Self-hosted (primary); agent-framework, orchestrator, and RAG hosts for all deployment types where the organization runs them</t>
  </si>
  <si>
    <t>TVM-02 (malware and malicious instructions protection), TVM-04 (detection updates), I&amp;S-09 (network defense), I&amp;S-04 (OS hardening and base controls)</t>
  </si>
  <si>
    <t>Annex A.3; Annex A.6</t>
  </si>
  <si>
    <t>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t>
  </si>
  <si>
    <t>Track role-based completion, knowledge checks, and refresh cadence. Define log schema, retention, access controls, alerting, and incident triage integration.</t>
  </si>
  <si>
    <t>CSA AI Assessment Criteria INFRA-05 (endpoint security), NIST SP 800-190, MITRE ATLAS (Execution, Exfiltration tactics)</t>
  </si>
  <si>
    <t>INF-04.2</t>
  </si>
  <si>
    <t>IaC pipeline security gates for AI infrastructure deployments</t>
  </si>
  <si>
    <t>IaC changes targeting production AI infrastructure pass a required automated pipeline stage running policy-as-code checks (such as Checkov, OPA/Rego, or Kyverno) against the INF-03.1 baseline, with violating changes blocked at merge or apply time. Bypasses and exceptions are logged with a named owner and expiration.</t>
  </si>
  <si>
    <t>I&amp;S-01 (infrastructure and virtualization security policy), I&amp;S-04 (OS hardening and base controls), TVM-05 (external library vulnerabilities for IaC), DCS-05 (asset classification)</t>
  </si>
  <si>
    <t>NIST SSDF PO.3, CIS Benchmarks, OpenSSF Scorecard</t>
  </si>
  <si>
    <t>INF-04.3</t>
  </si>
  <si>
    <t>Resilience of AI-specific stateful components</t>
  </si>
  <si>
    <t>The organization maintains backup-and-restore capability for AI-specific stateful components it operates such as self-operated vector stores and embedding indices, fine-tuned and self-hosted model artifacts, system prompts and agent configurations, RAG source caches, and the approved-model registry, with recorded RPO/RTO per component class and a restore drill exercised against each class annually.</t>
  </si>
  <si>
    <t>All (scope set by which AI-specific stateful components the organization operates)</t>
  </si>
  <si>
    <t>BCR-08 (backup), BCR-06 (business continuity exercises), BCR-11 (equipment redundancy), BCR-04 (business continuity planning)</t>
  </si>
  <si>
    <t>NIST AI RMF MANAGE-4, ISO 22301</t>
  </si>
  <si>
    <t>INF-04.4</t>
  </si>
  <si>
    <t>Initial zero trust enforcement on a named AI infrastructure plane</t>
  </si>
  <si>
    <t>A named production AI infrastructure access plane, such as model-serving management, training-cluster admin, or the orchestrator/agent-framework control plane, is gated by zero trust access. Legacy network-only paths to that plane are inventoried with named owners and a retirement plan.</t>
  </si>
  <si>
    <t>Self-hosted (primary); orchestrator, agent-framework, and RAG-hosting infrastructure for all deployment types where the organization operates them</t>
  </si>
  <si>
    <t>I&amp;S-03 (network security), I&amp;S-06 (segmentation and segregation), DCS-08 (equipment identification)</t>
  </si>
  <si>
    <t>NIST SP 800-207 (Zero Trust Architecture), CISA Zero Trust Maturity Model</t>
  </si>
  <si>
    <t>INF-05.1</t>
  </si>
  <si>
    <t>Zero trust enforcement extended to all AI infrastructure planes</t>
  </si>
  <si>
    <t>Administrative and developer access to all AI infrastructure planes (training clusters, inference management, model-serving runtimes, orchestrator and agent-framework control planes, and self-operated vector-store consoles) is gated by zero trust access. Legacy paths such as VPN-only access, shared admin credentials, and long-lived access keys are retired. Service-to-service access consumes the IAM-owned workload-identity pattern (SPIFFE/SPIRE or service-mesh mTLS).</t>
  </si>
  <si>
    <t>Self-hosted (primary); orchestrator, agent-framework, and RAG-hosting infrastructure for all deployment types</t>
  </si>
  <si>
    <t>I&amp;S-03 (network security), I&amp;S-06 (segmentation and segregation), I&amp;S-09 (network defense), DCS-08 (equipment identification)</t>
  </si>
  <si>
    <t>INF-05.2</t>
  </si>
  <si>
    <t>Immutable infrastructure and confidential computing for high-sensitivity AI workloads</t>
  </si>
  <si>
    <t>Production AI inference and training hosts run under an immutable-infrastructure pattern: configuration changes happen via image rebuild rather than in-place mutation, and hosts that exceed the baseline's age-since-last-rebuild limit are redeployed. Confidential computing is an available option for workloads classified high-sensitivity under the enterprise data-classification scheme (such as Nitro Enclaves or Confidential VMs) with attestation verified before workload admission.</t>
  </si>
  <si>
    <t>Self-hosted (primary for confidential computing); all deployment types where the organization operates supporting infrastructure (for immutable infrastructure)</t>
  </si>
  <si>
    <t>I&amp;S-04 (OS hardening and base controls), I&amp;S-06 (segmentation and segregation), DCS-05 (asset classification), BCR-03 (business continuity strategy)</t>
  </si>
  <si>
    <t>Annex A.2; Annex A.3; Annex A.4; Annex A.7; Annex A.8</t>
  </si>
  <si>
    <t>Annex A.2 – Policies related to AI: Document and approve AI policy, include responsible AI principles and continual improvement, review policy regularly, and align it to other relevant organizational policies. 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t>
  </si>
  <si>
    <t>Confidential Computing Consortium reference architectures, NIST SP 800-190, Google Confidential VMs / AWS Nitro Enclaves / Azure Confidential Computing documentation</t>
  </si>
  <si>
    <t>Model Security</t>
  </si>
  <si>
    <t>MOD-02.1</t>
  </si>
  <si>
    <t>MOD</t>
  </si>
  <si>
    <t>Model inventory with pre-deployment risk review</t>
  </si>
  <si>
    <t>An inventory of production models is maintained across PaaS, API/SaaS, and self-hosted deployments, with major deployments carrying a dated pre-deployment risk review. The inventory reflects current production usage at a documented refresh cadence.</t>
  </si>
  <si>
    <t>MDS-12 (open model risk assessment), MDS-04 (model documentation requirements)</t>
  </si>
  <si>
    <t>OWASP LLM03:2025 Supply Chain, NIST AI RMF MAP-1, MITRE ATLAS (Model Supply Chain)</t>
  </si>
  <si>
    <t>MOD-02.2</t>
  </si>
  <si>
    <t>Model safety review for high-criticality deployments</t>
  </si>
  <si>
    <t>Every high-criticality production deployment in the MOD-02.1 inventory has a documented pre-production model-safety review sourced from the model's published safety characteristics. Reviews are scoped per unique model and deployment-type combination, not per individual deployment.</t>
  </si>
  <si>
    <t>MDS-04 (model documentation requirements)</t>
  </si>
  <si>
    <t>MAP 1.1; MEASURE 2.4; MEASURE 2.6; MANAGE 2.3; MANAGE 4.1</t>
  </si>
  <si>
    <t>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2.4: - Monitor and document how metrics and performance indicators observed in production differ from the same metrics collected during pre-deployment testing. When differences are observed, consider error propagation and feedback loop risks. - Utilize hypothesis testing or human domain expertise to measure monitored distribution differences in new input or output data relative to test environments - Monitor for anomalies using approaches such as control limits, confidence intervals, integrity constraints and ML algorithms. When anomalies are observed, consider error propagation and feedback loop risks. - Verify alerts are in place for when distributions in new input data or generated predictions observed in production differ from pre-deployment test outcomes, or when anomalies are detected.…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t>
  </si>
  <si>
    <t>Provider model cards / system cards (Anthropic model cards, OpenAI system cards, Google AI Principles evaluations)</t>
  </si>
  <si>
    <t>MOD-03.1</t>
  </si>
  <si>
    <t>Model approval includes documented safety evaluation of the model</t>
  </si>
  <si>
    <t>Every approved-model registry entry carries a safety evaluation applied under written criteria, signed off by a named approval authority before the model enters the registry. The evaluation is re-performed when a new model version is added.</t>
  </si>
  <si>
    <t>MDS-03 (model documentation), MDS-04 (model documentation requirements), MDS-06 (adversarial attack analysis), MDS-12 (open model risk assessment — for open/third-party models)</t>
  </si>
  <si>
    <t>Annex A.3; Annex A.4; Annex A.6; Annex A.7; Annex A.8; Annex A.10</t>
  </si>
  <si>
    <t>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t>
  </si>
  <si>
    <t>NIST AI RMF Map function; OWASP LLM04:2025 Data and Model Poisoning; model provider safety documentation (Anthropic model cards, OpenAI system cards, Google AI Principles evaluations)</t>
  </si>
  <si>
    <t>MOD-03.2</t>
  </si>
  <si>
    <t>Approved models and pinned versions in production</t>
  </si>
  <si>
    <t>Production AI workloads invoke only registry-approved models pinned to a specific version. Floating aliases such as "latest" are prohibited in production, exceptions are documented and time-bounded, and rollback to the prior approved version has been exercised.</t>
  </si>
  <si>
    <t>MDS-12 (open model risk assessment — registry entries), MDS-09 (model signing / ownership verification — cross-reference for self-hosted version identity)</t>
  </si>
  <si>
    <t>NIST AI RMF Govern function; OWASP LLM03:2025 Supply Chain Vulnerabilities</t>
  </si>
  <si>
    <t>MOD-03.3</t>
  </si>
  <si>
    <t>Baseline production monitoring of model behavior</t>
  </si>
  <si>
    <t>Each production model deployment in the MOD-02.1 inventory reports at least one model-behavior metric beyond request counts and latency, with a named deployment owner who reviews it on a recorded cadence.</t>
  </si>
  <si>
    <t>MDS-10 (model continuous monitoring)</t>
  </si>
  <si>
    <t>Annex A.4; Annex A.6; Annex A.8</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</si>
  <si>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t>
  </si>
  <si>
    <t>NIST AI RMF MEASURE-2.6, OWASP LLM09:2025 Misinformation (hallucination baseline)</t>
  </si>
  <si>
    <t>MOD-04.1</t>
  </si>
  <si>
    <t>Signing, load-time verification, and provenance attestation for self-hosted models</t>
  </si>
  <si>
    <t>Every self-hosted model in production is cryptographically signed at build time and carries a provenance attestation. The serving runtime verifies signatures at load against approved signer identities and fails closed on unsigned or invalid artifacts, enforced by a policy gate rather than operator discipline.</t>
  </si>
  <si>
    <t>Self-hosted only (PaaS and API/SaaS model integrity is provider-owned)</t>
  </si>
  <si>
    <t>MDS-09 (model signing / ownership verification), MDS-08 (model integrity checks), MDS-02 (artifact scanning)</t>
  </si>
  <si>
    <t>Annex A.2; Annex A.6; Annex A.7; Annex A.8; Annex A.10</t>
  </si>
  <si>
    <t>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t>
  </si>
  <si>
    <t>OpenSSF Model Signing (OMS) / sigstore model-transparency, in-toto attestation, OWASP LLM03:2025 Supply Chain (lack of provenance)</t>
  </si>
  <si>
    <t>MOD-04.2</t>
  </si>
  <si>
    <t>Adversarial and bias testing at the model layer</t>
  </si>
  <si>
    <t>Approved models in production are tested for adversarial robustness or bias and harm at the model layer with documented thresholds. Findings are severity-rated and tracked to remediation or accepted risk under a named owner.</t>
  </si>
  <si>
    <t>All (testing is performed against the model at its inference API — base-model behavior — not against the deployed application stack; for self-hosted and fine-tuned models, testing can additionally reach model weights)</t>
  </si>
  <si>
    <t>MDS-06 (adversarial attack analysis), MDS-07 (robustness / model hardening)</t>
  </si>
  <si>
    <t>Annex A.5; Annex A.6</t>
  </si>
  <si>
    <t>Annex A.5 – Assessing impacts of AI systems: Perform documented, repeatable impact assessments on individuals, groups, or society; update after significant changes; feed findings into design, controls, and stakeholder communication. Annex A.6 – AI system life cycle: Define responsible development objectives, specify verification and validation, maintain technical documentation, and record/maintain event logs during system use.</t>
  </si>
  <si>
    <t>NIST AI RMF MEASURE-2.7, OWASP LLM09:2025 Misinformation, MITRE ATLAS</t>
  </si>
  <si>
    <t>MOD-04.3</t>
  </si>
  <si>
    <t>Drift and model-behavior monitoring with routed alerts</t>
  </si>
  <si>
    <t>Production model deployments run drift or behavioral-change monitoring with documented thresholds. Alerts route to a named on-call queue, and investigated alerts produce a recorded action outcome.</t>
  </si>
  <si>
    <t>All (PaaS and API/SaaS deployments implement drift detection against observable model outputs since the provider controls weights; self-hosted deployments can add weight-level or embedding-level drift signals)</t>
  </si>
  <si>
    <t>MDS-10 (model continuous monitoring), MDS-11 (model failure)</t>
  </si>
  <si>
    <t>MEASURE 2.8; MANAGE 4; MEASURE 2</t>
  </si>
  <si>
    <t>NIST AI RMF MEASURE-2.8, NIST AI RMF MANAGE-4</t>
  </si>
  <si>
    <t>MOD-05.1</t>
  </si>
  <si>
    <t>CI/CD gating on model registry and version updates</t>
  </si>
  <si>
    <t>Model registry changes pass an automated pipeline gate that runs the MOD-04.2 model-layer test suite against version-controlled thresholds, blocks regressions, and verifies MOD-04.1 signature and provenance for self-hosted promotions. Bypass requires a time-bounded exception with a named approver.</t>
  </si>
  <si>
    <t>All (applies to PaaS/API model-version changes in the registry, self-hosted retrain or fine-tune releases, and any registry-level change to an approved model's accepted parameter bounds)</t>
  </si>
  <si>
    <t>MDS-06 (adversarial attack analysis), MDS-07 (robustness / model hardening), MDS-02 (artifact scanning)</t>
  </si>
  <si>
    <t>Annex A.4; Annex A.6; Annex A.7</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</si>
  <si>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t>
  </si>
  <si>
    <t>NIST AI RMF MEASURE-2.7, OWASP LLM04:2025 Data and Model Poisoning</t>
  </si>
  <si>
    <t>MOD-05.2</t>
  </si>
  <si>
    <t>Proactive response to provider and ecosystem changes</t>
  </si>
  <si>
    <t>Automated feeds detect provider-side model changes across every provider and open-model source in the inventory. Each detection opens a tracked item routed to the owning team, and production-affecting changes (such as deprecations or safety-behavior regressions) trigger a documented impact assessment within a defined SLA.</t>
  </si>
  <si>
    <t>All (primary weight on PaaS and API/SaaS where the provider controls change cadence; self-hosted covered through open-model source monitoring)</t>
  </si>
  <si>
    <t>MDS-10 (model continuous monitoring — primary), MDS-11 (model failure), MDS-12 (open model risk assessment — reassessment of Hugging Face model-card changes against prior risk review)</t>
  </si>
  <si>
    <t>MANAGE 4.1; MANAGE 4</t>
  </si>
  <si>
    <t>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t>
  </si>
  <si>
    <t>Annex A.4; Annex A.5; Annex A.6; Annex A.10</t>
  </si>
  <si>
    <t>Annex A.4 – Resources for AI systems: Maintain a register of AI resources including data, tools, systems, people, tooling, compute resources, and relevant operational/environmental impacts. Annex A.5 – Assessing impacts of AI systems: Perform documented, repeatable impact assessments on individuals, groups, or society; update after significant changes; feed findings into design, controls, and stakeholder communication.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t>
  </si>
  <si>
    <t>OWASP LLM03:2025 Supply Chain, NIST AI RMF MANAGE-4.1</t>
  </si>
  <si>
    <t>App Security</t>
  </si>
  <si>
    <t>APP-02.1</t>
  </si>
  <si>
    <t>APP</t>
  </si>
  <si>
    <t>AI application inventory with AI-specific risk fields</t>
  </si>
  <si>
    <t>An inventory of production AI-enabled applications is maintained with the model used and customer-facing or untrusted-content flags. Major applications carry a dated prompt-injection and output-handling risk assessment. The inventory reflects current production usage at a documented refresh cadence.</t>
  </si>
  <si>
    <t>AIS-02 (application security baseline requirements), AIS-08 (input validation), AIS-09 (output validation)</t>
  </si>
  <si>
    <t>MAP 1.1; MEASURE 2.6; MANAGE 2.3; MANAGE 4.1</t>
  </si>
  <si>
    <t>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t>
  </si>
  <si>
    <t>Annex A.4; Annex A.5; Annex A.6; Annex A.8; Annex A.9; Annex A.10</t>
  </si>
  <si>
    <t>Annex A.4 – Resources for AI systems: Maintain a register of AI resources including data, tools, systems, people, tooling, compute resources, and relevant operational/environmental impacts. Annex A.5 – Assessing impacts of AI systems: Perform documented, repeatable impact assessments on individuals, groups, or society; update after significant changes; feed findings into design, controls, and stakeholder communication. 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</si>
  <si>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OWASP LLM01:2025 Prompt Injection, OWASP LLM05:2025 Improper Output Handling, OWASP LLM02:2025 Sensitive Information Disclosure</t>
  </si>
  <si>
    <t>APP-02.2</t>
  </si>
  <si>
    <t>Guardrails and prompt separation on high-exposure applications</t>
  </si>
  <si>
    <t>Major AI applications (customer-facing or processing untrusted content) run behind a managed guardrail layer such as Bedrock Guardrails, Azure AI Content Safety, OpenAI moderation, or a self-hosted equivalent on input or output.</t>
  </si>
  <si>
    <t>AIS-08 (input validation), AIS-09 (output validation), AIS-15 (prompt differentiation)</t>
  </si>
  <si>
    <t>Annex A.6; Annex A.8; Annex A.9; Annex A.10</t>
  </si>
  <si>
    <t>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</si>
  <si>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OWASP LLM01:2025 Prompt Injection, OWASP LLM05:2025 Improper Output Handling</t>
  </si>
  <si>
    <t>APP-03.1</t>
  </si>
  <si>
    <t>AI application security baseline with attested conformance</t>
  </si>
  <si>
    <t>A versioned AI application security baseline defines what secure looks like across deployment types, covering prompt separation, indirect-injection filtering, minimum guardrail configuration, output handling by destination, and AI API-endpoint hardening. Critical AI applications (customer-facing and processing untrusted content) record dated conformance to the baseline, with exceptions carrying a named approver and a time-bound expiration.</t>
  </si>
  <si>
    <t>AIS-02 (application security baseline requirements), AIS-03 (application security metrics), AIS-08 (input validation), AIS-09 (output validation), AIS-15 (prompt differentiation)</t>
  </si>
  <si>
    <t>OWASP LLM01:2025 Prompt Injection, OWASP LLM02:2025 Sensitive Information Disclosure, OWASP LLM05:2025 Improper Output Handling, NIST AI RMF GOVERN-1.4</t>
  </si>
  <si>
    <t>APP-03.2</t>
  </si>
  <si>
    <t>Agent tool allowlist and application-facing MCP review</t>
  </si>
  <si>
    <t>Agentic production applications run inside a documented tool allowlist with deny-by-default. MCP servers used by these applications pass an application-facing security review before production deployment, with re-review on major version updates.</t>
  </si>
  <si>
    <t>AIS-11 (agent security boundaries), AIS-13 (AI sandboxing), AIS-04 (secure SDLC)</t>
  </si>
  <si>
    <t>Annex A.6; Annex A.9; Annex A.10</t>
  </si>
  <si>
    <t>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</si>
  <si>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OWASP LLM06:2025 Excessive Agency, OWASP Agentic Security Initiative ASI02 (Tool Misuse), ASI04 (Supply Chain Vulnerabilities), MCP Security Best Practices</t>
  </si>
  <si>
    <t>APP-03.3</t>
  </si>
  <si>
    <t>Sandboxed runtimes for high-risk agent types</t>
  </si>
  <si>
    <t>Agents that execute code, automate developer workflows, or interact with untrusted environments run in sandboxed runtimes (containers, VMs, OS-level sandboxes, or hosted code-execution sandboxes). The sandbox boundary is documented per agent type.</t>
  </si>
  <si>
    <t>AIS-13 (AI sandboxing), AIS-11 (agent security boundaries)</t>
  </si>
  <si>
    <t>OWASP LLM06:2025 Excessive Agency, OWASP ASI02 (Tool Misuse)</t>
  </si>
  <si>
    <t>APP-04.1</t>
  </si>
  <si>
    <t>Centralized AI gateway for production AI traffic</t>
  </si>
  <si>
    <t>Production AI applications route model calls, MCP server calls, and external tool calls through a centralized AI gateway (such as LiteLLM, Kong AI Gateway, or a self-hosted equivalent). The gateway applies guardrails, tool allowlists, and authentication policies, so applications cannot bypass these controls by calling endpoints directly.</t>
  </si>
  <si>
    <t>AIS-06 (secure application deployment), AIS-08 (input validation), AIS-09 (output validation), AIS-10 (API security), AIS-15 (prompt differentiation)</t>
  </si>
  <si>
    <t>OWASP LLM01:2025 Prompt Injection, OWASP LLM05:2025 Improper Output Handling, NIST AI RMF MEASURE-2.6</t>
  </si>
  <si>
    <t>APP-04.2</t>
  </si>
  <si>
    <t>Deterministic boundaries on agent execution</t>
  </si>
  <si>
    <t>Agent execution operates under deterministic boundaries the agent's reasoning cannot override: sandboxed runtimes (containers, VMs, or OS-level sandboxes for desktop agents), bounded loop iterations, deny-by-default tool allowlists enforced by a centralized policy engine (such as OPA or Cedar), human-in-the-loop interrupts for high-risk actions, and limits on multi-agent interactions.</t>
  </si>
  <si>
    <t>AIS-11 (agent security boundaries), AIS-13 (AI sandboxing)</t>
  </si>
  <si>
    <t>OWASP LLM06:2025 Excessive Agency, OWASP ASI01 (Agent Goal Hijack), ASI02 (Tool Misuse), ASI09 (Human-Agent Trust Exploitation)</t>
  </si>
  <si>
    <t>APP-04.3</t>
  </si>
  <si>
    <t>App-stack adversarial testing with layer attribution</t>
  </si>
  <si>
    <t>Critical AI applications (customer-facing or processing untrusted content) run app-stack adversarial tests against the deployed system prompt, guardrails, and tool restrictions on a defined cadence. Findings are labelled app-stack-layer or model-layer so remediation routes to the right owner.</t>
  </si>
  <si>
    <t>AIS-05 (application security testing), AIS-07 (application vulnerability remediation)</t>
  </si>
  <si>
    <t>OWASP LLM01:2025 Prompt Injection, OWASP ASI01 (Agent Goal Hijack), ASI02 (Tool Misuse), NIST AI RMF MEASURE-2.7</t>
  </si>
  <si>
    <t>APP-05.1</t>
  </si>
  <si>
    <t>Guardrail and test-suite tuning loop on a defined SLA</t>
  </si>
  <si>
    <t>New attack patterns from telemetry, red-team findings, and external threat intel translate into updated guardrail configurations and updated adversarial test suites on a defined SLA, with version-controlled artifacts and a named owner.</t>
  </si>
  <si>
    <t>AIS-03 (application security metrics), AIS-07 (application vulnerability remediation), AIS-08 (input validation), AIS-09 (output validation)</t>
  </si>
  <si>
    <t>OWASP LLM01:2025 Prompt Injection, OWASP ASI01 (Agent Goal Hijack), NIST AI RMF MANAGE-4, MITRE ATLAS</t>
  </si>
  <si>
    <t>APP-05.2</t>
  </si>
  <si>
    <t>Shared agent policy baseline and qualified red-team exercises</t>
  </si>
  <si>
    <t>Agent operations share common deny-lists and high-risk action categories at the APP-04.2 enforcement layer while permitting per-application customization above that baseline. A qualified independent red team exercises the AI application portfolio on a defined cadence, with findings feeding the APP-05.1 tuning loop.</t>
  </si>
  <si>
    <t>AIS-05 (application security testing), AIS-11 (agent security boundaries)</t>
  </si>
  <si>
    <t>OWASP LLM06:2025 Excessive Agency, OWASP ASI02 (Tool Misuse), ASI08 (Cascading Failures), NIST AI RMF MEASURE-2.7</t>
  </si>
  <si>
    <t>Data Security</t>
  </si>
  <si>
    <t>DAT-02.1</t>
  </si>
  <si>
    <t>DAT</t>
  </si>
  <si>
    <t>RAG source inventory with approval record</t>
  </si>
  <si>
    <t>An inventory of production AI data sources (RAG feeds, knowledge bases, grounding connectors) is maintained, with each entry carrying a dated pre-connection approval. The inventory is refreshed on a defined cadence and reconciled against ingestion telemetry (e.g. CSPM/AI-SPM) discovery where deployed).</t>
  </si>
  <si>
    <t>DSP-03 (data inventory), DSP-20 (data provenance and transparency), DSP-04 (data classification)</t>
  </si>
  <si>
    <t>OWASP LLM04:2025 Data and Model Poisoning, OWASP LLM08:2025 Vector and Embedding Weaknesses, NIST AI RMF MAP-4</t>
  </si>
  <si>
    <t>DAT-02.2</t>
  </si>
  <si>
    <t>Vector store authentication and default-deny network posture</t>
  </si>
  <si>
    <t>Vector stores and knowledge-base indexes backing production AI applications require authentication, encrypt data in transit and at rest, and stay off the public internet. Anonymous access and default credentials are prohibited; any public endpoint carries a time-bounded exception with a named approver.</t>
  </si>
  <si>
    <t>Self-hosted, PaaS (where the customer configures the vector store); API/SaaS vector behavior inherits from the provider and is covered by provider assessment in RSK</t>
  </si>
  <si>
    <t>DSP-17 (sensitive data protection), CEK-03 (data encryption in transit / at rest)</t>
  </si>
  <si>
    <t>MAP 2.2; MAP 3.4; MEASURE 2.7; MANAGE 2.3</t>
  </si>
  <si>
    <t>MAP 2.2: - Document settings, environments and conditions that are outside the AI system’s intended use. - Design for end user workflows and toolsets, concept of operations, and explainability and interpretability criteria in conjunction with end user(s) and associated qualitative feedback. - Plan and test human-AI configurations under close to real-world conditions and document results. - Follow stakeholder feedback processes to determine whether a system achieved its documented purpose within a given use context, and whether end users can correctly comprehend system outputs or results. - Document dependencies on upstream data and other AI systems, including if the specified system is an upstream dependency for another AI system or other data.… 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t>
  </si>
  <si>
    <t>OWASP LLM08:2025 Vector and Embedding Weaknesses, CIS Benchmarks for the underlying data platform</t>
  </si>
  <si>
    <t>DAT-03.1</t>
  </si>
  <si>
    <t>Approval gate on AI data sources with classification and sensitive-data scan</t>
  </si>
  <si>
    <t>New data sources connected to a production AI application (RAG feeds, knowledge bases, grounding sources, training sets, fine-tuning sets) pass through an approval workflow that attaches a sensitive-data scan result and a named second-function approver distinct from the data owner. Unapproved sources are not used with AI applications.</t>
  </si>
  <si>
    <t>DSP-04 (data classification), DSP-17 (sensitive data protection), DSP-20 (data provenance and transparency), DSP-24 (training-data differentiation and relevance)</t>
  </si>
  <si>
    <t>MAP 4; GOVERN 5</t>
  </si>
  <si>
    <t>MAP 4: Parent AI RMF category/function referenced; use associated subcategory rows for testable control language.; GOVERN 5: Parent AI RMF category/function referenced; use associated subcategory rows for testable control language.</t>
  </si>
  <si>
    <t>Annex A.3; Annex A.6; Annex A.7</t>
  </si>
  <si>
    <t>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t>
  </si>
  <si>
    <t>OWASP LLM02:2025 Sensitive Information Disclosure, OWASP LLM04:2025 Data and Model Poisoning, NIST AI RMF MAP-4, GOVERN-5</t>
  </si>
  <si>
    <t>DAT-03.2</t>
  </si>
  <si>
    <t>Vector-Store tenant isolation with cross-context denial test</t>
  </si>
  <si>
    <t>Production vector stores document how they isolate tenants or applications, and the boundary is exercised with a cross-context denial test on a defined cadence. A test identity scoped to one context returns nothing from another; failures are remediated and retested.</t>
  </si>
  <si>
    <t>Self-hosted, PaaS (customer-configured knowledge bases); API/SaaS inherits from provider</t>
  </si>
  <si>
    <t>DSP-17 (sensitive data protection), DSP-07 (data protection by design)</t>
  </si>
  <si>
    <t>OWASP LLM08:2025 Vector and Embedding Weaknesses, OWASP LLM02:2025 Sensitive Information Disclosure</t>
  </si>
  <si>
    <t>DAT-03.3</t>
  </si>
  <si>
    <t>Input and output sensitive-data filtering on production AI applications</t>
  </si>
  <si>
    <t>Production AI applications scan inputs and outputs for sensitive data, covering the regulated PII entities for the organization's jurisdictions and industries. Each entity has a defined action (block, mask, or redact), and filter events flow to telemetry.</t>
  </si>
  <si>
    <t>DSP-17 (sensitive data protection), DSP-10 (sensitive data transfer), DSP-11 (personal data access)</t>
  </si>
  <si>
    <t>OWASP LLM02:2025 Sensitive Information Disclosure, NIST AI RMF MEASURE-2.10, regulatory basis (GLBA, CCPA, GDPR, PCI-DSS) as applicable</t>
  </si>
  <si>
    <t>DAT-04.1</t>
  </si>
  <si>
    <t>Permission-Aware retrieval for RAG over access-controlled sources</t>
  </si>
  <si>
    <t>RAG applications retrieving from access-controlled sources filter results against the requesting user's entitlements before content reaches the model. Filtering happens at the vector layer using ACLs captured at ingestion, the retrieval layer fails closed when permission sync breaks.</t>
  </si>
  <si>
    <t>All (pattern differs by deployment type; see Description)</t>
  </si>
  <si>
    <t>OWASP LLM02:2025 Sensitive Information Disclosure, OWASP LLM08:2025 Vector and Embedding Weaknesses, NIST AI RMF MEASURE-2.10</t>
  </si>
  <si>
    <t>DAT-04.2</t>
  </si>
  <si>
    <t>Approved-source allowlist enforced for all production AI</t>
  </si>
  <si>
    <t>Production RAG indexes and training datasets feed only from approved sources, with each indexed document or training record carrying provenance metadata (source identifier, ingest time). Source additions, removals, and revocations are logged with a named approver, and revocation propagates to production indexes within a defined SLA.</t>
  </si>
  <si>
    <t>DSP-23 (data integrity check / dataset versioning), DSP-20 (data provenance and transparency), DSP-05 (data flow documentation), DSP-21 (data poisoning prevention — version as preventive baseline)</t>
  </si>
  <si>
    <t>MAP 4; MEASURE 2</t>
  </si>
  <si>
    <t>MAP 4: Parent AI RMF category/function referenced; use associated subcategory rows for testable control language.; MEASURE 2: Parent AI RMF category/function referenced; use associated subcategory rows for testable control language.</t>
  </si>
  <si>
    <t>OWASP LLM04:2025 Data and Model Poisoning, NIST AI RMF MAP-4, MEASURE-2.10</t>
  </si>
  <si>
    <t>DAT-05.1</t>
  </si>
  <si>
    <t>RAG citations and continuous source posture monitoring</t>
  </si>
  <si>
    <t>Production RAG responses include source citations linking to the contributing documents. Approved sources are continuously monitored for compromise indicators, with detected events triggering automated quarantine and revocation propagating to production indexes within an hour.</t>
  </si>
  <si>
    <t>All (training lineage is primary for self-hosted and fine-tuned models; RAG lineage applies across all three)</t>
  </si>
  <si>
    <t>DSP-20 (data provenance and transparency), DSP-05 (data flow documentation), DSP-23 (dataset versioning)</t>
  </si>
  <si>
    <t>MAP 4; MEASURE 2; GOVERN 1</t>
  </si>
  <si>
    <t>MAP 4: Parent AI RMF category/function referenced; use associated subcategory rows for testable control language.; MEASURE 2: Parent AI RMF category/function referenced; use associated subcategory rows for testable control language.; GOVERN 1: Parent AI RMF category/function referenced; use associated subcategory rows for testable control language.</t>
  </si>
  <si>
    <t>NIST AI RMF MAP-4, MEASURE-2.10, GOVERN-1; W3C PROV Data Model; EU AI Act Article 10 (data governance for high-risk systems)</t>
  </si>
  <si>
    <t>DAT-05.2</t>
  </si>
  <si>
    <t>Poisoning and Adversarial-pattern scanning on training and RAG content</t>
  </si>
  <si>
    <t>Training data, fine-tuning data, and production RAG and grounding content under the organization's control are scanned for poisoning and adversarial patterns on ingestion and on material update. Scans cover embedded prompt-injection payloads, embedding-space distribution shifts, and matches against an AI-specific threat-intelligence feed; findings route to a named owner under SLA. Foundation-model pretraining is out of scope.</t>
  </si>
  <si>
    <t>All (scope covers training and fine-tuning data under organization control; RAG and grounding content across deployment types; foundation-model pretraining is provider-owned)</t>
  </si>
  <si>
    <t>DSP-21 (data poisoning prevention and detection), DSP-23 (data integrity check), DSP-17 (sensitive data protection — adjacent)</t>
  </si>
  <si>
    <t>Annex A.3; Annex A.6; Annex A.7; Annex A.9</t>
  </si>
  <si>
    <t>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t>
  </si>
  <si>
    <t>OWASP LLM04:2025 Data and Model Poisoning, OWASP LLM05:2025 Improper Output Handling (adjacent), NIST AI RMF MEASURE-2.7, MITRE ATLAS (Poison Training Data, LLM Meta Prompt Extraction)</t>
  </si>
  <si>
    <t>Risk Assessment</t>
  </si>
  <si>
    <t>RSK-02.1</t>
  </si>
  <si>
    <t>RSK</t>
  </si>
  <si>
    <t>Approved AI provider registry with risk ratings and data classifications</t>
  </si>
  <si>
    <t>A registry of approved AI providers records a risk rating and maximum data classification for each major provider in use, and project leads consult it before using a provider with a given data type.</t>
  </si>
  <si>
    <t>STA-08 (supply chain inventory), STA-09 (supply chain risk management), GRC-02 (AI risk management program)</t>
  </si>
  <si>
    <t>MAP 1.1; MAP 3.4; MEASURE 1.1; MEASURE 2.1; MANAGE 1.2</t>
  </si>
  <si>
    <t>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2.1: - Leverage existing industry best practices for transparency and documentation of all possible aspects of measurements. Examples include: data sheet for data sets, model cards - Regularly assess the effectiveness of tools used to document measurement approaches, test sets, metrics, processes and materials used - Update the tools as needed MANAGE 1.2: - Assign risk management resources relative to established risk tolerance. AI systems with lower risk tolerances receive greater oversight, mitigation and management resources.…</t>
  </si>
  <si>
    <t>Annex A.4; Annex A.7; Annex A.10</t>
  </si>
  <si>
    <t>Annex A.4 – Resources for AI systems: Maintain a register of AI resources including data, tools, systems, people, tooling, compute resources, and relevant operational/environmental impacts.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t>
  </si>
  <si>
    <t>Maintain authoritative AI inventory; link assets to owners, use cases, providers, data classes, and risk tiers. Tie provider/model/library onboarding to supplier risk, licensing, model/data provenance, and AI-BOM/SBOM records.</t>
  </si>
  <si>
    <t>NIST AI RMF Map function; CSA AI-CAIQ (reference framework)</t>
  </si>
  <si>
    <t>RSK-02.2</t>
  </si>
  <si>
    <t>AI project risk assessment at initiation</t>
  </si>
  <si>
    <t>Major AI projects (those meeting a written in-scope definition) do not launch to production without a dated security risk assessment naming providers, models, data classification, risk rating, and reviewer.</t>
  </si>
  <si>
    <t>GRC-02 (AI risk management program), GRC-10 (AI impact assessment)</t>
  </si>
  <si>
    <t>Annex A.5; Annex A.6; Annex A.7; Annex A.10</t>
  </si>
  <si>
    <t>Annex A.5 – Assessing impacts of AI systems: Perform documented, repeatable impact assessments on individuals, groups, or society; update after significant changes; feed findings into design, controls, and stakeholder communication.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t>
  </si>
  <si>
    <t>NIST AI RMF Map function; ISO/IEC 23894 (AI risk management)</t>
  </si>
  <si>
    <t>RSK-03.1</t>
  </si>
  <si>
    <t>Standardized AI provider assessment against a named framework</t>
  </si>
  <si>
    <t>Providers in the registry are assessed against a single named methodology (via STAR registry, AI-CAIQ, an AICM-derived questionnaire, ISO/IEC 42001 provider alignment, or documented equivalent), and each provider's approved data-classification scope traces to a specific finding in the assessment.</t>
  </si>
  <si>
    <t>STA-15 (supply chain data security assessment), STA-12 (supply chain compliance assessment), GRC-02 (AI risk management program)</t>
  </si>
  <si>
    <t>Annex A.2; Annex A.4; Annex A.7; Annex A.10</t>
  </si>
  <si>
    <t>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t>
  </si>
  <si>
    <t>CSA AI-CAIQ; CSA AICM v1.0.3; ISO/IEC 42001; NIST AI RMF Govern/Map</t>
  </si>
  <si>
    <t>RSK-03.2</t>
  </si>
  <si>
    <t>Scheduled provider reassessment with evidenced completion</t>
  </si>
  <si>
    <t>Providers in the registry are reassessed on a written cadence (at least annually, more often for higher-risk providers), and an overdue entry is either closed with evidence, carries a named risk acceptance, or is flipped to a restricted flag that blocks new use until the reassessment is done.</t>
  </si>
  <si>
    <t>STA-09 (supply chain risk management — periodic review), STA-11 (supply chain agreement review), STA-14 (supply chain governance review)</t>
  </si>
  <si>
    <t>GOVERN 6</t>
  </si>
  <si>
    <t>GOVERN 6: Parent AI RMF category/function referenced; use associated subcategory rows for testable control language.</t>
  </si>
  <si>
    <t>CSA AICM v1.0.3; NIST AI RMF Govern-6</t>
  </si>
  <si>
    <t>RSK-03.3</t>
  </si>
  <si>
    <t>Open and Third-party model risk evaluation before adoption</t>
  </si>
  <si>
    <t>Open-source and third-party models reach production only after a documented evaluation of provenance, license, publisher trust, and known security findings, signed by a named approver and linked to the model's entry in the approved model registry.</t>
  </si>
  <si>
    <t>Self-hosted, PaaS where customer-brought open models are supported (Bedrock Marketplace, Azure AI Foundry model catalog, Vertex AI Model Garden)</t>
  </si>
  <si>
    <t>GRC-02 (AI risk management program), STA-15 (supply chain data security assessment — open-model source), MDS-12 (open model risk assessment — cross-reference to MOD inventory)</t>
  </si>
  <si>
    <t>Annex A.4; Annex A.6; Annex A.7; Annex A.8; Annex A.10</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</si>
  <si>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t>
  </si>
  <si>
    <t>NIST AI RMF Map-4; OWASP LLM03:2025 Supply Chain; Hugging Face model cards and provider transparency documentation</t>
  </si>
  <si>
    <t>RSK-04.1</t>
  </si>
  <si>
    <t>Provider change triggers reassessment within SLA</t>
  </si>
  <si>
    <t>A material change at an approved provider (new model release, ToS shift, security incident, deprecation, or ownership change) opens a reassessment item on a defined SLA, and the item closes with an updated assessment or recorded risk acceptance before the SLA expires.</t>
  </si>
  <si>
    <t>STA-09 (supply chain risk management), STA-11 (supply chain agreement review on significant change), MDS-10 (continuous monitoring — provider-change detection cross-reference)</t>
  </si>
  <si>
    <t>Annex A.6; Annex A.8; Annex A.10</t>
  </si>
  <si>
    <t>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t>
  </si>
  <si>
    <t>NIST AI RMF Manage-4.1; OWASP LLM03:2025 Supply Chain</t>
  </si>
  <si>
    <t>RSK-04.2</t>
  </si>
  <si>
    <t>AI risk rating lands in the enterprise application risk registry</t>
  </si>
  <si>
    <t>AI risk shows up as a dimension of application risk in the same enterprise registry that holds non-AI applications, on the same rating scale, and the registry data drives prioritization and treatment decisions.</t>
  </si>
  <si>
    <t>GRC-02 (AI risk management program), GRC-10 (AI impact assessment), STA-08 (supply chain inventory cross-reference)</t>
  </si>
  <si>
    <t>MANAGE 1</t>
  </si>
  <si>
    <t>MANAGE 1: Parent AI RMF category/function referenced; use associated subcategory rows for testable control language.</t>
  </si>
  <si>
    <t>NIST AI RMF Manage-1; ISO/IEC 42001</t>
  </si>
  <si>
    <t>RSK-04.3</t>
  </si>
  <si>
    <t>Treatment plan or risk acceptance recorded for high and medium findings</t>
  </si>
  <si>
    <t>Critical, High and Medium AI risk findings land a documented outcome (a treatment plan with a named owner and target date, or a time-bounded risk acceptance with a named approver), and a quarterly risk forum works the register so aging items, expired acceptances, and overdue actions surface for action.</t>
  </si>
  <si>
    <t>GRC-02 (AI risk management program), GRC-10 (AI impact assessment), STA-09 (supply chain risk management — treatment)</t>
  </si>
  <si>
    <t>Clause 6; Annex A.5; Annex A.10</t>
  </si>
  <si>
    <t>Clause 6 – Planning: Determine actions for AI risks and opportunities; maintain AI risk assessment, risk treatment, and AI system impact assessment processes; establish AI objectives and plans. Annex A.5 – Assessing impacts of AI systems: Perform documented, repeatable impact assessments on individuals, groups, or society; update after significant changes; feed findings into design, controls, and stakeholder communication. Annex A.10 – Third-party and customer relationships: Define lifecycle responsibilities with third parties, manage AI suppliers, capture customer expectations, and review third-party roles through ongoing governance.</t>
  </si>
  <si>
    <t>NIST AI RMF Manage; ISO/IEC 23894 (AI risk treatment)</t>
  </si>
  <si>
    <t>RSK-05.1</t>
  </si>
  <si>
    <t>Automated AI discovery feeds the risk process with reconciliation</t>
  </si>
  <si>
    <t>CSPM/CNAPP, SaaS security tooling, and AI-SPM if available reconcile weekly against the provider and application risk registries, and a newly-discovered AI service is added with a risk rating (pulled automatically from tooling or the CSA STAR registry), attributed to an existing entry, or documented as a false positive within a defined SLA.</t>
  </si>
  <si>
    <t>STA-08 (supply chain inventory), GRC-02 (AI risk management program), STA-15 (supply chain data security assessment — discovery-triggered)</t>
  </si>
  <si>
    <t>GOVERN 1.6; GOVERN 1</t>
  </si>
  <si>
    <t>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t>
  </si>
  <si>
    <t>Annex A.4; Annex A.6; Annex A.9; Annex A.10</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</si>
  <si>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</si>
  <si>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CSA Guidance on AI-SPM; NIST AI RMF Govern-1.6</t>
  </si>
  <si>
    <t>RSK-05.2</t>
  </si>
  <si>
    <t>Rapid Frontier-release assessment with dashboarded risk aggregation</t>
  </si>
  <si>
    <t>A frontier-provider release (a new Claude, GPT, or Gemini generation, or a major service change at Bedrock, Azure OpenAI, or Vertex) drives an initial risk-posture update within days and a full reassessment within weeks, and the outcome lands on a live enterprise AI risk dashboard that executive or board risk forums review at least quarterly.</t>
  </si>
  <si>
    <t>All (primary weight on frontier PaaS and API/SaaS providers)</t>
  </si>
  <si>
    <t>STA-09 (supply chain risk management), GRC-02 (AI risk management program), MDS-10 (continuous monitoring — cross-reference for model-layer provider-change detection)</t>
  </si>
  <si>
    <t>AI Dev and Supply Chain</t>
  </si>
  <si>
    <t>DEV-02.1</t>
  </si>
  <si>
    <t>DEV</t>
  </si>
  <si>
    <t>Approved AI coding assistants with usage guidance</t>
  </si>
  <si>
    <t>Developers working on major production codebases use a named set of approved AI coding assistants (e.g. GitHub Copilot Business, Cursor, Claude Code) under written guidance covering what code can be exposed to model providers and how AI-generated suggestions are reviewed before commit. Engineering managers have acknowledged the guidance.</t>
  </si>
  <si>
    <t>CCC-01 (change management policy), TVM-02 (malware / malicious instructions protection — coding-tool exposure)</t>
  </si>
  <si>
    <t>GOVERN 6.1; MAP 2.3; MAP 5.1; MEASURE 2.6; MANAGE 3.2</t>
  </si>
  <si>
    <t>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t>
  </si>
  <si>
    <t>OWASP LLM03:2025 Supply Chain; NIST SSDF (SP 800-218A) for AI-assisted development; GitHub Copilot / Cursor / Claude Code enterprise configuration guides</t>
  </si>
  <si>
    <t>DEV-02.2</t>
  </si>
  <si>
    <t>Initial AI component inventory in SCA scope</t>
  </si>
  <si>
    <t>AI components used in production (model providers, foundation models, primary AI libraries such as LangChain or transformers, and MCP servers) are tracked as a distinct class in an inventory, and those libraries fall inside the existing SCA scanning scope.</t>
  </si>
  <si>
    <t>STA-08 (supply chain inventory), STA-16 (service bill of material), TVM-05 (external library vulnerabilities)</t>
  </si>
  <si>
    <t>CycloneDX ML-BOM; OWASP LLM03:2025 Supply Chain; NIST SP 800-218 SSDF</t>
  </si>
  <si>
    <t>DEV-03.1</t>
  </si>
  <si>
    <t>Enterprise AI coding assistant configured to prevent code exposure</t>
  </si>
  <si>
    <t>Production code is written only against enterprise-tier AI coding assistants with training and retention opt-out enabled and content exclusions covering secret-bearing paths. Consumer-tier AI chat tools are blocked on developer endpoints that handle production code, with a quarterly fresh-marker test confirming the block holds.</t>
  </si>
  <si>
    <t>CCC-01 (change management policy), CCC-03 (change management technology), TVM-02 (malware / malicious instructions protection)</t>
  </si>
  <si>
    <t>Annex A.3; Annex A.7; Annex A.8; Annex A.9; Annex A.10</t>
  </si>
  <si>
    <t>Annex A.3 – Internal organization: Define AI roles and responsibilities; provide reporting and confidential escalation paths; investigate and resolve AI-related concerns.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</si>
  <si>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GitHub Copilot Business/Enterprise documentation (code referencing, content exclusions, training opt-out); Cursor enterprise privacy mode; Claude Code organization settings; OWASP LLM03:2025 Supply Chain</t>
  </si>
  <si>
    <t>DEV-03.2</t>
  </si>
  <si>
    <t>Structured AI supply chain inventory with package proxy</t>
  </si>
  <si>
    <t>The AI-component inventory uses structured fields per component class with pinned versions. AI libraries reach production builds only through an organization-managed package proxy (e.g. Artifactory, Nexus), so direct public-registry installs are prevented, and open or third-party models carry an integrity and safe-format record before first production use.</t>
  </si>
  <si>
    <t>STA-08 (supply chain inventory), STA-16 (service bill of material), TVM-05 (external library vulnerabilities), TVM-08 (vulnerability prioritization)</t>
  </si>
  <si>
    <t>CycloneDX ML-BOM schema; NIST SP 800-218 SSDF Task PO.1.3; OWASP LLM03:2025 Supply Chain</t>
  </si>
  <si>
    <t>DEV-03.3</t>
  </si>
  <si>
    <t>AI security assessment in CI/CD for critical AI applications</t>
  </si>
  <si>
    <t>Critical AI applications (customer-facing or processing untrusted content) pass an automated AI security assessment in CI/CD covering AI-specific insecure patterns, AI-library vulnerabilities, and unsafe model formats. Tools include AI security agents and AI-aware SAST/SCA. Critical or High findings block merge unless a named approver logs an exception.</t>
  </si>
  <si>
    <t>CCC-02 (quality testing), CCC-04 (change authorization), TVM-05 (external library vulnerabilities)</t>
  </si>
  <si>
    <t>OWASP LLM02:2025 Sensitive Information Disclosure; GitHub Copilot Autofix / security-review features; Snyk Code AI; CodeRabbit / Graphite AI code review; NIST SSDF</t>
  </si>
  <si>
    <t>DEV-04.1</t>
  </si>
  <si>
    <t>AI security assessment expanded to all production \ applications</t>
  </si>
  <si>
    <t>All production AI applications, AI-component repositories, and repositories with AI-assisted commits pass generalized security assessments and AI-specific SAST/SCA and security-agent scanning covering insecure AI-SDK usage, prompt and tool-output handling, AI-library vulnerability patterns, and unsafe model formats (e.g. pickle,.pt). Critical and High findings block the build. Vendor-supplied unsigned models receive an ingest-time scan and integrity record before they are re-signed under MOD-04.1.</t>
  </si>
  <si>
    <t>TVM-04 (vulnerability testing), TVM-05 (external library vulnerabilities), TVM-07 (vulnerability remediation schedule), TVM-08 (SDLC integration of vulnerability management), CCC-02 (quality testing), CCC-07 (detection of baseline deviation)</t>
  </si>
  <si>
    <t>OWASP LLM03:2025 Supply Chain; OWASP LLM02:2025 Sensitive Information Disclosure (for AI-generated code patterns); Snyk AI code security; GitHub CodeQL AI-security queries; Protect AI / HiddenLayer model scanners; Picklescan for unsafe model formats</t>
  </si>
  <si>
    <t>DEV-04.2</t>
  </si>
  <si>
    <t>AI-BOM generated per release as authoritative inventory</t>
  </si>
  <si>
    <t>Production AI applications produce an AI-BOM per release covering models, AI libraries, MCP servers, and RAG data sources. Recent releases are retained, the AI-BOM is reconciled against runtime to catch drift, and it serves as the authoritative AI-component inventory consumed by ORG and RSK.</t>
  </si>
  <si>
    <t>Annex A.4; Annex A.6; Annex A.7; Annex A.8</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</si>
  <si>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t>
  </si>
  <si>
    <t>CycloneDX ML-BOM specification; SPDX AI Profile; NTIA minimum elements for SBOM; EU AI Act documentation requirements; NIST SP 800-218 SSDF Task PO.1.3</t>
  </si>
  <si>
    <t>DEV-05.1</t>
  </si>
  <si>
    <t>Automated remediation suggestions for AI security findings</t>
  </si>
  <si>
    <t>AI security findings come with automated remediation suggestions (inline fix proposals, suggested patches) across the developer workflow at IDE, PR, and pipeline stages. Proposed fixes are tied to verifiable remediations, and developer acceptance rates are tracked to drive tooling improvement.</t>
  </si>
  <si>
    <t>CCC-02 (quality testing), TVM-08 (SDLC integration of vulnerability management — pre-commit extension)</t>
  </si>
  <si>
    <t>GitHub Copilot Autofix in-IDE; Snyk IDE plugin with AI code checks; Cursor and Claude Code agentic security capabilities; OWASP LLM03/LLM02 coverage during authoring</t>
  </si>
  <si>
    <t>DEV-05.2</t>
  </si>
  <si>
    <t>Proactive AI supply chain vulnerability alerting</t>
  </si>
  <si>
    <t>New vulnerabilities in AI-BOM components auto-correlate against the AI-BOM to produce a blast-radius list routed to the named owning team, triaged against a defined SLA, so the time from public disclosure to owning-team action is bounded. Abandoned AI libraries are flagged for replacement before they become a latent supply-chain risk.</t>
  </si>
  <si>
    <t>STA-08 (supply chain inventory), STA-16 (service bill of material), TVM-04 (detection updates), TVM-05 (external library vulnerabilities), TVM-09 (vulnerability management reporting), CCC-07 (detection of baseline deviation)</t>
  </si>
  <si>
    <t>Annex A.6; Annex A.7; Annex A.10</t>
  </si>
  <si>
    <t>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t>
  </si>
  <si>
    <t>OWASP LLM03:2025 Supply Chain; GitHub Advisory Database; PyPI Advisory Database; LangChain security advisories; HuggingFace model-card change notifications; CycloneDX ML-BOM + VEX integration</t>
  </si>
  <si>
    <t>Privacy and Compliance</t>
  </si>
  <si>
    <t>CMP-02.1</t>
  </si>
  <si>
    <t>CMP</t>
  </si>
  <si>
    <t>Regulatory applicability per AI deployment</t>
  </si>
  <si>
    <t>Major production AI deployments carry a current regulatory applicability record signed by Legal or Compliance, naming which AI rules, privacy regulations, sector rules, and internal policy scopes apply and which do not.</t>
  </si>
  <si>
    <t>GRC-07 (Information System Regulatory Mapping), A&amp;A-04 (Requirements Compliance)</t>
  </si>
  <si>
    <t>Annex A.2</t>
  </si>
  <si>
    <t>Annex A.2 – Policies related to AI: Document and approve AI policy, include responsible AI principles and continual improvement, review policy regularly, and align it to other relevant organizational policies.</t>
  </si>
  <si>
    <t>Record regulatory applicability, DPIA/PIA status, stakeholder disclosures, and evidence collection.</t>
  </si>
  <si>
    <t>EU AI Act risk classification (prohibited / high-risk / limited-risk / minimal-risk); NIST AI RMF GOVERN-1.1; state AI laws (Colorado AI Act, NYC Local Law 144); sector rules (SR 11-7, HIPAA, GLBA, SEC Marketing Rule)</t>
  </si>
  <si>
    <t>CMP-02.2</t>
  </si>
  <si>
    <t>Model and dataset license inventory</t>
  </si>
  <si>
    <t>Major production AI deployments name the licenses governing the model, any organization-owned fine-tuning or RAG data, and any external datasets or retrieval corpora the deployment depends on.</t>
  </si>
  <si>
    <t>GRC-07 (regulatory mapping — includes licensing/contractual obligations), MDS-12 (open model risk assessment — license item)</t>
  </si>
  <si>
    <t>GOVERN 1.1; GOVERN 1.4; MEASURE 1.1; MEASURE 3.1; MANAGE 1.2</t>
  </si>
  <si>
    <t>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 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MANAGE 1.2:…</t>
  </si>
  <si>
    <t>Annex A.4; Annex A.6; Annex A.7; Annex A.10</t>
  </si>
  <si>
    <t>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t>
  </si>
  <si>
    <t>Maintain authoritative AI inventory; link assets to owners, use cases, providers, data classes, and risk tiers. Record regulatory applicability, DPIA/PIA status, stakeholder disclosures, and evidence collection. Tie provider/model/library onboarding to supplier risk, licensing, model/data provenance, and AI-BOM/SBOM records.</t>
  </si>
  <si>
    <t>OWASP LLM03:2025 Supply Chain; HuggingFace license taxonomy; provider service terms (AWS Bedrock, Azure OpenAI, Anthropic, OpenAI, Google Vertex AI)</t>
  </si>
  <si>
    <t>CMP-03.1</t>
  </si>
  <si>
    <t>Scheduled compliance assessment against AI policies</t>
  </si>
  <si>
    <t>Production AI deployments are assessed on a scheduled cadence against the AI policies Governance has authored, with findings carrying named remediation owners and target dates or signed time-bound risk acceptance.</t>
  </si>
  <si>
    <t>A&amp;A-02 (Independent Assessments), A&amp;A-05 (Audit Management Process), GRC-09 (Acceptable Use of the AI Service — verification side)</t>
  </si>
  <si>
    <t>MEASURE 1</t>
  </si>
  <si>
    <t>MEASURE 1: Parent AI RMF category/function referenced; use associated subcategory rows for testable control language.</t>
  </si>
  <si>
    <t>Annex A.7</t>
  </si>
  <si>
    <t>Annex A.7 – Data for AI systems: Maintain documented AI data management, identify sources and provenance, record intended use, define data quality requirements, and document/justify preparation methods.</t>
  </si>
  <si>
    <t>ISO/IEC 42001 AI management system; NIST AI RMF MEASURE-1; EU AI Act Article 17 (quality management system for high-risk AI)</t>
  </si>
  <si>
    <t>CMP-03.2</t>
  </si>
  <si>
    <t>AI privacy impact assessments for personal data</t>
  </si>
  <si>
    <t>AI deployments that process personal data carry a current AI-specific privacy impact assessment before reaching production, with reassessment when the model, provider, geography, or processed data category changes.</t>
  </si>
  <si>
    <t>GRC-10 (AI Impact Assessment — PIA is the privacy slice)</t>
  </si>
  <si>
    <t>GDPR Article 35 (Data Protection Impact Assessment); CCPA/CPRA risk assessment requirements; NIST Privacy Framework; ICO AI and data protection guidance</t>
  </si>
  <si>
    <t>CMP-03.3</t>
  </si>
  <si>
    <t>License-fit verification and AI-CAIQ for external apps</t>
  </si>
  <si>
    <t>Legal verifies that licensed components fit how the organization uses them, and externally-facing AI deployments hold a current AI-CAIQ ready to share with customers on request.</t>
  </si>
  <si>
    <t>All (AI-CAIQ applies where the deployment is externally facing or offered as a service)</t>
  </si>
  <si>
    <t>GRC-07 (regulatory/contractual mapping), A&amp;A-04 (Requirements Compliance)</t>
  </si>
  <si>
    <t>Record regulatory applicability, DPIA/PIA status, stakeholder disclosures, and evidence collection. Tie provider/model/library onboarding to supplier risk, licensing, model/data provenance, and AI-BOM/SBOM records.</t>
  </si>
  <si>
    <t>CSA AI-CAIQ (Consensus Assessment Initiative Questionnaire for AI); CSA AICM v1.0.3; OWASP LLM03:2025; HuggingFace model-card license taxonomy; provider service terms</t>
  </si>
  <si>
    <t>CMP-04.1</t>
  </si>
  <si>
    <t>Automated compliance evidence tied to deployment registry</t>
  </si>
  <si>
    <t>Compliance evidence for AI deployments (guardrail coverage, personal-data handling, access controls, and model-registry conformance) collects automatically from source telemetry and binds to each entry in the AI deployment registry.</t>
  </si>
  <si>
    <t>A&amp;A-05 (Audit Management Process — automated evidence collection), A&amp;A-06 (Remediation tracking)</t>
  </si>
  <si>
    <t>MEASURE 3</t>
  </si>
  <si>
    <t>MEASURE 3: Parent AI RMF category/function referenced; use associated subcategory rows for testable control language.</t>
  </si>
  <si>
    <t>Maintain authoritative AI inventory; link assets to owners, use cases, providers, data classes, and risk tiers. Record regulatory applicability, DPIA/PIA status, stakeholder disclosures, and evidence collection.</t>
  </si>
  <si>
    <t>NIST AI RMF MEASURE-3; ISO/IEC 42001; AI-SPM product category (Wiz AI-SPM, Prisma AI-SPM, Orca, SentinelOne); cloud-native tooling (AWS Audit Manager, Azure Purview, GCP Assured Workloads)</t>
  </si>
  <si>
    <t>CMP-04.2</t>
  </si>
  <si>
    <t>Bias and fairness audits for high-risk AI</t>
  </si>
  <si>
    <t>High-risk AI deployments (hiring triage, credit decisioning, and other use cases the AI Council has flagged) undergo a documented bias and fairness audit each year, with findings tracked to remediation or signed risk acceptance.</t>
  </si>
  <si>
    <t>GRC-11 (Bias and Fairness Assessment)</t>
  </si>
  <si>
    <t>Annex A.2; Annex A.3; Annex A.5; Annex A.7; Annex A.9</t>
  </si>
  <si>
    <t>Annex A.2 – Policies related to AI: Document and approve AI policy, include responsible AI principles and continual improvement, review policy regularly, and align it to other relevant organizational policies. Annex A.3 – Internal organization: Define AI roles and responsibilities; provide reporting and confidential escalation paths; investigate and resolve AI-related concerns. Annex A.5 – Assessing impacts of AI systems: Perform documented, repeatable impact assessments on individuals, groups, or society; update after significant changes; feed findings into design, controls, and stakeholder communication.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t>
  </si>
  <si>
    <t>NIST AI RMF MEASURE-2.11; EU AI Act Article 10 (data and data governance — bias examination for high-risk AI); NYC Local Law 144 (bias audit for automated employment decision tools); Colorado AI Act (algorithmic discrimination); NIST SP 1270 (Standards for Identifying and Managing Bias in AI); EEOC AI guidance</t>
  </si>
  <si>
    <t>CMP-04.3</t>
  </si>
  <si>
    <t>Automated license tracking and AI-CAIQ generation</t>
  </si>
  <si>
    <t>License tracking runs automatically off the AI-BOM with SPDX resolution, and AI-CAIQs for major externally-facing deployments generate from the same pipeline that feeds the compliance dashboard, with quarterly samples cross-checked against source evidence.</t>
  </si>
  <si>
    <t>A&amp;A-05 (Audit Management Process), GRC-07 (regulatory mapping)</t>
  </si>
  <si>
    <t>OWASP LLM03:2025 Supply Chain; SPDX license identifiers; AI-BOM (see DEV category); CSA AI-CAIQ</t>
  </si>
  <si>
    <t>CMP-05.1</t>
  </si>
  <si>
    <t>Pipeline-gated safety and ethics policy conformance</t>
  </si>
  <si>
    <t>AI deployment pipelines run an automated conformance gate against the safety and ethics policies Governance has authored, encoded as policy-as-code. A failing deployment does not ship without a time-boxed exception carrying a named approver.</t>
  </si>
  <si>
    <t>GRC-09 (Acceptable Use — verification side), GRC-11 (Bias and Fairness — pipeline integration), A&amp;A-05 (Audit Management Process)</t>
  </si>
  <si>
    <t>Clause 8</t>
  </si>
  <si>
    <t>Clause 8 – Operation: Plan, implement, and control AI operational processes; integrate AI risk assessment/treatment into operations; maintain and update AI system impact assessments.</t>
  </si>
  <si>
    <t>Publish approved AI policy/standard; maintain attestation and exception workflow. Record regulatory applicability, DPIA/PIA status, stakeholder disclosures, and evidence collection.</t>
  </si>
  <si>
    <t>NIST AI RMF MANAGE-4; ISO/IEC 42001 Clause 8 (operation); EU AI Act Article 17 (quality management system); policy-as-code frameworks (OPA/Rego, Kyverno)</t>
  </si>
  <si>
    <t>CMP-05.2</t>
  </si>
  <si>
    <t>Live compliance dashboard with automated evidence</t>
  </si>
  <si>
    <t>A live compliance dashboard, refreshed daily from source telemetry, shows AI conformance against regulation, internal policy, and an industry framework. AI-CAIQs for externally-facing deployments generate from the same pipeline, and scheduled compliance reports are produced from the dashboard.</t>
  </si>
  <si>
    <t>A&amp;A-05 (Audit Management Process), A&amp;A-06 (Remediation), GRC-11 (Bias and Fairness Assessment — pipeline-produced evidence)</t>
  </si>
  <si>
    <t>NIST AI RMF MANAGE-4; ISO/IEC 42001 Clause 9 (performance evaluation); AWS Audit Manager / Azure Compliance Manager / GCP Assured Workloads; AI-CAIQ automated generation</t>
  </si>
  <si>
    <t>CMP-05.3</t>
  </si>
  <si>
    <t>Regulatory-change intelligence with cascading impact assessment</t>
  </si>
  <si>
    <t>An automated regulatory-intelligence feed catches AI rule changes across the jurisdictions the organization operates in, routes each one to a tracked impact assessment, and cascades material findings into applicability records, scheduled assessments, and pipeline gates within defined SLAs.</t>
  </si>
  <si>
    <t>GRC-07 (regulatory mapping — change detection), GRC-08 (Special Interest Groups — industry tracking)</t>
  </si>
  <si>
    <t>EU AI Act phased implementation (prohibited-practice dates, high-risk obligations phase-in through 2026-2027); US state AI law tracking (Colorado, California, Texas, Illinois); NIST AI RMF updates; sector-specific regulator guidance (SEC, FINRA, HHS, OCC)</t>
  </si>
  <si>
    <t>Incident Response</t>
  </si>
  <si>
    <t>IR-02.1</t>
  </si>
  <si>
    <t>IR</t>
  </si>
  <si>
    <t>Named AI incident response team with AI addendum</t>
  </si>
  <si>
    <t>A named IR team with on-call rotation owns AI incidents under a written AI addendum to the enterprise IR plan. The addendum covers AI-specific attack categories, severity criteria, and provider escalation contacts, and has been exercised in an AI-specific tabletop within the trailing 12 months.</t>
  </si>
  <si>
    <t>SEF-01 (Security Incident Management Policy), SEF-03 (Incident Response Plans), SEF-08 (Points of Contact Maintenance), SEF-09 (Incident Response — AI incident categories and severity)</t>
  </si>
  <si>
    <t>Annex A.3; Annex A.8; Annex A.10</t>
  </si>
  <si>
    <t>Annex A.3 – Internal organization: Define AI roles and responsibilities; provide reporting and confidential escalation paths; investigate and resolve AI-related concerns.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t>
  </si>
  <si>
    <t>Extend enterprise IR with AI-specific scenarios such as prompt injection, data exfiltration, model abuse, and agent/tool misuse.</t>
  </si>
  <si>
    <t>NIST SP 800-61r3 (Incident Response Recommendations), NIST AI RMF MANAGE-4, MITRE ATLAS</t>
  </si>
  <si>
    <t>IR-02.2</t>
  </si>
  <si>
    <t>Baseline AI telemetry preserved for forensic review</t>
  </si>
  <si>
    <t>Major AI deployments (customer-facing, regulated, or agentic with tool access) capture prompts, responses, identities, and tool invocations with retention long enough to investigate, and responders can pull the telemetry on demand without filing a new access request.</t>
  </si>
  <si>
    <t>SEF-06 (Event Triage Processes), SEF-09 (Incident Response)</t>
  </si>
  <si>
    <t>GOVERN 3.1; GOVERN 3.2; MANAGE 4.1; MANAGE 4.2; MANAGE 4.3</t>
  </si>
  <si>
    <t>GOVERN 3.1: Organizational management can: - Define policies and hiring practices at the outset that promote interdisciplinary roles, competencies, skills, and capacity for AI efforts. - Define policies and hiring practices that lead to demographic and domain expertise diversity; empower staff with necessary resources and support, and facilitate the contribution of staff feedback and concerns without fear of reprisal. - Establish policies that facilitate inclusivity and the integration of new insights into existing practice. - Seek external expertise to supplement organizational diversity, equity, inclusion, and accessibility where internal expertise is lacking.… GOVERN 3.2: -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 MANAGE 4.2: - Integrate trustworthiness characteristics into protocols and metrics used for continual improvement. - Establish processes for evaluating and integrating feedback into AI system improvements. - Assess and evaluate alignment of proposed improvements with relevant regulatory and legal frameworks - Assess and evaluate alignment of proposed improvements connected to the values and norms within the context of use. - Document the basis for decisions made relative to tradeoffs between trustworthy characteristics, system risks, and system opportunities MANAGE 4.3: - Establish procedures to regularly share information about errors, incidents and negative impacts with relevant stakeholders, operators, practitioners and users, and impacted parties.…</t>
  </si>
  <si>
    <t>Annex A.6; Annex A.7; Annex A.8; Annex A.9; Annex A.10</t>
  </si>
  <si>
    <t>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t>
  </si>
  <si>
    <t>Define log schema, retention, access controls, alerting, and incident triage integration. Extend enterprise IR with AI-specific scenarios such as prompt injection, data exfiltration, model abuse, and agent/tool misuse.</t>
  </si>
  <si>
    <t>NIST SP 800-86 (Guide to Integrating Forensic Techniques into IR), OWASP LLM02:2025 Sensitive Information Disclosure, OWASP LLM06:2025 Excessive Agency</t>
  </si>
  <si>
    <t>IR-03.1</t>
  </si>
  <si>
    <t>AI-Specific response playbooks for named attack categories</t>
  </si>
  <si>
    <t>Written playbooks cover the named AI attack categories (prompt injection, data exfiltration, model abuse, compromised agent credentials, tool/MCP misuse, agent hijacking) with containment steps that branch by deployment type, and a working majority have been exercised within the trailing 12 months.</t>
  </si>
  <si>
    <t>SEF-03 (Incident Response Plans), SEF-06 (Event Triage Processes), SEF-09 (Incident Response)</t>
  </si>
  <si>
    <t>OWASP LLM01:2025 Prompt Injection, OWASP LLM02:2025 Sensitive Information Disclosure, OWASP LLM06:2025 Excessive Agency, OWASP LLM08:2025 Vector and Embedding Weaknesses, OWASP Agentic AI Threats (T3 Tool Misuse, T6 Agent Hijacking, T15 Memory Poisoning), MITRE ATLAS, NIST AI RMF MANAGE-4</t>
  </si>
  <si>
    <t>IR-03.2</t>
  </si>
  <si>
    <t>Responder training and Pre-provisioned read access</t>
  </si>
  <si>
    <t>Primary AI responders have completed AI-specific IR training within the trailing 12 months (proven by knowledge check or simulated exercise) and hold pre-provisioned read access to telemetry, deployment configs, and provider consoles sufficient to run a playbook without just-in-time provisioning.</t>
  </si>
  <si>
    <t>SEF-01 (Security Incident Management Policy), SEF-06 (Event Triage Processes)</t>
  </si>
  <si>
    <t>GOVERN 3</t>
  </si>
  <si>
    <t>GOVERN 3: Parent AI RMF category/function referenced; use associated subcategory rows for testable control language.</t>
  </si>
  <si>
    <t>Annex A.3; Annex A.6; Annex A.10</t>
  </si>
  <si>
    <t>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t>
  </si>
  <si>
    <t>Track role-based completion, knowledge checks, and refresh cadence. Extend enterprise IR with AI-specific scenarios such as prompt injection, data exfiltration, model abuse, and agent/tool misuse.</t>
  </si>
  <si>
    <t>NIST AI RMF GOVERN-3, MITRE ATLAS, OWASP Top 10 for LLM Applications (2025)</t>
  </si>
  <si>
    <t>IR-04.1</t>
  </si>
  <si>
    <t>AI threat intelligence operationalized into detection and response</t>
  </si>
  <si>
    <t>A named AI threat intelligence function turns provider advisories, AI-BOM CVEs, and external research into detection-rule updates, playbook revisions, or owner tickets, with action-required items closing on a defined SLA.</t>
  </si>
  <si>
    <t>MITRE ATLAS, OWASP Top 10 for LLM Applications (2025), OWASP Agentic AI Threats, NIST AI RMF MANAGE-4.1</t>
  </si>
  <si>
    <t>IR-04.2</t>
  </si>
  <si>
    <t>SOAR automation for common AI containment actions</t>
  </si>
  <si>
    <t>SOAR playbooks execute common AI containment actions (disabling deployments, revoking agent tool scope, rotating provider keys, rolling back models or memory) across each deployment type in scope, with audited invocation and a measurable MTTR improvement over the manual baseline.</t>
  </si>
  <si>
    <t>All (automations differ by deployment type; coverage required across the types present in the inventory)</t>
  </si>
  <si>
    <t>SEF-06 (Event Triage Processes), SEF-09 (Incident Response — automated response where applicable)</t>
  </si>
  <si>
    <t>NIST AI RMF MANAGE-4, OWASP LLM06:2025 Excessive Agency, OWASP Agentic AI Threats (T3 Tool Misuse, T6 Agent Hijacking)</t>
  </si>
  <si>
    <t>IR-04.3</t>
  </si>
  <si>
    <t>Break-Glass administrative containment access</t>
  </si>
  <si>
    <t>Responders can stop, isolate, or revoke AI deployments through a time-bounded, audited break-glass path with secondary approval or post-use review, exercised end-to-end across the deployment types in scope within the trailing 12 months.</t>
  </si>
  <si>
    <t>Clause 8; Clause 10; Annex A.6</t>
  </si>
  <si>
    <t>Clause 8 – Operation: Plan, implement, and control AI operational processes; integrate AI risk assessment/treatment into operations; maintain and update AI system impact assessments. Clause 10 – Improvement: Determine improvement opportunities and manage nonconformities and corrective actions effectively. Annex A.6 – AI system life cycle: Define responsible development objectives, specify verification and validation, maintain technical documentation, and record/maintain event logs during system use.</t>
  </si>
  <si>
    <t>NIST SP 800-61r3, NIST AI RMF GOVERN-3, OWASP LLM06:2025 Excessive Agency</t>
  </si>
  <si>
    <t>IR-05.1</t>
  </si>
  <si>
    <t>Automated response for agentic threat patterns</t>
  </si>
  <si>
    <t>Production agentic deployments trigger automated containment for agentic-specific threats (agent hijacking, MCP compromise, memory manipulation) with a documented true-positive rate at or above 80% over the trailing 90 days and human-in-the-loop review on each invocation.</t>
  </si>
  <si>
    <t>All agentic deployments (agents with tool access, MCP connections, or persistent memory); not applicable where no agentic deployments exist</t>
  </si>
  <si>
    <t>SEF-06 (Event Triage Processes), SEF-09 (Incident Response — automated response)</t>
  </si>
  <si>
    <t>OWASP Agentic AI Threats (T3 Tool Misuse, T6 Agent Hijacking, T12 Identity Spoofing, T15 Memory Poisoning), CSA MAESTRO framework, NIST AI RMF MANAGE-4</t>
  </si>
  <si>
    <t>IR-05.2</t>
  </si>
  <si>
    <t>Tamper-Evident agentic telemetry for forensic reconstruction</t>
  </si>
  <si>
    <t>Production agentic deployments preserve tamper-evident, indexed telemetry (prompts, tool I/O, context checkpoints, delegation, memory events) and responders can reconstruct any agent session on demand, validated by a quarterly forensic drill.</t>
  </si>
  <si>
    <t>All agentic and high-risk deployments; baseline AI deployments covered under IR-02.2. Organizations with a SaaS-dominant footprint document the provider-telemetry boundary (what the provider exposes vs. what is org-controlled) and demonstrate forensic completeness for the org-controlled components only.</t>
  </si>
  <si>
    <t>NIST SP 800-86, OWASP Agentic AI Threats, NIST AI RMF MANAGE-4</t>
  </si>
  <si>
    <t>IR-05.3</t>
  </si>
  <si>
    <t>ChatOps engagement and Detection-rule feedback loop</t>
  </si>
  <si>
    <t>ChatOps or workflow automation pulls the owning AI or development team into qualifying incidents within 10 minutes, and closed sev-2+ incidents produce a detection-rule, playbook, or intel change with at least 80% implemented within 30 days and reported quarterly to AI governance leadership.</t>
  </si>
  <si>
    <t>SEF-04 (Incident Response Testing), SEF-05 (Incident Response Metrics), SEF-06 (Event Triage Processes)</t>
  </si>
  <si>
    <t>Annex A.6; Annex A.8</t>
  </si>
  <si>
    <t>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t>
  </si>
  <si>
    <t>NIST AI RMF MANAGE-4.1, OWASP Top 10 for LLM Applications (2025), MITRE ATLAS</t>
  </si>
  <si>
    <t>Metric</t>
  </si>
  <si>
    <t>Value</t>
  </si>
  <si>
    <t>Total CSA AISMM control objectives mapped</t>
  </si>
  <si>
    <t>CSA domains covered</t>
  </si>
  <si>
    <t>NIST functions covered</t>
  </si>
  <si>
    <t>ISO/IEC 42001 clauses/Annex groups covered</t>
  </si>
  <si>
    <t>Rows with direct NIST reference</t>
  </si>
  <si>
    <t>Rows with direct ISO reference</t>
  </si>
  <si>
    <t>Mapped Objectives</t>
  </si>
  <si>
    <t>NIST AI RMF Function</t>
  </si>
  <si>
    <t>GOVERN</t>
  </si>
  <si>
    <t>MAP</t>
  </si>
  <si>
    <t>MEASURE</t>
  </si>
  <si>
    <t>MANAGE</t>
  </si>
  <si>
    <t>ISO/IEC 42001 Area</t>
  </si>
  <si>
    <t>Clause 10</t>
  </si>
  <si>
    <t>Clause 5</t>
  </si>
  <si>
    <t>Clause 6</t>
  </si>
  <si>
    <t>Annex A.3</t>
  </si>
  <si>
    <t>Annex A.4</t>
  </si>
  <si>
    <t>Annex A.9</t>
  </si>
  <si>
    <t>NIST AI RMF ID</t>
  </si>
  <si>
    <t>Function</t>
  </si>
  <si>
    <t>Control Language / Playbook Actions</t>
  </si>
  <si>
    <t>Source</t>
  </si>
  <si>
    <t>GOVERN 1.1</t>
  </si>
  <si>
    <t>Uploaded NIST AI RMF Playbook spreadsheet</t>
  </si>
  <si>
    <t>GOVERN 1.2</t>
  </si>
  <si>
    <t>GOVERN 1.2: Organizational AI risk management policies should be designed to: - Define key terms and concepts related to AI systems and the scope of their purposes and intended uses. - Connect AI governance to existing organizational governance and risk controls. - Align to broader data governance policies and practices, particularly the use of sensitive or otherwise risky data. - Detail standards for experimental design, data quality, and model training. - Outline and document risk mapping and measurement processes and standards. - Detail model testing and validation processes. - Detail review processes for legal and risk functions. - Establish the frequency of and detail for monitoring, auditing and review processes. - Outline change management requirements. - Outline processes for internal and external stakeholder engagement.…</t>
  </si>
  <si>
    <t>GOVERN 1.3</t>
  </si>
  <si>
    <t>GOVERN 1.3: - Establish policies to define mechanisms for measuring or understanding an AI system’s potential impacts, e.g., via regular impact assessments at key stages in the AI lifecycle, connected to system impacts and frequency of system updates. - Establish policies to define mechanisms for measuring or understanding the likelihood of an AI system’s impacts and their magnitude at key stages in the AI lifecycle. - Establish policies that define assessment scales for measuring potential AI system impact. Scales may be qualitative, such as red-amber-green (RAG), or may entail simulations or econometric approaches. - Establish policies for assigning an overall risk measurement approach for an AI system, or its important components, e.g., via multiplication or combination of a mapped risk’s impact and likelihood (risk ≈ impact x likelihood).…</t>
  </si>
  <si>
    <t>GOVERN 1.4</t>
  </si>
  <si>
    <t>GOVERN 1.5</t>
  </si>
  <si>
    <t>GOVERN 1.6</t>
  </si>
  <si>
    <t>GOVERN 1.7</t>
  </si>
  <si>
    <t>GOVERN 1.7: - Establish policies for decommissioning AI systems. Such policies typically address: - User and community concerns, and reputational risks. - Business continuity and financial risks. - Up and downstream system dependencies. - Regulatory requirements (e.g., data retention). - Potential future legal, regulatory, security or forensic investigations. - Migration to the replacement system, if appropriate. - Establish policies that delineate where and for how long decommissioned systems, models and related artifacts are stored. - Establish practices to track accountability and consider how decommission and other adaptations or changes in system deployment contribute to downstream impacts for individuals, groups and communities.…</t>
  </si>
  <si>
    <t>GOVERN 2.1</t>
  </si>
  <si>
    <t>GOVERN 2.2</t>
  </si>
  <si>
    <t>GOVERN 2.2: - Establish policies for personnel addressing ongoing education about: - Applicable laws and regulations for AI systems. - Potential negative impacts that may arise from AI systems. - Organizational AI policies. - Trustworthy AI characteristics. - Ensure that trainings are suitable across AI actor sub-groups - for AI actors carrying out technical tasks (e.g., developers, operators, etc.) as compared to AI actors in oversight roles (e.g., legal, compliance, audit, etc.). - Ensure that trainings comprehensively address technical and socio-technical aspects of AI risk management. - Verify that organizational AI policies include mechanisms for internal AI personnel to acknowledge and commit to their roles and responsibilities. - Verify that organizational policies address change management and include mechanisms to communicate and acknowledge substantial AI system changes.…</t>
  </si>
  <si>
    <t>GOVERN 2.3</t>
  </si>
  <si>
    <t>GOVERN 2.3: - Organizational management can: - Declare risk tolerances for developing or using AI systems. - Support AI risk management efforts, and play an active role in such efforts. - Integrate a risk and harm prevention mindset throughout the AI lifecycle as part of organizational culture - Support competent risk management executives. - Delegate the power, resources, and authorization to perform risk management to each appropriate level throughout the management chain. - Organizations can establish board committees for AI risk management and oversight functions and integrate those functions within the organization’s broader enterprise risk management approaches.</t>
  </si>
  <si>
    <t>GOVERN 3.1</t>
  </si>
  <si>
    <t>GOVERN 3.1: Organizational management can: - Define policies and hiring practices at the outset that promote interdisciplinary roles, competencies, skills, and capacity for AI efforts. - Define policies and hiring practices that lead to demographic and domain expertise diversity; empower staff with necessary resources and support, and facilitate the contribution of staff feedback and concerns without fear of reprisal. - Establish policies that facilitate inclusivity and the integration of new insights into existing practice. - Seek external expertise to supplement organizational diversity, equity, inclusion, and accessibility where internal expertise is lacking.…</t>
  </si>
  <si>
    <t>GOVERN 3.2</t>
  </si>
  <si>
    <t>GOVERN 3.2: -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t>
  </si>
  <si>
    <t>GOVERN 4.1</t>
  </si>
  <si>
    <t>GOVERN 4.1: - Establish policies that require inclusion of oversight functions (legal, compliance, risk management) from the outset of the system design process. - Establish policies that promote effective challenge of AI system design, implementation, and deployment decisions, via mechanisms such as the three lines of defense, model audits, or red-teaming – to minimize workplace risks such as groupthink. - Establish policies that incentivize safety-first mindset and general critical thinking and review at an organizational and procedural level. - Establish whistleblower protections for insiders who report on perceived serious problems with AI systems. - Establish policies to integrate a harm and risk prevention mindset throughout the AI lifecycle.</t>
  </si>
  <si>
    <t>GOVERN 4.2</t>
  </si>
  <si>
    <t>GOVERN 4.2: - Establish impact assessment policies and processes for AI systems used by the organization. - Align organizational impact assessment activities with relevant regulatory or legal requirements. - Verify that impact assessment activities are appropriate to evaluate the potential negative impact of a system and how quickly a system changes, and that assessments are applied on a regular basis. - Utilize impact assessments to inform broader evaluations of AI system risk.</t>
  </si>
  <si>
    <t>GOVERN 4.3</t>
  </si>
  <si>
    <t>GOVERN 4.3: - Establish policies and procedures to facilitate and equip AI system testing. - Establish organizational commitment to identifying AI system limitations and sharing of insights about limitations within appropriate AI actor groups. - Establish policies for reporting and documenting incident response. - Establish policies and processes regarding public disclosure of incidents and information sharing. - Establish guidelines for incident handling related to AI system risks and performance.</t>
  </si>
  <si>
    <t>GOVERN 5.1</t>
  </si>
  <si>
    <t>GOVERN 5.1: - Establish AI risk management policies that explicitly address mechanisms for collecting, evaluating, and incorporating stakeholder and user feedback that could include: - Recourse mechanisms for faulty AI system outputs. - Bug bounties. - Human-centered design. - User-interaction and experience research. - Participatory stakeholder engagement with individuals and communities that may experience negative impacts. - Verify that stakeholder feedback is considered and addressed, including environmental concerns, and across the entire population of intended users, including historically excluded populations, people with disabilities, older people, and those with limited access to the internet and other basic technologies.…</t>
  </si>
  <si>
    <t>GOVERN 5.2</t>
  </si>
  <si>
    <t>GOVERN 5.2: - Explicitly acknowledge that AI systems, and the use of AI, present inherent costs and risks along with potential benefits. - Define reasonable risk tolerances for AI systems informed by laws, regulation, best practices, or industry standards. - Establish policies that ensure all relevant AI actors are provided with meaningful opportunities to provide feedback on system design and implementation. - Establish policies that define how to assign AI systems to established risk tolerance levels by combining system impact assessments with the likelihood that an impact occurs. Such assessment often entails some combination of: - Econometric evaluations of impacts and impact likelihoods to assess AI system risk. - Red-amber-green (RAG) scales for impact severity and likelihood to assess AI system risk.…</t>
  </si>
  <si>
    <t>GOVERN 6.1</t>
  </si>
  <si>
    <t>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t>
  </si>
  <si>
    <t>GOVERN 6.2</t>
  </si>
  <si>
    <t>GOVERN 6.2: - Establish policies for handling third-party system failures to include consideration of redundancy mechanisms for vital third-party AI systems. - Verify that incident response plans address third-party AI systems.</t>
  </si>
  <si>
    <t>MANAGE 1.1</t>
  </si>
  <si>
    <t>MANAGE 1.1: - Consider trustworthiness characteristics when evaluating AI systems’ negative risks and benefits. - Utilize TEVV outputs from map and measure functions when considering risk treatment. - Regularly track and monitor negative risks and benefits throughout the AI system lifecycle including in post-deployment monitoring. - Regularly assess and document system performance relative to trustworthiness characteristics and tradeoffs between negative risks and opportunities. - Evaluate tradeoffs in connection with real-world use cases and impacts and as enumerated in Map function outcomes.</t>
  </si>
  <si>
    <t>MANAGE 1.2</t>
  </si>
  <si>
    <t>MANAGE 1.2: - Assign risk management resources relative to established risk tolerance. AI systems with lower risk tolerances receive greater oversight, mitigation and management resources. - Document AI risk tolerance determination practices and resource decisions. - Regularly review risk tolerances and re-calibrate, as needed, in accordance with information from AI system monitoring and assessment .</t>
  </si>
  <si>
    <t>MANAGE 1.3</t>
  </si>
  <si>
    <t>MANAGE 1.3: - Observe regulatory and established organizational, sector, discipline, or professional standards and requirements for applying risk tolerances within the organization. - Document procedures for acting on AI system risks related to trustworthiness characteristics. - Prioritize risks involving physical safety, legal liabilities, regulatory compliance, and negative impacts on individuals, groups, or society. - Identify risk response plans and resources and organizational teams for carrying out response functions. - Store risk management and system documentation in an organized, secure repository that is accessible by relevant AI Actors and appropriate personnel.</t>
  </si>
  <si>
    <t>MANAGE 1.4</t>
  </si>
  <si>
    <t>MANAGE 1.4: - Document residual risks within risk response plans, denoting risks that have been accepted, transferred, or subject to minimal mitigation. - Establish procedures for disclosing residual risks to relevant downstream AI actors . - Inform relevant downstream AI actors of requirements for safe operation, known limitations, and suggested warning labels as identified in MAP 3.4.</t>
  </si>
  <si>
    <t>MANAGE 2.1</t>
  </si>
  <si>
    <t>MANAGE 2.1: - Plan and implement risk management practices in accordance with established organizational risk tolerances. - Verify risk management teams are resourced to carry out functions, including - Establishing processes for considering methods that are not automated; semi-automated; or other procedural alternatives for AI functions. - Enhance AI system transparency mechanisms for AI teams. - Enable exploration of AI system limitations by AI teams. - Identify, assess, and catalog past failed designs and negative impacts or outcomes to avoid known failure modes. - Identify resource allocation approaches for managing risks in systems: - deemed high-risk, - that self-update (adaptive, online, reinforcement self-supervised learning or similar), - trained without access to ground truth (unsupervised, semi-supervised, learning or similar),…</t>
  </si>
  <si>
    <t>MANAGE 2.2</t>
  </si>
  <si>
    <t>MANAGE 2.2: - Establish risk controls considering trustworthiness characteristics, including: - Data management, quality, and privacy (e.g. minimization, rectification or deletion requests) controls as part of organizational data governance policies. - Machine learning and end-point security countermeasures (e.g., robust models, differential privacy, authentication, throttling). - Business rules that augment, limit or restrict AI system outputs within certain contexts - Utilizing domain expertise related to deployment context for continuous improvement and TEVV across the AI lifecycle. - Development and regular tracking of human-AI teaming configurations. - Model assessment and test, evaluation, validation and verification (TEVV) protocols. - Use of standardized documentation and transparency mechanisms. - Software quality assurance practices across AI lifecycle.…</t>
  </si>
  <si>
    <t>MANAGE 2.3</t>
  </si>
  <si>
    <t>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t>
  </si>
  <si>
    <t>MANAGE 2.4</t>
  </si>
  <si>
    <t>MANAGE 2.4: - Regularly review established procedures for AI system bypass actions, including plans for redundant or backup systems to ensure continuity of operational and/or business functionality. - Regularly review Identify system incident thresholds for activating bypass or deactivation responses. - Apply change management processes to understand the upstream and downstream consequences of bypassing or deactivating an AI system or AI system components. - Apply protocols, resources and metrics for decisions to supersede, bypass or deactivate AI systems or AI system components. - Preserve materials for forensic, regulatory, and legal review. - Conduct internal root cause analysis and process reviews of bypass or deactivation events. - Decommission and preserve system components that cannot be updated to meet criteria for redeployment.…</t>
  </si>
  <si>
    <t>MANAGE 3.1</t>
  </si>
  <si>
    <t>MANAGE 3.1: - Have legal requirements been addressed? - Apply organizational risk tolerance to third-party AI systems. - Apply and document organizational risk management plans and practices to third-party AI technology, personnel, or other resources. - Identify and maintain documentation for third-party AI systems and components. - Establish testing, evaluation, validation and verification processes for third-party AI systems which address the needs for transparency without exposing proprietary algorithms . - Establish processes to identify beneficial use and risk indicators in third-party systems or components, such as inconsistent software release schedule, sparse documentation, and incomplete software change management (e.g., lack of forward or backward compatibility).…</t>
  </si>
  <si>
    <t>MANAGE 3.2</t>
  </si>
  <si>
    <t>MANAGE 3.2: - Identify pre-trained models within AI system inventory for risk tracking. - Establish processes to independently and continually monitor performance and trustworthiness of pre-trained models, and as part of third-party risk tracking. - Monitor performance and trustworthiness of AI system components connected to pre-trained models, and as part of third-party risk tracking. - Identify, document and remediate risks arising from AI system components and pre-trained models per organizational risk management procedures, and as part of third-party risk tracking. - Decommission AI system components and pre-trained models which exceed risk tolerances, and as part of third-party risk tracking.</t>
  </si>
  <si>
    <t>MANAGE 4.1</t>
  </si>
  <si>
    <t>MANAGE 4.2</t>
  </si>
  <si>
    <t>MANAGE 4.2: - Integrate trustworthiness characteristics into protocols and metrics used for continual improvement. - Establish processes for evaluating and integrating feedback into AI system improvements. - Assess and evaluate alignment of proposed improvements with relevant regulatory and legal frameworks - Assess and evaluate alignment of proposed improvements connected to the values and norms within the context of use. - Document the basis for decisions made relative to tradeoffs between trustworthy characteristics, system risks, and system opportunities</t>
  </si>
  <si>
    <t>MANAGE 4.3</t>
  </si>
  <si>
    <t>MANAGE 4.3: - Establish procedures to regularly share information about errors, incidents and negative impacts with relevant stakeholders, operators, practitioners and users, and impacted parties. - Maintain a database of reported errors, near-misses, incidents and negative impacts including date reported, number of reports, assessment of impact and severity, and responses. - Maintain a database of system changes, reason for change, and details of how the change was made, tested and deployed. - Maintain version history information and metadata to enable continuous improvement processes. - Verify that relevant AI actors responsible for identifying complex or emergent risks are properly resourced and empowered.</t>
  </si>
  <si>
    <t>MAP 1.1</t>
  </si>
  <si>
    <t>MAP 1.2</t>
  </si>
  <si>
    <t>MAP 1.2: - Establish interdisciplinary teams to reflect a wide range of skills, competencies, and capabilities for AI efforts. Verify that team membership includes demographic diversity, broad domain expertise, and lived experiences. Document team composition. - Create and empower interdisciplinary expert teams to capture, learn, and engage the interdependencies of deployed AI systems and related terminologies and concepts from disciplines outside of AI practice such as law, sociology, psychology, anthropology, public policy, systems design, and engineering.</t>
  </si>
  <si>
    <t>MAP 1.3</t>
  </si>
  <si>
    <t>MAP 1.3: - Build transparent practices into AI system development processes. - Review the documented system purpose from a socio-technical perspective and in consideration of societal values. - Determine possible misalignment between societal values and stated organizational principles and code of ethics. - Flag latent incentives that may contribute to negative impacts. - Evaluate AI system purpose in consideration of potential risks, societal values, and stated organizational principles.</t>
  </si>
  <si>
    <t>MAP 1.4</t>
  </si>
  <si>
    <t>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t>
  </si>
  <si>
    <t>MAP 1.5</t>
  </si>
  <si>
    <t>MAP 1.5: - Utilize existing regulations and guidelines for risk criteria, tolerance and response established by organizational, domain, discipline, sector, or professional requirements. - Establish risk tolerance levels for AI systems and allocate the appropriate oversight resources to each level. - Establish risk criteria in consideration of different sources of risk, (e.g., financial, operational, safety and wellbeing, business, reputational, and model risks) and different levels of risk (e.g., from negligible to critical). - Identify maximum allowable risk tolerance above which the system will not be deployed, or will need to be prematurely decommissioned, within the contextual or application setting. - Articulate and analyze tradeoffs across trustworthiness characteristics as relevant to proposed context of use…</t>
  </si>
  <si>
    <t>MAP 1.6</t>
  </si>
  <si>
    <t>MAP 1.6: - Proactively incorporate trustworthy characteristics into system requirements. - Establish mechanisms for regular communication and feedback between relevant AI actors and internal or external stakeholders related to system design or deployment decisions. - Develop and standardize practices to assess potential impacts at all stages of the AI lifecycle, and in collaboration with interdisciplinary experts, actors external to the team that developed or deployed the AI system, and potentially impacted communities . - Include potentially impacted groups, communities and external entities (e.g. civil society organizations, research institutes, local community groups, and trade associations) in the formulation of priorities, definitions and outcomes during impact assessment activities.…</t>
  </si>
  <si>
    <t>MAP 2.1</t>
  </si>
  <si>
    <t>MAP 2.1: - Define and document AI system’s existing and potential learning task(s) along with known assumptions and limitations.</t>
  </si>
  <si>
    <t>MAP 2.2</t>
  </si>
  <si>
    <t>MAP 2.2: - Document settings, environments and conditions that are outside the AI system’s intended use. - Design for end user workflows and toolsets, concept of operations, and explainability and interpretability criteria in conjunction with end user(s) and associated qualitative feedback. - Plan and test human-AI configurations under close to real-world conditions and document results. - Follow stakeholder feedback processes to determine whether a system achieved its documented purpose within a given use context, and whether end users can correctly comprehend system outputs or results. - Document dependencies on upstream data and other AI systems, including if the specified system is an upstream dependency for another AI system or other data.…</t>
  </si>
  <si>
    <t>MAP 2.3</t>
  </si>
  <si>
    <t>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t>
  </si>
  <si>
    <t>MAP 3.1</t>
  </si>
  <si>
    <t>MAP 3.1: - Utilize participatory approaches and engage with system end users to understand and document AI systems’ potential benefits, efficacy and interpretability of AI task output. - Maintain awareness and documentation of the individuals, groups, or communities who make up the system’s internal and external stakeholders. - Verify that appropriate skills and practices are available in-house for carrying out participatory activities such as eliciting, capturing, and synthesizing user, operator and external feedback, and translating it for AI design and development functions. - Establish mechanisms for regular communication and feedback between relevant AI actors and internal or external stakeholders related to system design or deployment decisions. - Consider performance to human baseline metrics or other standard benchmarks.…</t>
  </si>
  <si>
    <t>MAP 3.2</t>
  </si>
  <si>
    <t>MAP 3.2: - Perform context analysis to map potential negative impacts arising from not integrating trustworthiness characteristics. When negative impacts are not direct or obvious, AI actors can engage with stakeholders external to the team that developed or deployed the AI system, and potentially impacted communities, to examine and document: - Who could be harmed? - What could be harmed? - When could harm arise? - How could harm arise? - Identify and implement procedures for regularly evaluating the qualitative and quantitative costs of internal and external AI system failures. Develop actions to prevent, detect, and/or correct potential risks and related impacts. Regularly evaluate failure costs to inform go/no-go deployment decisions throughout the AI system lifecycle.</t>
  </si>
  <si>
    <t>MAP 3.3</t>
  </si>
  <si>
    <t>MAP 3.3: - Consider narrowing contexts for system deployment, including factors related to: - How outcomes may directly or indirectly affect users, groups, communities and the environment. - Length of time the system is deployed in between re-trainings. - Geographical regions in which the system operates. - Dynamics related to community standards or likelihood of system misuse or abuses (either purposeful or unanticipated). - How AI system features and capabilities can be utilized within other applications, or in place of other existing processes. - Engage AI actors from legal and procurement functions when specifying target application scope.</t>
  </si>
  <si>
    <t>MAP 3.4</t>
  </si>
  <si>
    <t>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t>
  </si>
  <si>
    <t>MAP 3.5</t>
  </si>
  <si>
    <t>MAP 3.5: - Identify and document AI systems’ features and capabilities that require human oversight, in relation to operational and societal contexts, trustworthy characteristics, and risks identified in MAP-1. - Establish practices for AI systems’ oversight in accordance with policies developed in GOVERN-1. - Define and develop training materials for relevant AI Actors about AI system performance, context of use, known limitations and negative impacts, and suggested warning labels. - Include relevant AI Actors in AI system prototyping and testing activities. Conduct testing activities under scenarios similar to deployment conditions. - Evaluate AI system oversight practices for validity and reliability. When oversight practices undergo extensive updates or adaptations, retest, evaluate results, and course correct as necessary.…</t>
  </si>
  <si>
    <t>MAP 4.1</t>
  </si>
  <si>
    <t>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t>
  </si>
  <si>
    <t>MAP 4.2</t>
  </si>
  <si>
    <t>MAP 4.2: - Track third-parties preventing or hampering risk-mapping as indications of increased risk. - Supply resources such as model documentation templates and software safelists to assist in third-party technology inventory and approval activities. - Review third-party material (including data and models) for risks related to bias, data privacy, and security vulnerabilities. - Apply traditional technology risk controls – such as procurement, security, and data privacy controls – to all acquired third-party technologies.</t>
  </si>
  <si>
    <t>MAP 5.1</t>
  </si>
  <si>
    <t>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t>
  </si>
  <si>
    <t>MAP 5.2</t>
  </si>
  <si>
    <t>MAP 5.2: - Establish and document stakeholder engagement processes at the earliest stages of system formulation to identify potential impacts from the AI system on individuals, groups, communities, organizations, and society. - Employ methods such as value sensitive design (VSD) to identify misalignments between organizational and societal values, and system implementation and impact. - Identify approaches to engage, capture, and incorporate input from system end users and other key stakeholders to assist with continuous monitoring for potential impacts and emergent risks. - Incorporate quantitative, qualitative, and mixed methods in the assessment and documentation of potential impacts to individuals, groups, communities, organizations, and society.…</t>
  </si>
  <si>
    <t>MEASURE 1.1</t>
  </si>
  <si>
    <t>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t>
  </si>
  <si>
    <t>MEASURE 1.2</t>
  </si>
  <si>
    <t>MEASURE 1.2: - Assess external validity of all measurements (e.g., the degree to which measurements taken in one context can generalize to other contexts). - Assess effectiveness of existing metrics and controls on a regular basis throughout the AI system lifecycle. - Document reports of errors, incidents and negative impacts and assess sufficiency and efficacy of existing metrics for repairs, and upgrades - Develop new metrics when existing metrics are insufficient or ineffective for implementing repairs and upgrades. - Develop and utilize metrics to monitor, characterize and track external inputs, including any third-party tools. - Determine frequency and scope for sharing metrics and related information with stakeholders and impacted communities.…</t>
  </si>
  <si>
    <t>MEASURE 1.3</t>
  </si>
  <si>
    <t>MEASURE 1.3: - Evaluate TEVV processes regarding incentives to identify risks and impacts. - Utilize separate testing teams established in the Govern function (2.1 and 4.1) to enable independent decisions and course-correction for AI systems. Track processes and measure and document change in performance. - Plan and evaluate AI system prototypes with end user populations early and continuously in the AI lifecycle. Document test outcomes and course correct. - Assess independence and stature of TEVV and oversight AI actors, to ensure they have the required levels of independence and resources to perform assurance, compliance, and feedback tasks effectively - Evaluate interdisciplinary and demographically diverse internal team established in Map 1.2…</t>
  </si>
  <si>
    <t>MEASURE 2.1</t>
  </si>
  <si>
    <t>MEASURE 2.1: - Leverage existing industry best practices for transparency and documentation of all possible aspects of measurements. Examples include: data sheet for data sets, model cards - Regularly assess the effectiveness of tools used to document measurement approaches, test sets, metrics, processes and materials used - Update the tools as needed</t>
  </si>
  <si>
    <t>MEASURE 2.2</t>
  </si>
  <si>
    <t>MEASURE 2.2: - Follow human subjects research requirements as established by organizational and disciplinary requirements, including informed consent and compensation, during dataset collection activities. - Analyze differences between intended and actual population of users or data subjects, including likelihood for errors, incidents or negative impacts. - Utilize disaggregated evaluation methods (e.g. by race, age, gender, ethnicity, ability, region) to improve AI system performance when deployed in real world settings. - Establish thresholds and alert procedures for dataset representativeness within the context of use. - Construct datasets in close collaboration with experts with knowledge of the context of use. - Follow intellectual property and privacy rights related to datasets and their use, including for the subjects represented in the data. - Evaluate data representativeness through…</t>
  </si>
  <si>
    <t>MEASURE 2.3</t>
  </si>
  <si>
    <t>MEASURE 2.3: - Conduct regular and sustained engagement with potentially impacted communities - Maintain a demographically diverse and multidisciplinary and collaborative internal team - Regularly test and evaluate systems in non-optimized conditions, and in collaboration with AI actors in user interaction and user experience (UI/UX) roles. - Evaluate feedback from stakeholder engagement activities, in collaboration with human factors and socio-technical experts. - Collaborate with socio-technical, human factors, and UI/UX experts to identify notable characteristics in context of use that can be translated into system testing scenarios. - Measure AI systems prior to deployment in conditions similar to expected scenarios.…</t>
  </si>
  <si>
    <t>MEASURE 2.4</t>
  </si>
  <si>
    <t>MEASURE 2.4: - Monitor and document how metrics and performance indicators observed in production differ from the same metrics collected during pre-deployment testing. When differences are observed, consider error propagation and feedback loop risks. - Utilize hypothesis testing or human domain expertise to measure monitored distribution differences in new input or output data relative to test environments - Monitor for anomalies using approaches such as control limits, confidence intervals, integrity constraints and ML algorithms. When anomalies are observed, consider error propagation and feedback loop risks. - Verify alerts are in place for when distributions in new input data or generated predictions observed in production differ from pre-deployment test outcomes, or when anomalies are detected.…</t>
  </si>
  <si>
    <t>MEASURE 2.5</t>
  </si>
  <si>
    <t>MEASURE 2.5: - Define the operating conditions and socio-technical context under which the AI system will be validated. - Define and document processes to establish the system’s operational conditions and limits. -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 Assess and document system variance. Standard approaches include confidence intervals, standard deviation, standard error, bootstrapping, or cross-validation. - Establish or identify, and document robustness measures.…</t>
  </si>
  <si>
    <t>MEASURE 2.6</t>
  </si>
  <si>
    <t>MEASURE 2.7</t>
  </si>
  <si>
    <t>MEASURE 2.8</t>
  </si>
  <si>
    <t>MEASURE 2.9</t>
  </si>
  <si>
    <t>MEASURE 2.9: - Verify systems are developed to produce explainable models, post-hoc explanations and audit logs. - When possible or available, utilize approaches that are inherently explainable, such as traditional and penalized generalized linear models , decision trees, nearest-neighbor and prototype-based approaches, rule-based models, generalized additive models , explainable boosting machines and neural additive models. - Test explanation methods and resulting explanations prior to deployment to gain feedback from relevant AI actors, end users, and potentially impacted individuals or groups about whether explanations are accurate, clear, and understandable.…</t>
  </si>
  <si>
    <t>MEASURE 2.10</t>
  </si>
  <si>
    <t>MEASURE 2.10: - Specify privacy-related values, frameworks, and attributes that are applicable in the context of use through direct engagement with end users and potentially impacted groups and communities. - Document collection, use, management, and disclosure of personally sensitive information in datasets, in accordance with privacy and data governance policies - Quantify privacy-level data aspects such as the ability to identify individuals or groups (e.g. k-anonymity metrics, l-diversity, t-closeness). - Establish and document protocols (authorization, duration, type) and access controls for training sets or production data containing personally sensitive information, in accordance with privacy and data governance policies. - Monitor internal queries to production data for detecting patterns that isolate personal records.…</t>
  </si>
  <si>
    <t>MEASURE 2.11</t>
  </si>
  <si>
    <t>MEASURE 2.11: - Conduct fairness assessments to manage computational and statistical forms of bias which include the following steps: - Identify types of harms, including allocational, representational, quality of service, stereotyping, or erasure - Identify across, within, and intersecting groups that might be harmed - Quantify harms using both a general fairness metric, if appropriate (e.g. demographic parity, equalized odds, equal opportunity, statistical hypothesis tests), and custom, context-specific metrics developed in collaboration with affected communities - Analyze quantified harms for contextually significant differences across groups, within groups, and among intersecting groups - Refine identification of within-group and intersectional group disparities. - Evaluate underlying data distributions and employ sensitivity analysis during the analysis of quantified harms.…</t>
  </si>
  <si>
    <t>MEASURE 2.12</t>
  </si>
  <si>
    <t>MEASURE 2.12: - Include environmental impact indicators in AI system design and development plans, including reducing consumption and improving efficiencies. - Identify and implement key indicators of AI system energy and water consumption and efficiency, and/or GHG emissions. - Establish measurable baselines for sustainable AI system operation in accordance with organizational policies, regulatory compliance, legal frameworks, and environmental protection and sustainability norms. - Assess tradeoffs between AI system performance and sustainable operations in accordance with organizational principles and policies, regulatory compliance, legal frameworks, and environmental protection and sustainability norms. - Identify and establish acceptable resource consumption and efficiency, and GHG emissions levels, along with actions to be taken if indicators rise above acceptable levels.…</t>
  </si>
  <si>
    <t>MEASURE 2.13</t>
  </si>
  <si>
    <t>MEASURE 2.13: - Review selected system metrics and associated TEVV processes to determine if they are able to sustain system improvements, including the identification and removal of errors. - Regularly evaluate system metrics for utility, and consider descriptive approaches in place of overly complex methods. - Review selected system metrics for acceptability within the end user and impacted community of interest. - Assess effectiveness of metrics for identifying and measuring risks.</t>
  </si>
  <si>
    <t>MEASURE 3.1</t>
  </si>
  <si>
    <t>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t>
  </si>
  <si>
    <t>MEASURE 3.2</t>
  </si>
  <si>
    <t>MEASURE 3.2: - Establish processes for tracking emergent risks that may not be measurable with current approaches. Some processes may include: - Recourse mechanisms for faulty AI system outputs. - Bug bounties. - Human-centered design approaches. - User-interaction and experience research. - Participatory stakeholder engagement with affected or potentially impacted individuals and communities. - Identify AI actors responsible for tracking emergent risks and inventory methods. - Determine and document the rate of occurrence and severity level for complex or difficult-to-measure risks when: - Prioritizing new measurement approaches for deployment tasks. - Allocating AI system risk management resources. - Evaluating AI system improvements. - Making go/no-go decisions for subsequent system iterations.</t>
  </si>
  <si>
    <t>MEASURE 3.3</t>
  </si>
  <si>
    <t>MEASURE 3.3: - Measure efficacy of end user and operator error reporting processes. - Categorize and analyze type and rate of end user appeal requests and results. - Measure feedback activity participation rates and awareness of feedback activity availability. - Utilize feedback to analyze measurement approaches and determine subsequent courses of action. - Evaluate measurement approaches to determine efficacy for enhancing organizational understanding of real world impacts. - Analyze end user and community feedback in close collaboration with domain experts.</t>
  </si>
  <si>
    <t>MEASURE 4.1</t>
  </si>
  <si>
    <t>MEASURE 4.1: - Support mechanisms for capturing feedback from system end users (including domain experts, operators, and practitioners). Successful approaches are: - conducted in settings where end users are able to openly share their doubts and insights about AI system output, and in connection to their specific context of use (including setting and task-specific lines of inquiry) - developed and implemented by human-factors and socio-technical domain experts and researchers - designed to ensure control of interviewer and end user subjectivity and biases - Identify and document approaches - for evaluating and integrating elicited feedback from system end users - in collaboration with human-factors and socio-technical domain experts, - to actively inform a process of continual improvement. - Evaluate feedback from end users alongside evaluated feedback from impacted communities (MEASURE 3.3).…</t>
  </si>
  <si>
    <t>MEASURE 4.2</t>
  </si>
  <si>
    <t>MEASURE 4.2: - Integrate feedback from end users, operators, and affected individuals and communities from Map function as inputs to assess AI system trustworthiness characteristics. Ensure both positive and negative feedback is being assessed. - Evaluate feedback in connection with AI system trustworthiness characteristics from Measure 2.5 to 2.11. - Evaluate feedback regarding end user satisfaction with, and confidence in, AI system performance including whether output is considered valid and reliable, and explainable and interpretable. - Identify mechanisms to confirm/support AI system output (e.g. recommendations), and end user perspectives about that output. - Measure frequency of AI systems’ override decisions, evaluate and document results, and feed insights back into continual improvement processes.…</t>
  </si>
  <si>
    <t>MEASURE 4.3</t>
  </si>
  <si>
    <t>MEASURE 4.3: - Develop baseline quantitative measures for trustworthy characteristics. - Delimit and characterize baseline operation values and states. - Utilize qualitative approaches to augment and complement quantitative baseline measures, in close coordination with impact assessment, human factors and socio-technical AI actors. - Monitor and assess measurements as part of continual improvement to identify potential system adjustments or modifications - Perform and document sensitivity analysis to characterize actual and expected variance in performance after applying system or procedural updates. - Document decisions related to the sensitivity analysis and record expected influence on system performance and identified risks.</t>
  </si>
  <si>
    <t>Name</t>
  </si>
  <si>
    <t>Control Language / Checklist Criteria</t>
  </si>
  <si>
    <t>Mapping Notes</t>
  </si>
  <si>
    <t>Clause 4</t>
  </si>
  <si>
    <t>Context of the organization</t>
  </si>
  <si>
    <t>Clause 4 – Context of the organization: Identify internal/external issues relevant to AI systems, determine interested-party needs and expectations, define AIMS scope, and establish/maintain/continually improve the AIMS.</t>
  </si>
  <si>
    <t>Identify internal/external issues, interested parties, AIMS scope, and maintain/improve AIMS.</t>
  </si>
  <si>
    <t>Leadership</t>
  </si>
  <si>
    <t>Clause 5 – Leadership: Top management demonstrates commitment to the AIMS, establishes an AI policy aligned to strategy, and assigns/communicates AI management roles, responsibilities, and authorities.</t>
  </si>
  <si>
    <t>Top management commitment, AI policy, roles, responsibilities, and authorities.</t>
  </si>
  <si>
    <t>Planning</t>
  </si>
  <si>
    <t>Clause 6 – Planning: Determine actions for AI risks and opportunities; maintain AI risk assessment, risk treatment, and AI system impact assessment processes; establish AI objectives and plans.</t>
  </si>
  <si>
    <t>Actions for risks/opportunities, AI risk assessment/treatment, impact assessments, and AI objectives.</t>
  </si>
  <si>
    <t>Support</t>
  </si>
  <si>
    <t>Resources, competence, awareness, communications, and documented information.</t>
  </si>
  <si>
    <t>Operation</t>
  </si>
  <si>
    <t>Operational planning/control, integrated risk treatment, and lifecycle impact assessment updates.</t>
  </si>
  <si>
    <t>Performance evaluation</t>
  </si>
  <si>
    <t>Monitoring, measurement, internal audits, and management review.</t>
  </si>
  <si>
    <t>Improvement</t>
  </si>
  <si>
    <t>Clause 10 – Improvement: Determine improvement opportunities and manage nonconformities and corrective actions effectively.</t>
  </si>
  <si>
    <t>Opportunities for improvement, nonconformities, corrective actions, and continual improvement.</t>
  </si>
  <si>
    <t>Policies related to AI</t>
  </si>
  <si>
    <t>AI policy approval, responsible AI principles, policy review, and linkage to other policies.</t>
  </si>
  <si>
    <t>Internal organization</t>
  </si>
  <si>
    <t>Annex A.3 – Internal organization: Define AI roles and responsibilities; provide reporting and confidential escalation paths; investigate and resolve AI-related concerns.</t>
  </si>
  <si>
    <t>Roles, responsibilities, concern reporting, escalation, investigation, and resolution.</t>
  </si>
  <si>
    <t>Resources for AI systems</t>
  </si>
  <si>
    <t>Annex A.4 – Resources for AI systems: Maintain a register of AI resources including data, tools, systems, people, tooling, compute resources, and relevant operational/environmental impacts.</t>
  </si>
  <si>
    <t>AI resource inventory including data, tools, systems, people, compute, and operational impacts.</t>
  </si>
  <si>
    <t>Assessing impacts of AI systems</t>
  </si>
  <si>
    <t>Documented AI impact assessments across the lifecycle and use in design/control decisions.</t>
  </si>
  <si>
    <t>AI system life cycle</t>
  </si>
  <si>
    <t>Responsible development objectives, V&amp;V, technical documentation, logs, and lifecycle controls.</t>
  </si>
  <si>
    <t>Data for AI systems</t>
  </si>
  <si>
    <t>Data management, provenance, intended use, data quality, and data preparation.</t>
  </si>
  <si>
    <t>Information for interested parties</t>
  </si>
  <si>
    <t>Documentation, incident reporting/escalation, communication plans, stakeholder information.</t>
  </si>
  <si>
    <t>Use of AI systems</t>
  </si>
  <si>
    <t>Annex A.9 – Use of AI systems: Define responsible AI use processes, ethical/appropriate-use objectives, intended-purpose usage boundaries, and monitoring/remediation for misuse or unintended consequences.</t>
  </si>
  <si>
    <t>Responsible use process, intended-purpose boundaries, ethical objectives, and misuse monitoring.</t>
  </si>
  <si>
    <t>Third-party and customer relationships</t>
  </si>
  <si>
    <t>Supplier/customer responsibilities, selection/management, expectations, and ongoing governance.</t>
  </si>
  <si>
    <t>Suggested Reference Evidence</t>
  </si>
  <si>
    <t>AI policy and acceptable-use standard; AI governance charter; AI Council minutes; approval records; exception logs; role/RACI matrix; training/attestation records; AI risk appetite and escalation procedure.</t>
  </si>
  <si>
    <t>Inspect approved policy and governance charter; sample approval records; verify owners and decision logs; interview AI Council or control owner; confirm exceptions and attestations are tracked.</t>
  </si>
  <si>
    <t>AIMS scope statement; organizational context analysis; interested-party register; operating model; RACI; internal communication records; training plans; management review outputs.</t>
  </si>
  <si>
    <t>Confirm AIMS scope and organizational context are documented; sample communications and awareness records; verify role assignment and management review participation.</t>
  </si>
  <si>
    <t>AI risk assessment methodology; AI impact assessment template; model/use-case risk ratings; treatment plans; risk acceptance approvals; residual risk logs; risk register extracts.</t>
  </si>
  <si>
    <t>Reperform a sample risk assessment; verify impact assessment completion; trace risks to treatment decisions and approvals; confirm residual risk is accepted by the right authority.</t>
  </si>
  <si>
    <t>INV</t>
  </si>
  <si>
    <t>AI inventory/registry; approved use-case catalog; model cards/system cards; supplier/model/provider inventory; data-flow diagrams; asset ownership records; lifecycle status records.</t>
  </si>
  <si>
    <t>Select sample AI systems; trace to inventory, owner, approved use case, data types, provider, and lifecycle status; verify registry completeness against procurement/cloud/tooling records.</t>
  </si>
  <si>
    <t>Data governance policy; data classification and handling records; data provenance documentation; dataset datasheets; data quality checks; privacy impact assessments; retention and deletion evidence.</t>
  </si>
  <si>
    <t>Sample datasets used by AI systems; verify source, provenance, consent/legal basis where applicable, quality criteria, preparation steps, access restrictions, and retention controls.</t>
  </si>
  <si>
    <t>Secure SDLC/ML lifecycle procedures; design reviews; threat models; validation and verification plans; test results; code reviews; change approvals; release records; AI-BOM/SBOM where applicable.</t>
  </si>
  <si>
    <t>Trace a sample model/application release from requirements through testing and approval; verify validation gates, independent review, and documented acceptance criteria.</t>
  </si>
  <si>
    <t>Model documentation; model cards; evaluation results; bias/fairness testing; robustness and red-team reports; model version history; tuning/benchmark records; approval for model changes.</t>
  </si>
  <si>
    <t>Review sample model evidence; compare evaluation results to acceptance thresholds; verify versioning, change approvals, and monitoring handoff before production release.</t>
  </si>
  <si>
    <t>Application architecture diagrams; prompt/control design; input/output filtering rules; access control configurations; API security tests; misuse/abuse case testing; production deployment approvals.</t>
  </si>
  <si>
    <t>Test a sample AI application path; verify controls are implemented for access, prompt injection, data leakage, output handling, logging, and production release approval.</t>
  </si>
  <si>
    <t>IAM policy; privileged access records; role definitions; SSO/MFA enforcement; service account inventory; access reviews; joiner/mover/leaver records; secrets management evidence.</t>
  </si>
  <si>
    <t>Sample users and service accounts; verify least privilege, MFA, approved access, periodic reviews, and timely removal; confirm secrets are stored and rotated securely.</t>
  </si>
  <si>
    <t>Architecture diagrams; cloud/security baseline; network segmentation; encryption configuration; key management evidence; vulnerability scans; hardening standards; backup/DR test results.</t>
  </si>
  <si>
    <t>Inspect infrastructure baseline; sample cloud resources and endpoints; verify encryption, logging, segmentation, vulnerability remediation, backup, and recovery testing evidence.</t>
  </si>
  <si>
    <t>Monitoring strategy; model performance dashboards; drift/bias monitoring; security logs; alert rules; KPI/KRI reporting; incident tickets; periodic review records.</t>
  </si>
  <si>
    <t>Review monitoring coverage for sampled systems; verify alerts trigger and are triaged; inspect monitoring dashboards and evidence that issues drive corrective action.</t>
  </si>
  <si>
    <t>AI incident response plan; AI incident taxonomy; escalation matrix; tabletop exercises; incident tickets; post-incident reviews; regulatory/customer notification procedures; lessons-learned actions.</t>
  </si>
  <si>
    <t>Inspect AI-specific IR procedures; sample incident/tabletop records; verify triage, escalation, notification, root-cause analysis, and corrective action closure.</t>
  </si>
  <si>
    <t>Score</t>
  </si>
  <si>
    <t>Level Name</t>
  </si>
  <si>
    <t>Definition</t>
  </si>
  <si>
    <t>Expected Evidence Quality</t>
  </si>
  <si>
    <t>Compliance Interpretation</t>
  </si>
  <si>
    <t>Not Assessed / Not Implemented</t>
  </si>
  <si>
    <t>No assessment has been performed or no control exists.</t>
  </si>
  <si>
    <t>No evidence provided.</t>
  </si>
  <si>
    <t>Not compliant.</t>
  </si>
  <si>
    <t>Initial / Ad hoc</t>
  </si>
  <si>
    <t>Control activities occur informally and inconsistently.</t>
  </si>
  <si>
    <t>Screenshots, emails, or informal artifacts may exist but are not repeatable.</t>
  </si>
  <si>
    <t>Usually not compliant; may be partial for low-risk use cases.</t>
  </si>
  <si>
    <t>Defined</t>
  </si>
  <si>
    <t>Control is documented and assigned to an owner, but operating evidence is limited.</t>
  </si>
  <si>
    <t>Approved policy/procedure and ownership evidence; limited sample execution records.</t>
  </si>
  <si>
    <t>May satisfy CSA level 2 where mapped; NIST/ISO usually partial until evidence is validated.</t>
  </si>
  <si>
    <t>Implemented</t>
  </si>
  <si>
    <t>Control is operating for in-scope systems with repeatable evidence.</t>
  </si>
  <si>
    <t>Sample tickets, approvals, logs, completed assessments, test results, and system records.</t>
  </si>
  <si>
    <t>Typically baseline compliant when evidence is validated.</t>
  </si>
  <si>
    <t>Measured</t>
  </si>
  <si>
    <t>Control is monitored with KPIs/KRIs and periodic review.</t>
  </si>
  <si>
    <t>Dashboards, metrics, review minutes, exceptions, trend analysis, and corrective actions.</t>
  </si>
  <si>
    <t>Strong compliance posture; supports audit readiness.</t>
  </si>
  <si>
    <t>Optimized / Continuous</t>
  </si>
  <si>
    <t>Control is continuously improved, automated where practical, and integrated into enterprise governance.</t>
  </si>
  <si>
    <t>Automated monitoring, continuous controls testing, mature metrics, and closed-loop improvement evidence.</t>
  </si>
  <si>
    <t>Mature, defensible, and ready for continuous assurance.</t>
  </si>
  <si>
    <t>List</t>
  </si>
  <si>
    <t>No</t>
  </si>
  <si>
    <t>Implementation Status</t>
  </si>
  <si>
    <t>Not Implemented</t>
  </si>
  <si>
    <t>Planned</t>
  </si>
  <si>
    <t>Partially Implemented</t>
  </si>
  <si>
    <t>Optimized</t>
  </si>
  <si>
    <t>N/A</t>
  </si>
  <si>
    <t>Requested</t>
  </si>
  <si>
    <t>Collected</t>
  </si>
  <si>
    <t>Validated</t>
  </si>
  <si>
    <t>Expired</t>
  </si>
  <si>
    <t>Pass</t>
  </si>
  <si>
    <t>Fail</t>
  </si>
  <si>
    <t>Partial</t>
  </si>
  <si>
    <t>Low</t>
  </si>
  <si>
    <t>Medium</t>
  </si>
  <si>
    <t>High</t>
  </si>
  <si>
    <t>Critical</t>
  </si>
  <si>
    <t>Controls</t>
  </si>
  <si>
    <t>Avg Current Maturity</t>
  </si>
  <si>
    <t>Meets CSA Level</t>
  </si>
  <si>
    <t>Validated Evidence</t>
  </si>
  <si>
    <t>Open Gaps</t>
  </si>
  <si>
    <t>Total Controls</t>
  </si>
  <si>
    <t>Applicable Controls</t>
  </si>
  <si>
    <t>Average Current Maturity</t>
  </si>
  <si>
    <t>Average Target Maturity</t>
  </si>
  <si>
    <t>Controls Meeting CSA AISMM Level</t>
  </si>
  <si>
    <t>NIST AI RMF Compliant Controls</t>
  </si>
  <si>
    <t>ISO/IEC 42001 Compliant Controls</t>
  </si>
  <si>
    <t>Validated Evidence Items</t>
  </si>
  <si>
    <t>High/Critical Residual Risk</t>
  </si>
  <si>
    <t>Last Updated</t>
  </si>
  <si>
    <t>Assessment Guidance</t>
  </si>
  <si>
    <t>Use the Mapping sheet columns S:AN as the working test sheet. Enter scope, owner, maturity score, evidence status, evidence link, test result, and remediation details.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</si>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</sst>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6"/>
      <color rgb="FFFFFFFF"/>
      <name val="Carlito"/>
    </font>
    <font>
      <b/>
      <sz val="11"/>
      <name val="Carlito"/>
    </font>
    <font>
      <b/>
      <sz val="11"/>
      <color rgb="FFFFFFFF"/>
      <name val="Carlito"/>
    </font>
  </fonts>
  <fills count="10">
    <fill>
      <patternFill patternType="none"/>
    </fill>
    <fill>
      <patternFill patternType="gray125"/>
    </fill>
    <fill>
      <patternFill patternType="solid">
        <fgColor rgb="FF1F4E79"/>
      </patternFill>
    </fill>
    <fill>
      <patternFill patternType="solid">
        <fgColor rgb="FFD9EAF7"/>
      </patternFill>
    </fill>
    <fill>
      <patternFill patternType="solid">
        <fgColor rgb="FF0F766E"/>
      </patternFill>
    </fill>
    <fill>
      <patternFill patternType="solid">
        <fgColor rgb="FF1F4E78"/>
      </patternFill>
    </fill>
    <fill>
      <patternFill patternType="solid">
        <fgColor rgb="FFD9EAF7"/>
      </patternFill>
    </fill>
    <fill>
      <patternFill patternType="solid">
        <fgColor rgb="FF1F4E78"/>
      </patternFill>
    </fill>
    <fill>
      <patternFill patternType="solid">
        <fgColor rgb="FF0B1F33"/>
      </patternFill>
    </fill>
    <fill>
      <patternFill patternType="solid">
        <fgColor rgb="FFF2F2F2"/>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vertical="center"/>
    </xf>
    <xf numFmtId="0" fontId="2" fillId="3" borderId="0" xfId="0" applyFont="1" applyFill="1" applyAlignment="1">
      <alignment vertical="top"/>
    </xf>
    <xf numFmtId="0" fontId="0" fillId="0" borderId="0" xfId="0" applyAlignment="1">
      <alignment wrapText="1"/>
    </xf>
    <xf numFmtId="0" fontId="3" fillId="4" borderId="0" xfId="0" applyFont="1" applyFill="1"/>
    <xf numFmtId="0" fontId="3" fillId="2" borderId="0" xfId="0" applyFont="1" applyFill="1"/>
    <xf numFmtId="0" fontId="3" fillId="5" borderId="0" xfId="0" applyFont="1" applyFill="1" applyAlignment="1">
      <alignment wrapText="1"/>
    </xf>
    <xf numFmtId="0" fontId="0" fillId="0" borderId="0" xfId="0" applyAlignment="1">
      <alignment vertical="top" wrapText="1"/>
    </xf>
    <xf numFmtId="0" fontId="2" fillId="0" borderId="0" xfId="0" applyFont="1" applyAlignment="1">
      <alignment wrapText="1"/>
    </xf>
    <xf numFmtId="0" fontId="2" fillId="6" borderId="0" xfId="0" applyFont="1" applyFill="1" applyAlignment="1">
      <alignment wrapText="1"/>
    </xf>
    <xf numFmtId="0" fontId="0" fillId="6" borderId="0" xfId="0" applyFill="1" applyAlignment="1">
      <alignment wrapText="1"/>
    </xf>
    <xf numFmtId="0" fontId="3" fillId="7" borderId="0" xfId="0" applyFont="1" applyFill="1" applyAlignment="1">
      <alignment horizontal="center" vertical="center" wrapText="1"/>
    </xf>
    <xf numFmtId="0" fontId="3" fillId="7" borderId="0" xfId="0" applyFont="1" applyFill="1" applyAlignment="1">
      <alignment horizontal="center" vertical="top" wrapText="1"/>
    </xf>
    <xf numFmtId="0" fontId="2" fillId="0" borderId="0" xfId="0" applyFont="1"/>
    <xf numFmtId="0" fontId="2" fillId="9" borderId="0" xfId="0" applyFont="1" applyFill="1" applyAlignment="1">
      <alignment horizontal="center"/>
    </xf>
    <xf numFmtId="0" fontId="1" fillId="8" borderId="0" xfId="0" applyFont="1" applyFill="1" applyAlignment="1">
      <alignment horizontal="center"/>
    </xf>
    <xf numFmtId="14" fontId="2" fillId="9" borderId="0" xfId="0" applyNumberFormat="1" applyFont="1" applyFill="1" applyAlignment="1">
      <alignment horizontal="center"/>
    </xf>
  </cellXfs>
  <cellStyles count="1">
    <cellStyle name="Normal" xfId="0" builtinId="0"/>
  </cellStyles>
  <dxfs count="21">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bgColor rgb="FFF4CCCC"/>
        </patternFill>
      </fill>
    </dxf>
    <dxf>
      <fill>
        <patternFill patternType="solid">
          <bgColor rgb="FFE2F0D9"/>
        </patternFill>
      </fill>
    </dxf>
    <dxf>
      <fill>
        <patternFill patternType="solid">
          <bgColor rgb="FFF4CCCC"/>
        </patternFill>
      </fill>
    </dxf>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Domain Control Count and Average Current Maturity</a:t>
            </a:r>
          </a:p>
        </c:rich>
      </c:tx>
      <c:overlay val="0"/>
    </c:title>
    <c:autoTitleDeleted val="0"/>
    <c:plotArea>
      <c:layout/>
      <c:barChart>
        <c:barDir val="col"/>
        <c:grouping val="clustered"/>
        <c:varyColors val="0"/>
        <c:ser>
          <c:idx val="0"/>
          <c:order val="0"/>
          <c:tx>
            <c:v>Controls</c:v>
          </c:tx>
          <c:invertIfNegative val="1"/>
          <c:cat>
            <c:strRef>
              <c:f>Assessment_Dashboard!$D$4:$D$15</c:f>
              <c:strCache>
                <c:ptCount val="12"/>
                <c:pt idx="0">
                  <c:v>AI Dev and Supply Chain</c:v>
                </c:pt>
                <c:pt idx="1">
                  <c:v>App Security</c:v>
                </c:pt>
                <c:pt idx="2">
                  <c:v>Data Security</c:v>
                </c:pt>
                <c:pt idx="3">
                  <c:v>Governance</c:v>
                </c:pt>
                <c:pt idx="4">
                  <c:v>IAM</c:v>
                </c:pt>
                <c:pt idx="5">
                  <c:v>Incident Response</c:v>
                </c:pt>
                <c:pt idx="6">
                  <c:v>Infrastructure</c:v>
                </c:pt>
                <c:pt idx="7">
                  <c:v>Model Security</c:v>
                </c:pt>
                <c:pt idx="8">
                  <c:v>Organization Management</c:v>
                </c:pt>
                <c:pt idx="9">
                  <c:v>Privacy and Compliance</c:v>
                </c:pt>
                <c:pt idx="10">
                  <c:v>Risk Assessment</c:v>
                </c:pt>
                <c:pt idx="11">
                  <c:v>Security Monitoring</c:v>
                </c:pt>
              </c:strCache>
            </c:strRef>
          </c:cat>
          <c:val>
            <c:numRef>
              <c:f>Assessment_Dashboard!$E$4:$E$15</c:f>
              <c:numCache>
                <c:formatCode>General</c:formatCode>
                <c:ptCount val="12"/>
                <c:pt idx="0">
                  <c:v>9</c:v>
                </c:pt>
                <c:pt idx="1">
                  <c:v>10</c:v>
                </c:pt>
                <c:pt idx="2">
                  <c:v>9</c:v>
                </c:pt>
                <c:pt idx="3">
                  <c:v>10</c:v>
                </c:pt>
                <c:pt idx="4">
                  <c:v>11</c:v>
                </c:pt>
                <c:pt idx="5">
                  <c:v>10</c:v>
                </c:pt>
                <c:pt idx="6">
                  <c:v>11</c:v>
                </c:pt>
                <c:pt idx="7">
                  <c:v>10</c:v>
                </c:pt>
                <c:pt idx="8">
                  <c:v>10</c:v>
                </c:pt>
                <c:pt idx="9">
                  <c:v>11</c:v>
                </c:pt>
                <c:pt idx="10">
                  <c:v>10</c:v>
                </c:pt>
                <c:pt idx="11">
                  <c:v>9</c:v>
                </c:pt>
              </c:numCache>
            </c:numRef>
          </c:val>
          <c:extLst>
            <c:ext xmlns:c16="http://schemas.microsoft.com/office/drawing/2014/chart" uri="{C3380CC4-5D6E-409C-BE32-E72D297353CC}">
              <c16:uniqueId val="{00000000-79BE-DC47-B313-4D2DB9C303A7}"/>
            </c:ext>
          </c:extLst>
        </c:ser>
        <c:ser>
          <c:idx val="1"/>
          <c:order val="1"/>
          <c:tx>
            <c:v>Avg Current Maturity</c:v>
          </c:tx>
          <c:invertIfNegative val="1"/>
          <c:cat>
            <c:strRef>
              <c:f>Assessment_Dashboard!$D$4:$D$15</c:f>
              <c:strCache>
                <c:ptCount val="12"/>
                <c:pt idx="0">
                  <c:v>AI Dev and Supply Chain</c:v>
                </c:pt>
                <c:pt idx="1">
                  <c:v>App Security</c:v>
                </c:pt>
                <c:pt idx="2">
                  <c:v>Data Security</c:v>
                </c:pt>
                <c:pt idx="3">
                  <c:v>Governance</c:v>
                </c:pt>
                <c:pt idx="4">
                  <c:v>IAM</c:v>
                </c:pt>
                <c:pt idx="5">
                  <c:v>Incident Response</c:v>
                </c:pt>
                <c:pt idx="6">
                  <c:v>Infrastructure</c:v>
                </c:pt>
                <c:pt idx="7">
                  <c:v>Model Security</c:v>
                </c:pt>
                <c:pt idx="8">
                  <c:v>Organization Management</c:v>
                </c:pt>
                <c:pt idx="9">
                  <c:v>Privacy and Compliance</c:v>
                </c:pt>
                <c:pt idx="10">
                  <c:v>Risk Assessment</c:v>
                </c:pt>
                <c:pt idx="11">
                  <c:v>Security Monitoring</c:v>
                </c:pt>
              </c:strCache>
            </c:strRef>
          </c:cat>
          <c:val>
            <c:numRef>
              <c:f>Assessment_Dashboard!$F$4:$F$15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79BE-DC47-B313-4D2DB9C303A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0</xdr:rowOff>
    </xdr:from>
    <xdr:to>
      <xdr:col>9</xdr:col>
      <xdr:colOff>0</xdr:colOff>
      <xdr:row>35</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SMM_NIST_ISO_Map" displayName="AISMM_NIST_ISO_Map" ref="A1:P121">
  <tableColumns count="16">
    <tableColumn id="1" xr3:uid="{00000000-0010-0000-0000-000001000000}" name="CSA Domain"/>
    <tableColumn id="2" xr3:uid="{00000000-0010-0000-0000-000002000000}" name="CSA Control ID"/>
    <tableColumn id="3" xr3:uid="{00000000-0010-0000-0000-000003000000}" name="CSA Prefix"/>
    <tableColumn id="4" xr3:uid="{00000000-0010-0000-0000-000004000000}" name="Maturity Level"/>
    <tableColumn id="5" xr3:uid="{00000000-0010-0000-0000-000005000000}" name="CSA Control Objective"/>
    <tableColumn id="6" xr3:uid="{00000000-0010-0000-0000-000006000000}" name="CSA Control Description"/>
    <tableColumn id="7" xr3:uid="{00000000-0010-0000-0000-000007000000}" name="Automated or Manual"/>
    <tableColumn id="8" xr3:uid="{00000000-0010-0000-0000-000008000000}" name="Deployment Types"/>
    <tableColumn id="9" xr3:uid="{00000000-0010-0000-0000-000009000000}" name="CSA AICM Mapping"/>
    <tableColumn id="10" xr3:uid="{00000000-0010-0000-0000-00000A000000}" name="NIST AI RMF Mapping"/>
    <tableColumn id="11" xr3:uid="{00000000-0010-0000-0000-00000B000000}" name="NIST Mapping Basis"/>
    <tableColumn id="12" xr3:uid="{00000000-0010-0000-0000-00000C000000}" name="ISO/IEC 42001 Mapping"/>
    <tableColumn id="13" xr3:uid="{00000000-0010-0000-0000-00000D000000}" name="ISO Mapping Basis"/>
    <tableColumn id="14" xr3:uid="{00000000-0010-0000-0000-00000E000000}" name="Evidence / Implementation Notes"/>
    <tableColumn id="15" xr3:uid="{00000000-0010-0000-0000-00000F000000}" name="Source / Traceability"/>
    <tableColumn id="16" xr3:uid="{00000000-0010-0000-0000-000010000000}" name="AISMM External Referenc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ISTIndex" displayName="NISTIndex" ref="A1:C73">
  <tableColumns count="3">
    <tableColumn id="1" xr3:uid="{00000000-0010-0000-0100-000001000000}" name="NIST AI RMF ID"/>
    <tableColumn id="2" xr3:uid="{00000000-0010-0000-0100-000002000000}" name="Function"/>
    <tableColumn id="3" xr3:uid="{00000000-0010-0000-0100-000003000000}" name="Sour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SOIndex" displayName="ISOIndex" ref="A1:C17">
  <tableColumns count="3">
    <tableColumn id="1" xr3:uid="{00000000-0010-0000-0200-000001000000}" name="ISO/IEC 42001 Area"/>
    <tableColumn id="2" xr3:uid="{00000000-0010-0000-0200-000002000000}" name="Name"/>
    <tableColumn id="3" xr3:uid="{00000000-0010-0000-0200-000003000000}" name="Mapping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Evidence_Library_Table" displayName="Evidence_Library_Table" ref="A1:C13" headerRowDxfId="2" dataDxfId="0" totalsRowDxfId="1">
  <tableColumns count="3">
    <tableColumn id="1" xr3:uid="{00000000-0010-0000-0300-000001000000}" name="CSA Prefix" dataDxfId="5"/>
    <tableColumn id="2" xr3:uid="{00000000-0010-0000-0300-000002000000}" name="Suggested Reference Evidence" dataDxfId="4"/>
    <tableColumn id="3" xr3:uid="{00000000-0010-0000-0300-000003000000}" name="Verification Test Procedure"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Maturity_Rubric_Table" displayName="Maturity_Rubric_Table" ref="A1:E7" headerRowDxfId="8" dataDxfId="6" totalsRowDxfId="7">
  <tableColumns count="5">
    <tableColumn id="1" xr3:uid="{00000000-0010-0000-0400-000001000000}" name="Score" dataDxfId="13"/>
    <tableColumn id="2" xr3:uid="{00000000-0010-0000-0400-000002000000}" name="Level Name" dataDxfId="12"/>
    <tableColumn id="3" xr3:uid="{00000000-0010-0000-0400-000003000000}" name="Definition" dataDxfId="11"/>
    <tableColumn id="4" xr3:uid="{00000000-0010-0000-0400-000004000000}" name="Expected Evidence Quality" dataDxfId="10"/>
    <tableColumn id="5" xr3:uid="{00000000-0010-0000-0400-000005000000}" name="Compliance Interpretation" dataDxfId="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Domain_Summary_Table" displayName="Domain_Summary_Table" ref="D3:I15">
  <tableColumns count="6">
    <tableColumn id="1" xr3:uid="{00000000-0010-0000-0500-000001000000}" name="CSA Domain"/>
    <tableColumn id="2" xr3:uid="{00000000-0010-0000-0500-000002000000}" name="Controls"/>
    <tableColumn id="3" xr3:uid="{00000000-0010-0000-0500-000003000000}" name="Avg Current Maturity"/>
    <tableColumn id="4" xr3:uid="{00000000-0010-0000-0500-000004000000}" name="Meets CSA Level"/>
    <tableColumn id="5" xr3:uid="{00000000-0010-0000-0500-000005000000}" name="Validated Evidence"/>
    <tableColumn id="6" xr3:uid="{00000000-0010-0000-0500-000006000000}" name="Open Gap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heetViews>
  <sheetFormatPr baseColWidth="10" defaultColWidth="8.83203125" defaultRowHeight="14"/>
  <cols>
    <col min="1" max="1" width="22" customWidth="1"/>
    <col min="2" max="2" width="110" customWidth="1"/>
  </cols>
  <sheetData>
    <row r="1" spans="1:2" ht="21">
      <c r="A1" s="1" t="s">
        <v>0</v>
      </c>
      <c r="B1" s="1"/>
    </row>
    <row r="2" spans="1:2" ht="30">
      <c r="A2" s="2" t="s">
        <v>1</v>
      </c>
      <c r="B2" s="3" t="s">
        <v>2</v>
      </c>
    </row>
    <row r="3" spans="1:2" ht="30">
      <c r="A3" s="2" t="s">
        <v>3</v>
      </c>
      <c r="B3" s="3" t="s">
        <v>4</v>
      </c>
    </row>
    <row r="4" spans="1:2" ht="30">
      <c r="A4" s="2" t="s">
        <v>5</v>
      </c>
      <c r="B4" s="3" t="s">
        <v>6</v>
      </c>
    </row>
    <row r="5" spans="1:2" ht="30">
      <c r="A5" s="2" t="s">
        <v>7</v>
      </c>
      <c r="B5" s="3" t="s">
        <v>8</v>
      </c>
    </row>
    <row r="6" spans="1:2" ht="15">
      <c r="A6" s="2" t="s">
        <v>9</v>
      </c>
      <c r="B6" s="3" t="s">
        <v>10</v>
      </c>
    </row>
    <row r="7" spans="1:2" ht="15">
      <c r="A7" s="2"/>
      <c r="B7" s="3" t="s">
        <v>11</v>
      </c>
    </row>
    <row r="8" spans="1:2" ht="15">
      <c r="A8" s="2"/>
      <c r="B8" s="3" t="s">
        <v>12</v>
      </c>
    </row>
    <row r="9" spans="1:2" ht="15">
      <c r="A9" s="2"/>
      <c r="B9" s="3" t="s">
        <v>13</v>
      </c>
    </row>
    <row r="10" spans="1:2" ht="15">
      <c r="A10" s="2"/>
      <c r="B10" s="3" t="s">
        <v>14</v>
      </c>
    </row>
    <row r="12" spans="1:2" ht="16">
      <c r="A12" s="9" t="s">
        <v>15</v>
      </c>
      <c r="B12" s="10" t="s">
        <v>16</v>
      </c>
    </row>
    <row r="13" spans="1:2" ht="32">
      <c r="A13" s="8" t="s">
        <v>17</v>
      </c>
      <c r="B13" s="3" t="s">
        <v>18</v>
      </c>
    </row>
    <row r="14" spans="1:2" ht="31">
      <c r="A14" s="8" t="s">
        <v>19</v>
      </c>
      <c r="B14" s="3" t="s">
        <v>20</v>
      </c>
    </row>
    <row r="15" spans="1:2" ht="16">
      <c r="A15" s="8" t="s">
        <v>21</v>
      </c>
      <c r="B15" s="3" t="s">
        <v>22</v>
      </c>
    </row>
    <row r="17" spans="1:2">
      <c r="A17" t="s">
        <v>23</v>
      </c>
      <c r="B17" t="s">
        <v>24</v>
      </c>
    </row>
    <row r="18" spans="1:2">
      <c r="A18" t="s">
        <v>25</v>
      </c>
      <c r="B18" t="s">
        <v>26</v>
      </c>
    </row>
    <row r="19" spans="1:2">
      <c r="A19" t="s">
        <v>27</v>
      </c>
      <c r="B19" t="s">
        <v>28</v>
      </c>
    </row>
    <row r="20" spans="1:2">
      <c r="A20" t="s">
        <v>29</v>
      </c>
      <c r="B20" t="s">
        <v>30</v>
      </c>
    </row>
    <row r="21" spans="1:2">
      <c r="A21" t="s">
        <v>31</v>
      </c>
      <c r="B21" t="s">
        <v>32</v>
      </c>
    </row>
    <row r="22" spans="1:2">
      <c r="A22" t="s">
        <v>33</v>
      </c>
      <c r="B22" t="s">
        <v>34</v>
      </c>
    </row>
    <row r="23" spans="1:2">
      <c r="A23" t="s">
        <v>35</v>
      </c>
      <c r="B23"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21"/>
  <sheetViews>
    <sheetView tabSelected="1" workbookViewId="0"/>
  </sheetViews>
  <sheetFormatPr baseColWidth="10" defaultColWidth="8.83203125" defaultRowHeight="14"/>
  <cols>
    <col min="1" max="1" width="18" customWidth="1"/>
    <col min="2" max="2" width="14" customWidth="1"/>
    <col min="3" max="3" width="8" customWidth="1"/>
    <col min="4" max="4" width="12" customWidth="1"/>
    <col min="5" max="5" width="42" customWidth="1"/>
    <col min="6" max="6" width="54" customWidth="1"/>
    <col min="7" max="8" width="18" customWidth="1"/>
    <col min="9" max="10" width="28" customWidth="1"/>
    <col min="11" max="11" width="58" customWidth="1"/>
    <col min="12" max="12" width="22" customWidth="1"/>
    <col min="13" max="13" width="28" customWidth="1"/>
    <col min="14" max="14" width="58" customWidth="1"/>
    <col min="15" max="15" width="22" customWidth="1"/>
    <col min="16" max="16" width="48" customWidth="1"/>
    <col min="17" max="17" width="34" customWidth="1"/>
    <col min="18" max="18" width="42" customWidth="1"/>
    <col min="19" max="19" width="12" customWidth="1"/>
    <col min="20" max="20" width="28" customWidth="1"/>
    <col min="21" max="21" width="24" customWidth="1"/>
    <col min="22" max="23" width="20" customWidth="1"/>
    <col min="24" max="25" width="16" customWidth="1"/>
    <col min="26" max="26" width="14" customWidth="1"/>
    <col min="27" max="29" width="24" customWidth="1"/>
    <col min="30" max="30" width="28" customWidth="1"/>
    <col min="31" max="31" width="18" customWidth="1"/>
    <col min="32" max="32" width="30" customWidth="1"/>
    <col min="33" max="34" width="50" customWidth="1"/>
    <col min="35" max="35" width="16" customWidth="1"/>
    <col min="36" max="37" width="35" customWidth="1"/>
    <col min="38" max="38" width="14" customWidth="1"/>
    <col min="39" max="39" width="16" customWidth="1"/>
    <col min="40" max="40" width="14" customWidth="1"/>
  </cols>
  <sheetData>
    <row r="1" spans="1:40" ht="48" customHeight="1">
      <c r="A1" s="12" t="s">
        <v>37</v>
      </c>
      <c r="B1" s="12" t="s">
        <v>38</v>
      </c>
      <c r="C1" s="12" t="s">
        <v>39</v>
      </c>
      <c r="D1" s="12" t="s">
        <v>40</v>
      </c>
      <c r="E1" s="12" t="s">
        <v>41</v>
      </c>
      <c r="F1" s="12" t="s">
        <v>42</v>
      </c>
      <c r="G1" s="12" t="s">
        <v>43</v>
      </c>
      <c r="H1" s="12" t="s">
        <v>44</v>
      </c>
      <c r="I1" s="12" t="s">
        <v>45</v>
      </c>
      <c r="J1" s="12" t="s">
        <v>46</v>
      </c>
      <c r="K1" s="12" t="s">
        <v>47</v>
      </c>
      <c r="L1" s="12" t="s">
        <v>48</v>
      </c>
      <c r="M1" s="12" t="s">
        <v>49</v>
      </c>
      <c r="N1" s="12" t="s">
        <v>50</v>
      </c>
      <c r="O1" s="12" t="s">
        <v>51</v>
      </c>
      <c r="P1" s="12" t="s">
        <v>52</v>
      </c>
      <c r="Q1" s="12" t="s">
        <v>53</v>
      </c>
      <c r="R1" s="12" t="s">
        <v>54</v>
      </c>
      <c r="S1" s="12" t="s">
        <v>55</v>
      </c>
      <c r="T1" s="12" t="s">
        <v>56</v>
      </c>
      <c r="U1" s="12" t="s">
        <v>57</v>
      </c>
      <c r="V1" s="12" t="s">
        <v>58</v>
      </c>
      <c r="W1" s="12" t="s">
        <v>59</v>
      </c>
      <c r="X1" s="12" t="s">
        <v>60</v>
      </c>
      <c r="Y1" s="12" t="s">
        <v>61</v>
      </c>
      <c r="Z1" s="12" t="s">
        <v>62</v>
      </c>
      <c r="AA1" s="12" t="s">
        <v>63</v>
      </c>
      <c r="AB1" s="12" t="s">
        <v>64</v>
      </c>
      <c r="AC1" s="12" t="s">
        <v>65</v>
      </c>
      <c r="AD1" s="12" t="s">
        <v>66</v>
      </c>
      <c r="AE1" s="12" t="s">
        <v>67</v>
      </c>
      <c r="AF1" s="12" t="s">
        <v>68</v>
      </c>
      <c r="AG1" s="12" t="s">
        <v>69</v>
      </c>
      <c r="AH1" s="12" t="s">
        <v>70</v>
      </c>
      <c r="AI1" s="12" t="s">
        <v>71</v>
      </c>
      <c r="AJ1" s="12" t="s">
        <v>72</v>
      </c>
      <c r="AK1" s="12" t="s">
        <v>73</v>
      </c>
      <c r="AL1" s="12" t="s">
        <v>74</v>
      </c>
      <c r="AM1" s="12" t="s">
        <v>75</v>
      </c>
      <c r="AN1" s="12" t="s">
        <v>76</v>
      </c>
    </row>
    <row r="2" spans="1:40" ht="195">
      <c r="A2" s="7" t="s">
        <v>77</v>
      </c>
      <c r="B2" s="7" t="s">
        <v>78</v>
      </c>
      <c r="C2" s="7" t="s">
        <v>79</v>
      </c>
      <c r="D2" s="7" t="s">
        <v>80</v>
      </c>
      <c r="E2" s="7" t="s">
        <v>81</v>
      </c>
      <c r="F2" s="7" t="s">
        <v>82</v>
      </c>
      <c r="G2" s="7" t="s">
        <v>83</v>
      </c>
      <c r="H2" s="7" t="s">
        <v>84</v>
      </c>
      <c r="I2" s="7" t="s">
        <v>85</v>
      </c>
      <c r="J2" s="7" t="s">
        <v>86</v>
      </c>
      <c r="K2" s="7" t="s">
        <v>87</v>
      </c>
      <c r="L2" s="7" t="s">
        <v>88</v>
      </c>
      <c r="M2" s="7" t="s">
        <v>89</v>
      </c>
      <c r="N2" s="7" t="s">
        <v>90</v>
      </c>
      <c r="O2" s="7" t="s">
        <v>88</v>
      </c>
      <c r="P2" s="7" t="s">
        <v>91</v>
      </c>
      <c r="Q2" s="7" t="s">
        <v>92</v>
      </c>
      <c r="R2" s="7" t="s">
        <v>93</v>
      </c>
      <c r="S2" s="7" t="s">
        <v>94</v>
      </c>
      <c r="T2" s="7" t="s">
        <v>95</v>
      </c>
      <c r="U2" s="7"/>
      <c r="V2" s="7"/>
      <c r="W2" s="7" t="s">
        <v>96</v>
      </c>
      <c r="X2" s="7">
        <v>0</v>
      </c>
      <c r="Y2" s="7">
        <v>3</v>
      </c>
      <c r="Z2" s="7">
        <f t="shared" ref="Z2:Z33" si="0">IF($S2="No","N/A",MAX(0,$Y2-$X2))</f>
        <v>3</v>
      </c>
      <c r="AA2" s="7" t="str">
        <f t="shared" ref="AA2:AA33" si="1">IF($S2="No","N/A",IF($X2&gt;=VALUE($D2),"Meets CSA maturity","Gap to CSA level"))</f>
        <v>Gap to CSA level</v>
      </c>
      <c r="AB2" s="7" t="str">
        <f t="shared" ref="AB2:AB33" si="2">IF($S2="No","N/A",IF($J2="","Not Mapped",IF(AND($X2&gt;=3,$AE2="Validated"),"Compliant",IF($X2&gt;=1,"Partial","Not Compliant"))))</f>
        <v>Not Compliant</v>
      </c>
      <c r="AC2" s="7" t="str">
        <f t="shared" ref="AC2:AC33" si="3">IF($S2="No","N/A",IF($M2="","Not Mapped",IF(AND($X2&gt;=3,$AE2="Validated"),"Compliant",IF($X2&gt;=1,"Partial","Not Compliant"))))</f>
        <v>Not Compliant</v>
      </c>
      <c r="AD2" s="7" t="str">
        <f t="shared" ref="AD2:AD33" si="4">IF($S2="No","N/A",IF(AND($AA2="Meets CSA maturity",$AB2="Compliant",$AC2="Compliant"),"CSA + NIST + ISO",IF(AND($AA2="Meets CSA maturity",$AB2="Compliant"),"CSA + NIST",IF(AND($AA2="Meets CSA maturity",$AC2="Compliant"),"CSA + ISO",IF(AND($AB2="Compliant",$AC2="Compliant"),"NIST + ISO",IF($AA2="Meets CSA maturity","CSA only",IF($AB2="Compliant","NIST only",IF($AC2="Compliant","ISO only","No mapped framework fully compliant"))))))))</f>
        <v>No mapped framework fully compliant</v>
      </c>
      <c r="AE2" s="7" t="s">
        <v>97</v>
      </c>
      <c r="AF2" s="7"/>
      <c r="AG2" s="7" t="str">
        <f>IFERROR(VLOOKUP($C2,Evidence_Library!$A$2:$C$13,2,FALSE),"Control-specific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2" s="7" t="str">
        <f>IFERROR(VLOOKUP($C2,Evidence_Library!$A$2:$C$13,3,FALSE),"Inspect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2" s="7" t="s">
        <v>98</v>
      </c>
      <c r="AJ2" s="7"/>
      <c r="AK2" s="7"/>
      <c r="AL2" s="7"/>
      <c r="AM2" s="7" t="s">
        <v>96</v>
      </c>
      <c r="AN2" s="7"/>
    </row>
    <row r="3" spans="1:40" ht="210">
      <c r="A3" s="7" t="s">
        <v>77</v>
      </c>
      <c r="B3" s="7" t="s">
        <v>99</v>
      </c>
      <c r="C3" s="7" t="s">
        <v>79</v>
      </c>
      <c r="D3" s="7" t="s">
        <v>80</v>
      </c>
      <c r="E3" s="7" t="s">
        <v>100</v>
      </c>
      <c r="F3" s="7" t="s">
        <v>101</v>
      </c>
      <c r="G3" s="7" t="s">
        <v>83</v>
      </c>
      <c r="H3" s="7" t="s">
        <v>84</v>
      </c>
      <c r="I3" s="7" t="s">
        <v>102</v>
      </c>
      <c r="J3" s="7" t="s">
        <v>103</v>
      </c>
      <c r="K3" s="7" t="s">
        <v>104</v>
      </c>
      <c r="L3" s="7" t="s">
        <v>88</v>
      </c>
      <c r="M3" s="7" t="s">
        <v>105</v>
      </c>
      <c r="N3" s="7" t="s">
        <v>106</v>
      </c>
      <c r="O3" s="7" t="s">
        <v>107</v>
      </c>
      <c r="P3" s="7" t="s">
        <v>108</v>
      </c>
      <c r="Q3" s="7" t="s">
        <v>92</v>
      </c>
      <c r="R3" s="7" t="s">
        <v>109</v>
      </c>
      <c r="S3" s="7" t="s">
        <v>94</v>
      </c>
      <c r="T3" s="7" t="s">
        <v>95</v>
      </c>
      <c r="U3" s="7"/>
      <c r="V3" s="7"/>
      <c r="W3" s="7" t="s">
        <v>96</v>
      </c>
      <c r="X3" s="7">
        <v>0</v>
      </c>
      <c r="Y3" s="7">
        <v>3</v>
      </c>
      <c r="Z3" s="7">
        <f t="shared" si="0"/>
        <v>3</v>
      </c>
      <c r="AA3" s="7" t="str">
        <f t="shared" si="1"/>
        <v>Gap to CSA level</v>
      </c>
      <c r="AB3" s="7" t="str">
        <f t="shared" si="2"/>
        <v>Not Compliant</v>
      </c>
      <c r="AC3" s="7" t="str">
        <f t="shared" si="3"/>
        <v>Not Compliant</v>
      </c>
      <c r="AD3" s="7" t="str">
        <f t="shared" si="4"/>
        <v>No mapped framework fully compliant</v>
      </c>
      <c r="AE3" s="7" t="s">
        <v>97</v>
      </c>
      <c r="AF3" s="7"/>
      <c r="AG3" s="7" t="str">
        <f>IFERROR(VLOOKUP($C3,Evidence_Library!$A$2:$C$13,2,FALSE),"Control-specific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3" s="7" t="str">
        <f>IFERROR(VLOOKUP($C3,Evidence_Library!$A$2:$C$13,3,FALSE),"Inspect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3" s="7" t="s">
        <v>98</v>
      </c>
      <c r="AJ3" s="7"/>
      <c r="AK3" s="7"/>
      <c r="AL3" s="7"/>
      <c r="AM3" s="7" t="s">
        <v>96</v>
      </c>
      <c r="AN3" s="7"/>
    </row>
    <row r="4" spans="1:40" ht="384">
      <c r="A4" s="7" t="s">
        <v>77</v>
      </c>
      <c r="B4" s="7" t="s">
        <v>110</v>
      </c>
      <c r="C4" s="7" t="s">
        <v>79</v>
      </c>
      <c r="D4" s="7" t="s">
        <v>111</v>
      </c>
      <c r="E4" s="7" t="s">
        <v>112</v>
      </c>
      <c r="F4" s="7" t="s">
        <v>113</v>
      </c>
      <c r="G4" s="7" t="s">
        <v>83</v>
      </c>
      <c r="H4" s="7" t="s">
        <v>84</v>
      </c>
      <c r="I4" s="7" t="s">
        <v>114</v>
      </c>
      <c r="J4" s="7" t="s">
        <v>115</v>
      </c>
      <c r="K4" s="7" t="s">
        <v>116</v>
      </c>
      <c r="L4" s="7" t="s">
        <v>88</v>
      </c>
      <c r="M4" s="7" t="s">
        <v>117</v>
      </c>
      <c r="N4" s="7" t="s">
        <v>118</v>
      </c>
      <c r="O4" s="7" t="s">
        <v>88</v>
      </c>
      <c r="P4" s="7" t="s">
        <v>119</v>
      </c>
      <c r="Q4" s="7" t="s">
        <v>92</v>
      </c>
      <c r="R4" s="7" t="s">
        <v>120</v>
      </c>
      <c r="S4" s="7" t="s">
        <v>94</v>
      </c>
      <c r="T4" s="7" t="s">
        <v>95</v>
      </c>
      <c r="U4" s="7"/>
      <c r="V4" s="7"/>
      <c r="W4" s="7" t="s">
        <v>96</v>
      </c>
      <c r="X4" s="7">
        <v>0</v>
      </c>
      <c r="Y4" s="7">
        <v>3</v>
      </c>
      <c r="Z4" s="7">
        <f t="shared" si="0"/>
        <v>3</v>
      </c>
      <c r="AA4" s="7" t="str">
        <f t="shared" si="1"/>
        <v>Gap to CSA level</v>
      </c>
      <c r="AB4" s="7" t="str">
        <f t="shared" si="2"/>
        <v>Not Compliant</v>
      </c>
      <c r="AC4" s="7" t="str">
        <f t="shared" si="3"/>
        <v>Not Compliant</v>
      </c>
      <c r="AD4" s="7" t="str">
        <f t="shared" si="4"/>
        <v>No mapped framework fully compliant</v>
      </c>
      <c r="AE4" s="7" t="s">
        <v>97</v>
      </c>
      <c r="AF4" s="7"/>
      <c r="AG4" s="7" t="str">
        <f>IFERROR(VLOOKUP($C4,Evidence_Library!$A$2:$C$13,2,FALSE),"Control-specific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4" s="7" t="str">
        <f>IFERROR(VLOOKUP($C4,Evidence_Library!$A$2:$C$13,3,FALSE),"Inspect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4" s="7" t="s">
        <v>98</v>
      </c>
      <c r="AJ4" s="7"/>
      <c r="AK4" s="7"/>
      <c r="AL4" s="7"/>
      <c r="AM4" s="7" t="s">
        <v>96</v>
      </c>
      <c r="AN4" s="7"/>
    </row>
    <row r="5" spans="1:40" ht="180">
      <c r="A5" s="7" t="s">
        <v>77</v>
      </c>
      <c r="B5" s="7" t="s">
        <v>121</v>
      </c>
      <c r="C5" s="7" t="s">
        <v>79</v>
      </c>
      <c r="D5" s="7" t="s">
        <v>111</v>
      </c>
      <c r="E5" s="7" t="s">
        <v>122</v>
      </c>
      <c r="F5" s="7" t="s">
        <v>123</v>
      </c>
      <c r="G5" s="7" t="s">
        <v>124</v>
      </c>
      <c r="H5" s="7" t="s">
        <v>84</v>
      </c>
      <c r="I5" s="7" t="s">
        <v>125</v>
      </c>
      <c r="J5" s="7" t="s">
        <v>126</v>
      </c>
      <c r="K5" s="7" t="s">
        <v>127</v>
      </c>
      <c r="L5" s="7" t="s">
        <v>88</v>
      </c>
      <c r="M5" s="7" t="s">
        <v>128</v>
      </c>
      <c r="N5" s="7" t="s">
        <v>129</v>
      </c>
      <c r="O5" s="7" t="s">
        <v>88</v>
      </c>
      <c r="P5" s="7" t="s">
        <v>130</v>
      </c>
      <c r="Q5" s="7" t="s">
        <v>92</v>
      </c>
      <c r="R5" s="7" t="s">
        <v>131</v>
      </c>
      <c r="S5" s="7" t="s">
        <v>94</v>
      </c>
      <c r="T5" s="7" t="s">
        <v>95</v>
      </c>
      <c r="U5" s="7"/>
      <c r="V5" s="7"/>
      <c r="W5" s="7" t="s">
        <v>96</v>
      </c>
      <c r="X5" s="7">
        <v>0</v>
      </c>
      <c r="Y5" s="7">
        <v>3</v>
      </c>
      <c r="Z5" s="7">
        <f t="shared" si="0"/>
        <v>3</v>
      </c>
      <c r="AA5" s="7" t="str">
        <f t="shared" si="1"/>
        <v>Gap to CSA level</v>
      </c>
      <c r="AB5" s="7" t="str">
        <f t="shared" si="2"/>
        <v>Not Compliant</v>
      </c>
      <c r="AC5" s="7" t="str">
        <f t="shared" si="3"/>
        <v>Not Compliant</v>
      </c>
      <c r="AD5" s="7" t="str">
        <f t="shared" si="4"/>
        <v>No mapped framework fully compliant</v>
      </c>
      <c r="AE5" s="7" t="s">
        <v>97</v>
      </c>
      <c r="AF5" s="7"/>
      <c r="AG5" s="7" t="str">
        <f>IFERROR(VLOOKUP($C5,Evidence_Library!$A$2:$C$13,2,FALSE),"Control-specific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5" s="7" t="str">
        <f>IFERROR(VLOOKUP($C5,Evidence_Library!$A$2:$C$13,3,FALSE),"Inspect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5" s="7" t="s">
        <v>98</v>
      </c>
      <c r="AJ5" s="7"/>
      <c r="AK5" s="7"/>
      <c r="AL5" s="7"/>
      <c r="AM5" s="7" t="s">
        <v>96</v>
      </c>
      <c r="AN5" s="7"/>
    </row>
    <row r="6" spans="1:40" ht="210">
      <c r="A6" s="7" t="s">
        <v>77</v>
      </c>
      <c r="B6" s="7" t="s">
        <v>132</v>
      </c>
      <c r="C6" s="7" t="s">
        <v>79</v>
      </c>
      <c r="D6" s="7" t="s">
        <v>111</v>
      </c>
      <c r="E6" s="7" t="s">
        <v>133</v>
      </c>
      <c r="F6" s="7" t="s">
        <v>134</v>
      </c>
      <c r="G6" s="7" t="s">
        <v>135</v>
      </c>
      <c r="H6" s="7" t="s">
        <v>84</v>
      </c>
      <c r="I6" s="7" t="s">
        <v>136</v>
      </c>
      <c r="J6" s="7" t="s">
        <v>137</v>
      </c>
      <c r="K6" s="7" t="s">
        <v>138</v>
      </c>
      <c r="L6" s="7" t="s">
        <v>88</v>
      </c>
      <c r="M6" s="7" t="s">
        <v>139</v>
      </c>
      <c r="N6" s="7" t="s">
        <v>140</v>
      </c>
      <c r="O6" s="7" t="s">
        <v>88</v>
      </c>
      <c r="P6" s="7" t="s">
        <v>141</v>
      </c>
      <c r="Q6" s="7" t="s">
        <v>92</v>
      </c>
      <c r="R6" s="7" t="s">
        <v>142</v>
      </c>
      <c r="S6" s="7" t="s">
        <v>94</v>
      </c>
      <c r="T6" s="7" t="s">
        <v>95</v>
      </c>
      <c r="U6" s="7"/>
      <c r="V6" s="7"/>
      <c r="W6" s="7" t="s">
        <v>96</v>
      </c>
      <c r="X6" s="7">
        <v>0</v>
      </c>
      <c r="Y6" s="7">
        <v>3</v>
      </c>
      <c r="Z6" s="7">
        <f t="shared" si="0"/>
        <v>3</v>
      </c>
      <c r="AA6" s="7" t="str">
        <f t="shared" si="1"/>
        <v>Gap to CSA level</v>
      </c>
      <c r="AB6" s="7" t="str">
        <f t="shared" si="2"/>
        <v>Not Compliant</v>
      </c>
      <c r="AC6" s="7" t="str">
        <f t="shared" si="3"/>
        <v>Not Compliant</v>
      </c>
      <c r="AD6" s="7" t="str">
        <f t="shared" si="4"/>
        <v>No mapped framework fully compliant</v>
      </c>
      <c r="AE6" s="7" t="s">
        <v>97</v>
      </c>
      <c r="AF6" s="7"/>
      <c r="AG6" s="7" t="str">
        <f>IFERROR(VLOOKUP($C6,Evidence_Library!$A$2:$C$13,2,FALSE),"Control-specific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6" s="7" t="str">
        <f>IFERROR(VLOOKUP($C6,Evidence_Library!$A$2:$C$13,3,FALSE),"Inspect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6" s="7" t="s">
        <v>98</v>
      </c>
      <c r="AJ6" s="7"/>
      <c r="AK6" s="7"/>
      <c r="AL6" s="7"/>
      <c r="AM6" s="7" t="s">
        <v>96</v>
      </c>
      <c r="AN6" s="7"/>
    </row>
    <row r="7" spans="1:40" ht="356">
      <c r="A7" s="7" t="s">
        <v>77</v>
      </c>
      <c r="B7" s="7" t="s">
        <v>143</v>
      </c>
      <c r="C7" s="7" t="s">
        <v>79</v>
      </c>
      <c r="D7" s="7" t="s">
        <v>144</v>
      </c>
      <c r="E7" s="7" t="s">
        <v>145</v>
      </c>
      <c r="F7" s="7" t="s">
        <v>146</v>
      </c>
      <c r="G7" s="7" t="s">
        <v>83</v>
      </c>
      <c r="H7" s="7" t="s">
        <v>84</v>
      </c>
      <c r="I7" s="7" t="s">
        <v>114</v>
      </c>
      <c r="J7" s="7" t="s">
        <v>147</v>
      </c>
      <c r="K7" s="7" t="s">
        <v>148</v>
      </c>
      <c r="L7" s="7" t="s">
        <v>88</v>
      </c>
      <c r="M7" s="7" t="s">
        <v>149</v>
      </c>
      <c r="N7" s="7" t="s">
        <v>150</v>
      </c>
      <c r="O7" s="7" t="s">
        <v>88</v>
      </c>
      <c r="P7" s="7" t="s">
        <v>91</v>
      </c>
      <c r="Q7" s="7" t="s">
        <v>92</v>
      </c>
      <c r="R7" s="7" t="s">
        <v>151</v>
      </c>
      <c r="S7" s="7" t="s">
        <v>94</v>
      </c>
      <c r="T7" s="7" t="s">
        <v>95</v>
      </c>
      <c r="U7" s="7"/>
      <c r="V7" s="7"/>
      <c r="W7" s="7" t="s">
        <v>96</v>
      </c>
      <c r="X7" s="7">
        <v>0</v>
      </c>
      <c r="Y7" s="7">
        <v>3</v>
      </c>
      <c r="Z7" s="7">
        <f t="shared" si="0"/>
        <v>3</v>
      </c>
      <c r="AA7" s="7" t="str">
        <f t="shared" si="1"/>
        <v>Gap to CSA level</v>
      </c>
      <c r="AB7" s="7" t="str">
        <f t="shared" si="2"/>
        <v>Not Compliant</v>
      </c>
      <c r="AC7" s="7" t="str">
        <f t="shared" si="3"/>
        <v>Not Compliant</v>
      </c>
      <c r="AD7" s="7" t="str">
        <f t="shared" si="4"/>
        <v>No mapped framework fully compliant</v>
      </c>
      <c r="AE7" s="7" t="s">
        <v>97</v>
      </c>
      <c r="AF7" s="7"/>
      <c r="AG7" s="7" t="str">
        <f>IFERROR(VLOOKUP($C7,Evidence_Library!$A$2:$C$13,2,FALSE),"Control-specific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7" s="7" t="str">
        <f>IFERROR(VLOOKUP($C7,Evidence_Library!$A$2:$C$13,3,FALSE),"Inspect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7" s="7" t="s">
        <v>98</v>
      </c>
      <c r="AJ7" s="7"/>
      <c r="AK7" s="7"/>
      <c r="AL7" s="7"/>
      <c r="AM7" s="7" t="s">
        <v>96</v>
      </c>
      <c r="AN7" s="7"/>
    </row>
    <row r="8" spans="1:40" ht="409.6">
      <c r="A8" s="7" t="s">
        <v>77</v>
      </c>
      <c r="B8" s="7" t="s">
        <v>152</v>
      </c>
      <c r="C8" s="7" t="s">
        <v>79</v>
      </c>
      <c r="D8" s="7" t="s">
        <v>144</v>
      </c>
      <c r="E8" s="7" t="s">
        <v>153</v>
      </c>
      <c r="F8" s="7" t="s">
        <v>154</v>
      </c>
      <c r="G8" s="7" t="s">
        <v>83</v>
      </c>
      <c r="H8" s="7" t="s">
        <v>84</v>
      </c>
      <c r="I8" s="7" t="s">
        <v>155</v>
      </c>
      <c r="J8" s="7" t="s">
        <v>156</v>
      </c>
      <c r="K8" s="7" t="s">
        <v>157</v>
      </c>
      <c r="L8" s="7" t="s">
        <v>88</v>
      </c>
      <c r="M8" s="7" t="s">
        <v>158</v>
      </c>
      <c r="N8" s="7" t="s">
        <v>159</v>
      </c>
      <c r="O8" s="7" t="s">
        <v>88</v>
      </c>
      <c r="P8" s="7" t="s">
        <v>108</v>
      </c>
      <c r="Q8" s="7" t="s">
        <v>92</v>
      </c>
      <c r="R8" s="7" t="s">
        <v>160</v>
      </c>
      <c r="S8" s="7" t="s">
        <v>94</v>
      </c>
      <c r="T8" s="7" t="s">
        <v>95</v>
      </c>
      <c r="U8" s="7"/>
      <c r="V8" s="7"/>
      <c r="W8" s="7" t="s">
        <v>96</v>
      </c>
      <c r="X8" s="7">
        <v>0</v>
      </c>
      <c r="Y8" s="7">
        <v>3</v>
      </c>
      <c r="Z8" s="7">
        <f t="shared" si="0"/>
        <v>3</v>
      </c>
      <c r="AA8" s="7" t="str">
        <f t="shared" si="1"/>
        <v>Gap to CSA level</v>
      </c>
      <c r="AB8" s="7" t="str">
        <f t="shared" si="2"/>
        <v>Not Compliant</v>
      </c>
      <c r="AC8" s="7" t="str">
        <f t="shared" si="3"/>
        <v>Not Compliant</v>
      </c>
      <c r="AD8" s="7" t="str">
        <f t="shared" si="4"/>
        <v>No mapped framework fully compliant</v>
      </c>
      <c r="AE8" s="7" t="s">
        <v>97</v>
      </c>
      <c r="AF8" s="7"/>
      <c r="AG8" s="7" t="str">
        <f>IFERROR(VLOOKUP($C8,Evidence_Library!$A$2:$C$13,2,FALSE),"Control-specific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8" s="7" t="str">
        <f>IFERROR(VLOOKUP($C8,Evidence_Library!$A$2:$C$13,3,FALSE),"Inspect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8" s="7" t="s">
        <v>98</v>
      </c>
      <c r="AJ8" s="7"/>
      <c r="AK8" s="7"/>
      <c r="AL8" s="7"/>
      <c r="AM8" s="7" t="s">
        <v>96</v>
      </c>
      <c r="AN8" s="7"/>
    </row>
    <row r="9" spans="1:40" ht="370">
      <c r="A9" s="7" t="s">
        <v>77</v>
      </c>
      <c r="B9" s="7" t="s">
        <v>161</v>
      </c>
      <c r="C9" s="7" t="s">
        <v>79</v>
      </c>
      <c r="D9" s="7" t="s">
        <v>144</v>
      </c>
      <c r="E9" s="7" t="s">
        <v>162</v>
      </c>
      <c r="F9" s="7" t="s">
        <v>163</v>
      </c>
      <c r="G9" s="7" t="s">
        <v>83</v>
      </c>
      <c r="H9" s="7" t="s">
        <v>84</v>
      </c>
      <c r="I9" s="7" t="s">
        <v>164</v>
      </c>
      <c r="J9" s="7" t="s">
        <v>165</v>
      </c>
      <c r="K9" s="7" t="s">
        <v>166</v>
      </c>
      <c r="L9" s="7" t="s">
        <v>88</v>
      </c>
      <c r="M9" s="7" t="s">
        <v>167</v>
      </c>
      <c r="N9" s="7" t="s">
        <v>168</v>
      </c>
      <c r="O9" s="7" t="s">
        <v>88</v>
      </c>
      <c r="P9" s="7" t="s">
        <v>108</v>
      </c>
      <c r="Q9" s="7" t="s">
        <v>92</v>
      </c>
      <c r="R9" s="7" t="s">
        <v>169</v>
      </c>
      <c r="S9" s="7" t="s">
        <v>94</v>
      </c>
      <c r="T9" s="7" t="s">
        <v>95</v>
      </c>
      <c r="U9" s="7"/>
      <c r="V9" s="7"/>
      <c r="W9" s="7" t="s">
        <v>96</v>
      </c>
      <c r="X9" s="7">
        <v>0</v>
      </c>
      <c r="Y9" s="7">
        <v>3</v>
      </c>
      <c r="Z9" s="7">
        <f t="shared" si="0"/>
        <v>3</v>
      </c>
      <c r="AA9" s="7" t="str">
        <f t="shared" si="1"/>
        <v>Gap to CSA level</v>
      </c>
      <c r="AB9" s="7" t="str">
        <f t="shared" si="2"/>
        <v>Not Compliant</v>
      </c>
      <c r="AC9" s="7" t="str">
        <f t="shared" si="3"/>
        <v>Not Compliant</v>
      </c>
      <c r="AD9" s="7" t="str">
        <f t="shared" si="4"/>
        <v>No mapped framework fully compliant</v>
      </c>
      <c r="AE9" s="7" t="s">
        <v>97</v>
      </c>
      <c r="AF9" s="7"/>
      <c r="AG9" s="7" t="str">
        <f>IFERROR(VLOOKUP($C9,Evidence_Library!$A$2:$C$13,2,FALSE),"Control-specific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9" s="7" t="str">
        <f>IFERROR(VLOOKUP($C9,Evidence_Library!$A$2:$C$13,3,FALSE),"Inspect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9" s="7" t="s">
        <v>98</v>
      </c>
      <c r="AJ9" s="7"/>
      <c r="AK9" s="7"/>
      <c r="AL9" s="7"/>
      <c r="AM9" s="7" t="s">
        <v>96</v>
      </c>
      <c r="AN9" s="7"/>
    </row>
    <row r="10" spans="1:40" ht="384">
      <c r="A10" s="7" t="s">
        <v>77</v>
      </c>
      <c r="B10" s="7" t="s">
        <v>170</v>
      </c>
      <c r="C10" s="7" t="s">
        <v>79</v>
      </c>
      <c r="D10" s="7" t="s">
        <v>171</v>
      </c>
      <c r="E10" s="7" t="s">
        <v>172</v>
      </c>
      <c r="F10" s="7" t="s">
        <v>173</v>
      </c>
      <c r="G10" s="7" t="s">
        <v>135</v>
      </c>
      <c r="H10" s="7" t="s">
        <v>84</v>
      </c>
      <c r="I10" s="7" t="s">
        <v>174</v>
      </c>
      <c r="J10" s="7" t="s">
        <v>175</v>
      </c>
      <c r="K10" s="7" t="s">
        <v>176</v>
      </c>
      <c r="L10" s="7" t="s">
        <v>88</v>
      </c>
      <c r="M10" s="7" t="s">
        <v>177</v>
      </c>
      <c r="N10" s="7" t="s">
        <v>178</v>
      </c>
      <c r="O10" s="7" t="s">
        <v>88</v>
      </c>
      <c r="P10" s="7" t="s">
        <v>108</v>
      </c>
      <c r="Q10" s="7" t="s">
        <v>92</v>
      </c>
      <c r="R10" s="7" t="s">
        <v>179</v>
      </c>
      <c r="S10" s="7" t="s">
        <v>94</v>
      </c>
      <c r="T10" s="7" t="s">
        <v>95</v>
      </c>
      <c r="U10" s="7"/>
      <c r="V10" s="7"/>
      <c r="W10" s="7" t="s">
        <v>96</v>
      </c>
      <c r="X10" s="7">
        <v>0</v>
      </c>
      <c r="Y10" s="7">
        <v>3</v>
      </c>
      <c r="Z10" s="7">
        <f t="shared" si="0"/>
        <v>3</v>
      </c>
      <c r="AA10" s="7" t="str">
        <f t="shared" si="1"/>
        <v>Gap to CSA level</v>
      </c>
      <c r="AB10" s="7" t="str">
        <f t="shared" si="2"/>
        <v>Not Compliant</v>
      </c>
      <c r="AC10" s="7" t="str">
        <f t="shared" si="3"/>
        <v>Not Compliant</v>
      </c>
      <c r="AD10" s="7" t="str">
        <f t="shared" si="4"/>
        <v>No mapped framework fully compliant</v>
      </c>
      <c r="AE10" s="7" t="s">
        <v>97</v>
      </c>
      <c r="AF10" s="7"/>
      <c r="AG10" s="7" t="str">
        <f>IFERROR(VLOOKUP($C10,Evidence_Library!$A$2:$C$13,2,FALSE),"Control-specific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10" s="7" t="str">
        <f>IFERROR(VLOOKUP($C10,Evidence_Library!$A$2:$C$13,3,FALSE),"Inspect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10" s="7" t="s">
        <v>98</v>
      </c>
      <c r="AJ10" s="7"/>
      <c r="AK10" s="7"/>
      <c r="AL10" s="7"/>
      <c r="AM10" s="7" t="s">
        <v>96</v>
      </c>
      <c r="AN10" s="7"/>
    </row>
    <row r="11" spans="1:40" ht="409.6">
      <c r="A11" s="7" t="s">
        <v>77</v>
      </c>
      <c r="B11" s="7" t="s">
        <v>180</v>
      </c>
      <c r="C11" s="7" t="s">
        <v>79</v>
      </c>
      <c r="D11" s="7" t="s">
        <v>171</v>
      </c>
      <c r="E11" s="7" t="s">
        <v>181</v>
      </c>
      <c r="F11" s="7" t="s">
        <v>182</v>
      </c>
      <c r="G11" s="7" t="s">
        <v>83</v>
      </c>
      <c r="H11" s="7" t="s">
        <v>84</v>
      </c>
      <c r="I11" s="7" t="s">
        <v>183</v>
      </c>
      <c r="J11" s="7" t="s">
        <v>184</v>
      </c>
      <c r="K11" s="7" t="s">
        <v>185</v>
      </c>
      <c r="L11" s="7" t="s">
        <v>88</v>
      </c>
      <c r="M11" s="7" t="s">
        <v>186</v>
      </c>
      <c r="N11" s="7" t="s">
        <v>187</v>
      </c>
      <c r="O11" s="7" t="s">
        <v>88</v>
      </c>
      <c r="P11" s="7" t="s">
        <v>108</v>
      </c>
      <c r="Q11" s="7" t="s">
        <v>92</v>
      </c>
      <c r="R11" s="7" t="s">
        <v>188</v>
      </c>
      <c r="S11" s="7" t="s">
        <v>94</v>
      </c>
      <c r="T11" s="7" t="s">
        <v>95</v>
      </c>
      <c r="U11" s="7"/>
      <c r="V11" s="7"/>
      <c r="W11" s="7" t="s">
        <v>96</v>
      </c>
      <c r="X11" s="7">
        <v>0</v>
      </c>
      <c r="Y11" s="7">
        <v>3</v>
      </c>
      <c r="Z11" s="7">
        <f t="shared" si="0"/>
        <v>3</v>
      </c>
      <c r="AA11" s="7" t="str">
        <f t="shared" si="1"/>
        <v>Gap to CSA level</v>
      </c>
      <c r="AB11" s="7" t="str">
        <f t="shared" si="2"/>
        <v>Not Compliant</v>
      </c>
      <c r="AC11" s="7" t="str">
        <f t="shared" si="3"/>
        <v>Not Compliant</v>
      </c>
      <c r="AD11" s="7" t="str">
        <f t="shared" si="4"/>
        <v>No mapped framework fully compliant</v>
      </c>
      <c r="AE11" s="7" t="s">
        <v>97</v>
      </c>
      <c r="AF11" s="7"/>
      <c r="AG11" s="7" t="str">
        <f>IFERROR(VLOOKUP($C11,Evidence_Library!$A$2:$C$13,2,FALSE),"Control-specific policy/procedure, implementation record, sample evidence, and monitoring proof.")</f>
        <v>AI policy and acceptable-use standard; AI governance charter; AI Council minutes; approval records; exception logs; role/RACI matrix; training/attestation records; AI risk appetite and escalation procedure.</v>
      </c>
      <c r="AH11" s="7" t="str">
        <f>IFERROR(VLOOKUP($C11,Evidence_Library!$A$2:$C$13,3,FALSE),"Inspect design, sample implementation evidence, interview owner, and verify operating effectiveness.")</f>
        <v>Inspect approved policy and governance charter; sample approval records; verify owners and decision logs; interview AI Council or control owner; confirm exceptions and attestations are tracked.</v>
      </c>
      <c r="AI11" s="7" t="s">
        <v>98</v>
      </c>
      <c r="AJ11" s="7"/>
      <c r="AK11" s="7"/>
      <c r="AL11" s="7"/>
      <c r="AM11" s="7" t="s">
        <v>96</v>
      </c>
      <c r="AN11" s="7"/>
    </row>
    <row r="12" spans="1:40" ht="90">
      <c r="A12" s="7" t="s">
        <v>189</v>
      </c>
      <c r="B12" s="7" t="s">
        <v>190</v>
      </c>
      <c r="C12" s="7" t="s">
        <v>191</v>
      </c>
      <c r="D12" s="7" t="s">
        <v>80</v>
      </c>
      <c r="E12" s="7" t="s">
        <v>192</v>
      </c>
      <c r="F12" s="7" t="s">
        <v>193</v>
      </c>
      <c r="G12" s="7" t="s">
        <v>83</v>
      </c>
      <c r="H12" s="7" t="s">
        <v>84</v>
      </c>
      <c r="I12" s="7" t="s">
        <v>194</v>
      </c>
      <c r="J12" s="7" t="s">
        <v>195</v>
      </c>
      <c r="K12" s="7" t="s">
        <v>196</v>
      </c>
      <c r="L12" s="7" t="s">
        <v>88</v>
      </c>
      <c r="M12" s="7" t="s">
        <v>197</v>
      </c>
      <c r="N12" s="7" t="s">
        <v>198</v>
      </c>
      <c r="O12" s="7" t="s">
        <v>107</v>
      </c>
      <c r="P12" s="7" t="s">
        <v>199</v>
      </c>
      <c r="Q12" s="7" t="s">
        <v>92</v>
      </c>
      <c r="R12" s="7" t="s">
        <v>200</v>
      </c>
      <c r="S12" s="7" t="s">
        <v>94</v>
      </c>
      <c r="T12" s="7" t="s">
        <v>95</v>
      </c>
      <c r="U12" s="7"/>
      <c r="V12" s="7"/>
      <c r="W12" s="7" t="s">
        <v>96</v>
      </c>
      <c r="X12" s="7">
        <v>0</v>
      </c>
      <c r="Y12" s="7">
        <v>3</v>
      </c>
      <c r="Z12" s="7">
        <f t="shared" si="0"/>
        <v>3</v>
      </c>
      <c r="AA12" s="7" t="str">
        <f t="shared" si="1"/>
        <v>Gap to CSA level</v>
      </c>
      <c r="AB12" s="7" t="str">
        <f t="shared" si="2"/>
        <v>Not Compliant</v>
      </c>
      <c r="AC12" s="7" t="str">
        <f t="shared" si="3"/>
        <v>Not Compliant</v>
      </c>
      <c r="AD12" s="7" t="str">
        <f t="shared" si="4"/>
        <v>No mapped framework fully compliant</v>
      </c>
      <c r="AE12" s="7" t="s">
        <v>97</v>
      </c>
      <c r="AF12" s="7"/>
      <c r="AG12" s="7" t="str">
        <f>IFERROR(VLOOKUP($C12,Evidence_Library!$A$2:$C$13,2,FALSE),"Control-specific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12" s="7" t="str">
        <f>IFERROR(VLOOKUP($C12,Evidence_Library!$A$2:$C$13,3,FALSE),"Inspect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12" s="7" t="s">
        <v>98</v>
      </c>
      <c r="AJ12" s="7"/>
      <c r="AK12" s="7"/>
      <c r="AL12" s="7"/>
      <c r="AM12" s="7" t="s">
        <v>96</v>
      </c>
      <c r="AN12" s="7"/>
    </row>
    <row r="13" spans="1:40" ht="409.6">
      <c r="A13" s="7" t="s">
        <v>189</v>
      </c>
      <c r="B13" s="7" t="s">
        <v>201</v>
      </c>
      <c r="C13" s="7" t="s">
        <v>191</v>
      </c>
      <c r="D13" s="7" t="s">
        <v>80</v>
      </c>
      <c r="E13" s="7" t="s">
        <v>202</v>
      </c>
      <c r="F13" s="7" t="s">
        <v>203</v>
      </c>
      <c r="G13" s="7" t="s">
        <v>83</v>
      </c>
      <c r="H13" s="7" t="s">
        <v>204</v>
      </c>
      <c r="I13" s="7" t="s">
        <v>205</v>
      </c>
      <c r="J13" s="7" t="s">
        <v>206</v>
      </c>
      <c r="K13" s="7" t="s">
        <v>207</v>
      </c>
      <c r="L13" s="7" t="s">
        <v>208</v>
      </c>
      <c r="M13" s="7" t="s">
        <v>209</v>
      </c>
      <c r="N13" s="7" t="s">
        <v>210</v>
      </c>
      <c r="O13" s="7" t="s">
        <v>107</v>
      </c>
      <c r="P13" s="7" t="s">
        <v>119</v>
      </c>
      <c r="Q13" s="7" t="s">
        <v>92</v>
      </c>
      <c r="R13" s="7" t="s">
        <v>211</v>
      </c>
      <c r="S13" s="7" t="s">
        <v>94</v>
      </c>
      <c r="T13" s="7" t="s">
        <v>95</v>
      </c>
      <c r="U13" s="7"/>
      <c r="V13" s="7"/>
      <c r="W13" s="7" t="s">
        <v>96</v>
      </c>
      <c r="X13" s="7">
        <v>0</v>
      </c>
      <c r="Y13" s="7">
        <v>3</v>
      </c>
      <c r="Z13" s="7">
        <f t="shared" si="0"/>
        <v>3</v>
      </c>
      <c r="AA13" s="7" t="str">
        <f t="shared" si="1"/>
        <v>Gap to CSA level</v>
      </c>
      <c r="AB13" s="7" t="str">
        <f t="shared" si="2"/>
        <v>Not Compliant</v>
      </c>
      <c r="AC13" s="7" t="str">
        <f t="shared" si="3"/>
        <v>Not Compliant</v>
      </c>
      <c r="AD13" s="7" t="str">
        <f t="shared" si="4"/>
        <v>No mapped framework fully compliant</v>
      </c>
      <c r="AE13" s="7" t="s">
        <v>97</v>
      </c>
      <c r="AF13" s="7"/>
      <c r="AG13" s="7" t="str">
        <f>IFERROR(VLOOKUP($C13,Evidence_Library!$A$2:$C$13,2,FALSE),"Control-specific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13" s="7" t="str">
        <f>IFERROR(VLOOKUP($C13,Evidence_Library!$A$2:$C$13,3,FALSE),"Inspect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13" s="7" t="s">
        <v>98</v>
      </c>
      <c r="AJ13" s="7"/>
      <c r="AK13" s="7"/>
      <c r="AL13" s="7"/>
      <c r="AM13" s="7" t="s">
        <v>96</v>
      </c>
      <c r="AN13" s="7"/>
    </row>
    <row r="14" spans="1:40" ht="409.6">
      <c r="A14" s="7" t="s">
        <v>189</v>
      </c>
      <c r="B14" s="7" t="s">
        <v>212</v>
      </c>
      <c r="C14" s="7" t="s">
        <v>191</v>
      </c>
      <c r="D14" s="7" t="s">
        <v>111</v>
      </c>
      <c r="E14" s="7" t="s">
        <v>213</v>
      </c>
      <c r="F14" s="7" t="s">
        <v>214</v>
      </c>
      <c r="G14" s="7" t="s">
        <v>135</v>
      </c>
      <c r="H14" s="7" t="s">
        <v>215</v>
      </c>
      <c r="I14" s="7" t="s">
        <v>216</v>
      </c>
      <c r="J14" s="7" t="s">
        <v>206</v>
      </c>
      <c r="K14" s="7" t="s">
        <v>207</v>
      </c>
      <c r="L14" s="7" t="s">
        <v>208</v>
      </c>
      <c r="M14" s="7" t="s">
        <v>217</v>
      </c>
      <c r="N14" s="7" t="s">
        <v>218</v>
      </c>
      <c r="O14" s="7" t="s">
        <v>107</v>
      </c>
      <c r="P14" s="7" t="s">
        <v>91</v>
      </c>
      <c r="Q14" s="7" t="s">
        <v>92</v>
      </c>
      <c r="R14" s="7" t="s">
        <v>219</v>
      </c>
      <c r="S14" s="7" t="s">
        <v>94</v>
      </c>
      <c r="T14" s="7" t="s">
        <v>95</v>
      </c>
      <c r="U14" s="7"/>
      <c r="V14" s="7"/>
      <c r="W14" s="7" t="s">
        <v>96</v>
      </c>
      <c r="X14" s="7">
        <v>0</v>
      </c>
      <c r="Y14" s="7">
        <v>3</v>
      </c>
      <c r="Z14" s="7">
        <f t="shared" si="0"/>
        <v>3</v>
      </c>
      <c r="AA14" s="7" t="str">
        <f t="shared" si="1"/>
        <v>Gap to CSA level</v>
      </c>
      <c r="AB14" s="7" t="str">
        <f t="shared" si="2"/>
        <v>Not Compliant</v>
      </c>
      <c r="AC14" s="7" t="str">
        <f t="shared" si="3"/>
        <v>Not Compliant</v>
      </c>
      <c r="AD14" s="7" t="str">
        <f t="shared" si="4"/>
        <v>No mapped framework fully compliant</v>
      </c>
      <c r="AE14" s="7" t="s">
        <v>97</v>
      </c>
      <c r="AF14" s="7"/>
      <c r="AG14" s="7" t="str">
        <f>IFERROR(VLOOKUP($C14,Evidence_Library!$A$2:$C$13,2,FALSE),"Control-specific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14" s="7" t="str">
        <f>IFERROR(VLOOKUP($C14,Evidence_Library!$A$2:$C$13,3,FALSE),"Inspect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14" s="7" t="s">
        <v>98</v>
      </c>
      <c r="AJ14" s="7"/>
      <c r="AK14" s="7"/>
      <c r="AL14" s="7"/>
      <c r="AM14" s="7" t="s">
        <v>96</v>
      </c>
      <c r="AN14" s="7"/>
    </row>
    <row r="15" spans="1:40" ht="409.6">
      <c r="A15" s="7" t="s">
        <v>189</v>
      </c>
      <c r="B15" s="7" t="s">
        <v>220</v>
      </c>
      <c r="C15" s="7" t="s">
        <v>191</v>
      </c>
      <c r="D15" s="7" t="s">
        <v>111</v>
      </c>
      <c r="E15" s="7" t="s">
        <v>221</v>
      </c>
      <c r="F15" s="7" t="s">
        <v>222</v>
      </c>
      <c r="G15" s="7" t="s">
        <v>135</v>
      </c>
      <c r="H15" s="7" t="s">
        <v>84</v>
      </c>
      <c r="I15" s="7" t="s">
        <v>223</v>
      </c>
      <c r="J15" s="7" t="s">
        <v>206</v>
      </c>
      <c r="K15" s="7" t="s">
        <v>207</v>
      </c>
      <c r="L15" s="7" t="s">
        <v>208</v>
      </c>
      <c r="M15" s="7" t="s">
        <v>224</v>
      </c>
      <c r="N15" s="7" t="s">
        <v>225</v>
      </c>
      <c r="O15" s="7" t="s">
        <v>107</v>
      </c>
      <c r="P15" s="7" t="s">
        <v>108</v>
      </c>
      <c r="Q15" s="7" t="s">
        <v>92</v>
      </c>
      <c r="R15" s="7" t="s">
        <v>226</v>
      </c>
      <c r="S15" s="7" t="s">
        <v>94</v>
      </c>
      <c r="T15" s="7" t="s">
        <v>95</v>
      </c>
      <c r="U15" s="7"/>
      <c r="V15" s="7"/>
      <c r="W15" s="7" t="s">
        <v>96</v>
      </c>
      <c r="X15" s="7">
        <v>0</v>
      </c>
      <c r="Y15" s="7">
        <v>3</v>
      </c>
      <c r="Z15" s="7">
        <f t="shared" si="0"/>
        <v>3</v>
      </c>
      <c r="AA15" s="7" t="str">
        <f t="shared" si="1"/>
        <v>Gap to CSA level</v>
      </c>
      <c r="AB15" s="7" t="str">
        <f t="shared" si="2"/>
        <v>Not Compliant</v>
      </c>
      <c r="AC15" s="7" t="str">
        <f t="shared" si="3"/>
        <v>Not Compliant</v>
      </c>
      <c r="AD15" s="7" t="str">
        <f t="shared" si="4"/>
        <v>No mapped framework fully compliant</v>
      </c>
      <c r="AE15" s="7" t="s">
        <v>97</v>
      </c>
      <c r="AF15" s="7"/>
      <c r="AG15" s="7" t="str">
        <f>IFERROR(VLOOKUP($C15,Evidence_Library!$A$2:$C$13,2,FALSE),"Control-specific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15" s="7" t="str">
        <f>IFERROR(VLOOKUP($C15,Evidence_Library!$A$2:$C$13,3,FALSE),"Inspect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15" s="7" t="s">
        <v>98</v>
      </c>
      <c r="AJ15" s="7"/>
      <c r="AK15" s="7"/>
      <c r="AL15" s="7"/>
      <c r="AM15" s="7" t="s">
        <v>96</v>
      </c>
      <c r="AN15" s="7"/>
    </row>
    <row r="16" spans="1:40" ht="409.6">
      <c r="A16" s="7" t="s">
        <v>189</v>
      </c>
      <c r="B16" s="7" t="s">
        <v>227</v>
      </c>
      <c r="C16" s="7" t="s">
        <v>191</v>
      </c>
      <c r="D16" s="7" t="s">
        <v>111</v>
      </c>
      <c r="E16" s="7" t="s">
        <v>228</v>
      </c>
      <c r="F16" s="7" t="s">
        <v>229</v>
      </c>
      <c r="G16" s="7" t="s">
        <v>135</v>
      </c>
      <c r="H16" s="7" t="s">
        <v>230</v>
      </c>
      <c r="I16" s="7" t="s">
        <v>231</v>
      </c>
      <c r="J16" s="7" t="s">
        <v>206</v>
      </c>
      <c r="K16" s="7" t="s">
        <v>207</v>
      </c>
      <c r="L16" s="7" t="s">
        <v>208</v>
      </c>
      <c r="M16" s="7" t="s">
        <v>232</v>
      </c>
      <c r="N16" s="7" t="s">
        <v>233</v>
      </c>
      <c r="O16" s="7" t="s">
        <v>107</v>
      </c>
      <c r="P16" s="7" t="s">
        <v>108</v>
      </c>
      <c r="Q16" s="7" t="s">
        <v>92</v>
      </c>
      <c r="R16" s="7" t="s">
        <v>234</v>
      </c>
      <c r="S16" s="7" t="s">
        <v>94</v>
      </c>
      <c r="T16" s="7" t="s">
        <v>95</v>
      </c>
      <c r="U16" s="7"/>
      <c r="V16" s="7"/>
      <c r="W16" s="7" t="s">
        <v>96</v>
      </c>
      <c r="X16" s="7">
        <v>0</v>
      </c>
      <c r="Y16" s="7">
        <v>3</v>
      </c>
      <c r="Z16" s="7">
        <f t="shared" si="0"/>
        <v>3</v>
      </c>
      <c r="AA16" s="7" t="str">
        <f t="shared" si="1"/>
        <v>Gap to CSA level</v>
      </c>
      <c r="AB16" s="7" t="str">
        <f t="shared" si="2"/>
        <v>Not Compliant</v>
      </c>
      <c r="AC16" s="7" t="str">
        <f t="shared" si="3"/>
        <v>Not Compliant</v>
      </c>
      <c r="AD16" s="7" t="str">
        <f t="shared" si="4"/>
        <v>No mapped framework fully compliant</v>
      </c>
      <c r="AE16" s="7" t="s">
        <v>97</v>
      </c>
      <c r="AF16" s="7"/>
      <c r="AG16" s="7" t="str">
        <f>IFERROR(VLOOKUP($C16,Evidence_Library!$A$2:$C$13,2,FALSE),"Control-specific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16" s="7" t="str">
        <f>IFERROR(VLOOKUP($C16,Evidence_Library!$A$2:$C$13,3,FALSE),"Inspect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16" s="7" t="s">
        <v>98</v>
      </c>
      <c r="AJ16" s="7"/>
      <c r="AK16" s="7"/>
      <c r="AL16" s="7"/>
      <c r="AM16" s="7" t="s">
        <v>96</v>
      </c>
      <c r="AN16" s="7"/>
    </row>
    <row r="17" spans="1:40" ht="409.6">
      <c r="A17" s="7" t="s">
        <v>189</v>
      </c>
      <c r="B17" s="7" t="s">
        <v>235</v>
      </c>
      <c r="C17" s="7" t="s">
        <v>191</v>
      </c>
      <c r="D17" s="7" t="s">
        <v>144</v>
      </c>
      <c r="E17" s="7" t="s">
        <v>236</v>
      </c>
      <c r="F17" s="7" t="s">
        <v>237</v>
      </c>
      <c r="G17" s="7" t="s">
        <v>135</v>
      </c>
      <c r="H17" s="7" t="s">
        <v>238</v>
      </c>
      <c r="I17" s="7" t="s">
        <v>239</v>
      </c>
      <c r="J17" s="7" t="s">
        <v>206</v>
      </c>
      <c r="K17" s="7" t="s">
        <v>207</v>
      </c>
      <c r="L17" s="7" t="s">
        <v>208</v>
      </c>
      <c r="M17" s="7" t="s">
        <v>240</v>
      </c>
      <c r="N17" s="7" t="s">
        <v>241</v>
      </c>
      <c r="O17" s="7" t="s">
        <v>107</v>
      </c>
      <c r="P17" s="7" t="s">
        <v>91</v>
      </c>
      <c r="Q17" s="7" t="s">
        <v>92</v>
      </c>
      <c r="R17" s="7" t="s">
        <v>242</v>
      </c>
      <c r="S17" s="7" t="s">
        <v>94</v>
      </c>
      <c r="T17" s="7" t="s">
        <v>95</v>
      </c>
      <c r="U17" s="7"/>
      <c r="V17" s="7"/>
      <c r="W17" s="7" t="s">
        <v>96</v>
      </c>
      <c r="X17" s="7">
        <v>0</v>
      </c>
      <c r="Y17" s="7">
        <v>3</v>
      </c>
      <c r="Z17" s="7">
        <f t="shared" si="0"/>
        <v>3</v>
      </c>
      <c r="AA17" s="7" t="str">
        <f t="shared" si="1"/>
        <v>Gap to CSA level</v>
      </c>
      <c r="AB17" s="7" t="str">
        <f t="shared" si="2"/>
        <v>Not Compliant</v>
      </c>
      <c r="AC17" s="7" t="str">
        <f t="shared" si="3"/>
        <v>Not Compliant</v>
      </c>
      <c r="AD17" s="7" t="str">
        <f t="shared" si="4"/>
        <v>No mapped framework fully compliant</v>
      </c>
      <c r="AE17" s="7" t="s">
        <v>97</v>
      </c>
      <c r="AF17" s="7"/>
      <c r="AG17" s="7" t="str">
        <f>IFERROR(VLOOKUP($C17,Evidence_Library!$A$2:$C$13,2,FALSE),"Control-specific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17" s="7" t="str">
        <f>IFERROR(VLOOKUP($C17,Evidence_Library!$A$2:$C$13,3,FALSE),"Inspect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17" s="7" t="s">
        <v>98</v>
      </c>
      <c r="AJ17" s="7"/>
      <c r="AK17" s="7"/>
      <c r="AL17" s="7"/>
      <c r="AM17" s="7" t="s">
        <v>96</v>
      </c>
      <c r="AN17" s="7"/>
    </row>
    <row r="18" spans="1:40" ht="409.6">
      <c r="A18" s="7" t="s">
        <v>189</v>
      </c>
      <c r="B18" s="7" t="s">
        <v>243</v>
      </c>
      <c r="C18" s="7" t="s">
        <v>191</v>
      </c>
      <c r="D18" s="7" t="s">
        <v>144</v>
      </c>
      <c r="E18" s="7" t="s">
        <v>244</v>
      </c>
      <c r="F18" s="7" t="s">
        <v>245</v>
      </c>
      <c r="G18" s="7" t="s">
        <v>135</v>
      </c>
      <c r="H18" s="7" t="s">
        <v>84</v>
      </c>
      <c r="I18" s="7" t="s">
        <v>246</v>
      </c>
      <c r="J18" s="7" t="s">
        <v>206</v>
      </c>
      <c r="K18" s="7" t="s">
        <v>207</v>
      </c>
      <c r="L18" s="7" t="s">
        <v>208</v>
      </c>
      <c r="M18" s="7" t="s">
        <v>247</v>
      </c>
      <c r="N18" s="7" t="s">
        <v>248</v>
      </c>
      <c r="O18" s="7" t="s">
        <v>107</v>
      </c>
      <c r="P18" s="7" t="s">
        <v>108</v>
      </c>
      <c r="Q18" s="7" t="s">
        <v>92</v>
      </c>
      <c r="R18" s="7" t="s">
        <v>249</v>
      </c>
      <c r="S18" s="7" t="s">
        <v>94</v>
      </c>
      <c r="T18" s="7" t="s">
        <v>95</v>
      </c>
      <c r="U18" s="7"/>
      <c r="V18" s="7"/>
      <c r="W18" s="7" t="s">
        <v>96</v>
      </c>
      <c r="X18" s="7">
        <v>0</v>
      </c>
      <c r="Y18" s="7">
        <v>3</v>
      </c>
      <c r="Z18" s="7">
        <f t="shared" si="0"/>
        <v>3</v>
      </c>
      <c r="AA18" s="7" t="str">
        <f t="shared" si="1"/>
        <v>Gap to CSA level</v>
      </c>
      <c r="AB18" s="7" t="str">
        <f t="shared" si="2"/>
        <v>Not Compliant</v>
      </c>
      <c r="AC18" s="7" t="str">
        <f t="shared" si="3"/>
        <v>Not Compliant</v>
      </c>
      <c r="AD18" s="7" t="str">
        <f t="shared" si="4"/>
        <v>No mapped framework fully compliant</v>
      </c>
      <c r="AE18" s="7" t="s">
        <v>97</v>
      </c>
      <c r="AF18" s="7"/>
      <c r="AG18" s="7" t="str">
        <f>IFERROR(VLOOKUP($C18,Evidence_Library!$A$2:$C$13,2,FALSE),"Control-specific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18" s="7" t="str">
        <f>IFERROR(VLOOKUP($C18,Evidence_Library!$A$2:$C$13,3,FALSE),"Inspect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18" s="7" t="s">
        <v>98</v>
      </c>
      <c r="AJ18" s="7"/>
      <c r="AK18" s="7"/>
      <c r="AL18" s="7"/>
      <c r="AM18" s="7" t="s">
        <v>96</v>
      </c>
      <c r="AN18" s="7"/>
    </row>
    <row r="19" spans="1:40" ht="409.6">
      <c r="A19" s="7" t="s">
        <v>189</v>
      </c>
      <c r="B19" s="7" t="s">
        <v>250</v>
      </c>
      <c r="C19" s="7" t="s">
        <v>191</v>
      </c>
      <c r="D19" s="7" t="s">
        <v>144</v>
      </c>
      <c r="E19" s="7" t="s">
        <v>251</v>
      </c>
      <c r="F19" s="7" t="s">
        <v>252</v>
      </c>
      <c r="G19" s="7" t="s">
        <v>135</v>
      </c>
      <c r="H19" s="7" t="s">
        <v>230</v>
      </c>
      <c r="I19" s="7" t="s">
        <v>223</v>
      </c>
      <c r="J19" s="7" t="s">
        <v>206</v>
      </c>
      <c r="K19" s="7" t="s">
        <v>207</v>
      </c>
      <c r="L19" s="7" t="s">
        <v>208</v>
      </c>
      <c r="M19" s="7" t="s">
        <v>253</v>
      </c>
      <c r="N19" s="7" t="s">
        <v>254</v>
      </c>
      <c r="O19" s="7" t="s">
        <v>107</v>
      </c>
      <c r="P19" s="7" t="s">
        <v>108</v>
      </c>
      <c r="Q19" s="7" t="s">
        <v>92</v>
      </c>
      <c r="R19" s="7" t="s">
        <v>255</v>
      </c>
      <c r="S19" s="7" t="s">
        <v>94</v>
      </c>
      <c r="T19" s="7" t="s">
        <v>95</v>
      </c>
      <c r="U19" s="7"/>
      <c r="V19" s="7"/>
      <c r="W19" s="7" t="s">
        <v>96</v>
      </c>
      <c r="X19" s="7">
        <v>0</v>
      </c>
      <c r="Y19" s="7">
        <v>3</v>
      </c>
      <c r="Z19" s="7">
        <f t="shared" si="0"/>
        <v>3</v>
      </c>
      <c r="AA19" s="7" t="str">
        <f t="shared" si="1"/>
        <v>Gap to CSA level</v>
      </c>
      <c r="AB19" s="7" t="str">
        <f t="shared" si="2"/>
        <v>Not Compliant</v>
      </c>
      <c r="AC19" s="7" t="str">
        <f t="shared" si="3"/>
        <v>Not Compliant</v>
      </c>
      <c r="AD19" s="7" t="str">
        <f t="shared" si="4"/>
        <v>No mapped framework fully compliant</v>
      </c>
      <c r="AE19" s="7" t="s">
        <v>97</v>
      </c>
      <c r="AF19" s="7"/>
      <c r="AG19" s="7" t="str">
        <f>IFERROR(VLOOKUP($C19,Evidence_Library!$A$2:$C$13,2,FALSE),"Control-specific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19" s="7" t="str">
        <f>IFERROR(VLOOKUP($C19,Evidence_Library!$A$2:$C$13,3,FALSE),"Inspect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19" s="7" t="s">
        <v>98</v>
      </c>
      <c r="AJ19" s="7"/>
      <c r="AK19" s="7"/>
      <c r="AL19" s="7"/>
      <c r="AM19" s="7" t="s">
        <v>96</v>
      </c>
      <c r="AN19" s="7"/>
    </row>
    <row r="20" spans="1:40" ht="135">
      <c r="A20" s="7" t="s">
        <v>189</v>
      </c>
      <c r="B20" s="7" t="s">
        <v>256</v>
      </c>
      <c r="C20" s="7" t="s">
        <v>191</v>
      </c>
      <c r="D20" s="7" t="s">
        <v>171</v>
      </c>
      <c r="E20" s="7" t="s">
        <v>257</v>
      </c>
      <c r="F20" s="7" t="s">
        <v>258</v>
      </c>
      <c r="G20" s="7" t="s">
        <v>135</v>
      </c>
      <c r="H20" s="7" t="s">
        <v>84</v>
      </c>
      <c r="I20" s="7" t="s">
        <v>259</v>
      </c>
      <c r="J20" s="7" t="s">
        <v>260</v>
      </c>
      <c r="K20" s="7" t="s">
        <v>261</v>
      </c>
      <c r="L20" s="7" t="s">
        <v>88</v>
      </c>
      <c r="M20" s="7" t="s">
        <v>262</v>
      </c>
      <c r="N20" s="7" t="s">
        <v>263</v>
      </c>
      <c r="O20" s="7" t="s">
        <v>107</v>
      </c>
      <c r="P20" s="7" t="s">
        <v>91</v>
      </c>
      <c r="Q20" s="7" t="s">
        <v>92</v>
      </c>
      <c r="R20" s="7" t="s">
        <v>264</v>
      </c>
      <c r="S20" s="7" t="s">
        <v>94</v>
      </c>
      <c r="T20" s="7" t="s">
        <v>95</v>
      </c>
      <c r="U20" s="7"/>
      <c r="V20" s="7"/>
      <c r="W20" s="7" t="s">
        <v>96</v>
      </c>
      <c r="X20" s="7">
        <v>0</v>
      </c>
      <c r="Y20" s="7">
        <v>3</v>
      </c>
      <c r="Z20" s="7">
        <f t="shared" si="0"/>
        <v>3</v>
      </c>
      <c r="AA20" s="7" t="str">
        <f t="shared" si="1"/>
        <v>Gap to CSA level</v>
      </c>
      <c r="AB20" s="7" t="str">
        <f t="shared" si="2"/>
        <v>Not Compliant</v>
      </c>
      <c r="AC20" s="7" t="str">
        <f t="shared" si="3"/>
        <v>Not Compliant</v>
      </c>
      <c r="AD20" s="7" t="str">
        <f t="shared" si="4"/>
        <v>No mapped framework fully compliant</v>
      </c>
      <c r="AE20" s="7" t="s">
        <v>97</v>
      </c>
      <c r="AF20" s="7"/>
      <c r="AG20" s="7" t="str">
        <f>IFERROR(VLOOKUP($C20,Evidence_Library!$A$2:$C$13,2,FALSE),"Control-specific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20" s="7" t="str">
        <f>IFERROR(VLOOKUP($C20,Evidence_Library!$A$2:$C$13,3,FALSE),"Inspect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20" s="7" t="s">
        <v>98</v>
      </c>
      <c r="AJ20" s="7"/>
      <c r="AK20" s="7"/>
      <c r="AL20" s="7"/>
      <c r="AM20" s="7" t="s">
        <v>96</v>
      </c>
      <c r="AN20" s="7"/>
    </row>
    <row r="21" spans="1:40" ht="409.6">
      <c r="A21" s="7" t="s">
        <v>189</v>
      </c>
      <c r="B21" s="7" t="s">
        <v>265</v>
      </c>
      <c r="C21" s="7" t="s">
        <v>191</v>
      </c>
      <c r="D21" s="7" t="s">
        <v>171</v>
      </c>
      <c r="E21" s="7" t="s">
        <v>266</v>
      </c>
      <c r="F21" s="7" t="s">
        <v>267</v>
      </c>
      <c r="G21" s="7" t="s">
        <v>135</v>
      </c>
      <c r="H21" s="7" t="s">
        <v>84</v>
      </c>
      <c r="I21" s="7" t="s">
        <v>268</v>
      </c>
      <c r="J21" s="7" t="s">
        <v>206</v>
      </c>
      <c r="K21" s="7" t="s">
        <v>207</v>
      </c>
      <c r="L21" s="7" t="s">
        <v>208</v>
      </c>
      <c r="M21" s="7" t="s">
        <v>269</v>
      </c>
      <c r="N21" s="7" t="s">
        <v>270</v>
      </c>
      <c r="O21" s="7" t="s">
        <v>107</v>
      </c>
      <c r="P21" s="7" t="s">
        <v>119</v>
      </c>
      <c r="Q21" s="7" t="s">
        <v>92</v>
      </c>
      <c r="R21" s="7" t="s">
        <v>271</v>
      </c>
      <c r="S21" s="7" t="s">
        <v>94</v>
      </c>
      <c r="T21" s="7" t="s">
        <v>95</v>
      </c>
      <c r="U21" s="7"/>
      <c r="V21" s="7"/>
      <c r="W21" s="7" t="s">
        <v>96</v>
      </c>
      <c r="X21" s="7">
        <v>0</v>
      </c>
      <c r="Y21" s="7">
        <v>3</v>
      </c>
      <c r="Z21" s="7">
        <f t="shared" si="0"/>
        <v>3</v>
      </c>
      <c r="AA21" s="7" t="str">
        <f t="shared" si="1"/>
        <v>Gap to CSA level</v>
      </c>
      <c r="AB21" s="7" t="str">
        <f t="shared" si="2"/>
        <v>Not Compliant</v>
      </c>
      <c r="AC21" s="7" t="str">
        <f t="shared" si="3"/>
        <v>Not Compliant</v>
      </c>
      <c r="AD21" s="7" t="str">
        <f t="shared" si="4"/>
        <v>No mapped framework fully compliant</v>
      </c>
      <c r="AE21" s="7" t="s">
        <v>97</v>
      </c>
      <c r="AF21" s="7"/>
      <c r="AG21" s="7" t="str">
        <f>IFERROR(VLOOKUP($C21,Evidence_Library!$A$2:$C$13,2,FALSE),"Control-specific policy/procedure, implementation record, sample evidence, and monitoring proof.")</f>
        <v>AIMS scope statement; organizational context analysis; interested-party register; operating model; RACI; internal communication records; training plans; management review outputs.</v>
      </c>
      <c r="AH21" s="7" t="str">
        <f>IFERROR(VLOOKUP($C21,Evidence_Library!$A$2:$C$13,3,FALSE),"Inspect design, sample implementation evidence, interview owner, and verify operating effectiveness.")</f>
        <v>Confirm AIMS scope and organizational context are documented; sample communications and awareness records; verify role assignment and management review participation.</v>
      </c>
      <c r="AI21" s="7" t="s">
        <v>98</v>
      </c>
      <c r="AJ21" s="7"/>
      <c r="AK21" s="7"/>
      <c r="AL21" s="7"/>
      <c r="AM21" s="7" t="s">
        <v>96</v>
      </c>
      <c r="AN21" s="7"/>
    </row>
    <row r="22" spans="1:40" ht="195">
      <c r="A22" s="7" t="s">
        <v>272</v>
      </c>
      <c r="B22" s="7" t="s">
        <v>273</v>
      </c>
      <c r="C22" s="7" t="s">
        <v>272</v>
      </c>
      <c r="D22" s="7" t="s">
        <v>80</v>
      </c>
      <c r="E22" s="7" t="s">
        <v>274</v>
      </c>
      <c r="F22" s="7" t="s">
        <v>275</v>
      </c>
      <c r="G22" s="7" t="s">
        <v>135</v>
      </c>
      <c r="H22" s="7" t="s">
        <v>84</v>
      </c>
      <c r="I22" s="7" t="s">
        <v>276</v>
      </c>
      <c r="J22" s="7" t="s">
        <v>277</v>
      </c>
      <c r="K22" s="7" t="s">
        <v>278</v>
      </c>
      <c r="L22" s="7" t="s">
        <v>88</v>
      </c>
      <c r="M22" s="7" t="s">
        <v>149</v>
      </c>
      <c r="N22" s="7" t="s">
        <v>150</v>
      </c>
      <c r="O22" s="7" t="s">
        <v>107</v>
      </c>
      <c r="P22" s="7" t="s">
        <v>108</v>
      </c>
      <c r="Q22" s="7" t="s">
        <v>92</v>
      </c>
      <c r="R22" s="7" t="s">
        <v>279</v>
      </c>
      <c r="S22" s="7" t="s">
        <v>94</v>
      </c>
      <c r="T22" s="7" t="s">
        <v>95</v>
      </c>
      <c r="U22" s="7"/>
      <c r="V22" s="7"/>
      <c r="W22" s="7" t="s">
        <v>96</v>
      </c>
      <c r="X22" s="7">
        <v>0</v>
      </c>
      <c r="Y22" s="7">
        <v>3</v>
      </c>
      <c r="Z22" s="7">
        <f t="shared" si="0"/>
        <v>3</v>
      </c>
      <c r="AA22" s="7" t="str">
        <f t="shared" si="1"/>
        <v>Gap to CSA level</v>
      </c>
      <c r="AB22" s="7" t="str">
        <f t="shared" si="2"/>
        <v>Not Compliant</v>
      </c>
      <c r="AC22" s="7" t="str">
        <f t="shared" si="3"/>
        <v>Not Compliant</v>
      </c>
      <c r="AD22" s="7" t="str">
        <f t="shared" si="4"/>
        <v>No mapped framework fully compliant</v>
      </c>
      <c r="AE22" s="7" t="s">
        <v>97</v>
      </c>
      <c r="AF22" s="7"/>
      <c r="AG22" s="7" t="str">
        <f>IFERROR(VLOOKUP($C22,Evidence_Library!$A$2:$C$13,2,FALSE),"Control-specific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22" s="7" t="str">
        <f>IFERROR(VLOOKUP($C22,Evidence_Library!$A$2:$C$13,3,FALSE),"Inspect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22" s="7" t="s">
        <v>98</v>
      </c>
      <c r="AJ22" s="7"/>
      <c r="AK22" s="7"/>
      <c r="AL22" s="7"/>
      <c r="AM22" s="7" t="s">
        <v>96</v>
      </c>
      <c r="AN22" s="7"/>
    </row>
    <row r="23" spans="1:40" ht="135">
      <c r="A23" s="7" t="s">
        <v>272</v>
      </c>
      <c r="B23" s="7" t="s">
        <v>280</v>
      </c>
      <c r="C23" s="7" t="s">
        <v>272</v>
      </c>
      <c r="D23" s="7" t="s">
        <v>80</v>
      </c>
      <c r="E23" s="7" t="s">
        <v>281</v>
      </c>
      <c r="F23" s="7" t="s">
        <v>282</v>
      </c>
      <c r="G23" s="7" t="s">
        <v>124</v>
      </c>
      <c r="H23" s="7" t="s">
        <v>84</v>
      </c>
      <c r="I23" s="7" t="s">
        <v>283</v>
      </c>
      <c r="J23" s="7" t="s">
        <v>284</v>
      </c>
      <c r="K23" s="7" t="s">
        <v>285</v>
      </c>
      <c r="L23" s="7" t="s">
        <v>88</v>
      </c>
      <c r="M23" s="7" t="s">
        <v>286</v>
      </c>
      <c r="N23" s="7" t="s">
        <v>287</v>
      </c>
      <c r="O23" s="7" t="s">
        <v>107</v>
      </c>
      <c r="P23" s="7" t="s">
        <v>108</v>
      </c>
      <c r="Q23" s="7" t="s">
        <v>92</v>
      </c>
      <c r="R23" s="7" t="s">
        <v>288</v>
      </c>
      <c r="S23" s="7" t="s">
        <v>94</v>
      </c>
      <c r="T23" s="7" t="s">
        <v>95</v>
      </c>
      <c r="U23" s="7"/>
      <c r="V23" s="7"/>
      <c r="W23" s="7" t="s">
        <v>96</v>
      </c>
      <c r="X23" s="7">
        <v>0</v>
      </c>
      <c r="Y23" s="7">
        <v>3</v>
      </c>
      <c r="Z23" s="7">
        <f t="shared" si="0"/>
        <v>3</v>
      </c>
      <c r="AA23" s="7" t="str">
        <f t="shared" si="1"/>
        <v>Gap to CSA level</v>
      </c>
      <c r="AB23" s="7" t="str">
        <f t="shared" si="2"/>
        <v>Not Compliant</v>
      </c>
      <c r="AC23" s="7" t="str">
        <f t="shared" si="3"/>
        <v>Not Compliant</v>
      </c>
      <c r="AD23" s="7" t="str">
        <f t="shared" si="4"/>
        <v>No mapped framework fully compliant</v>
      </c>
      <c r="AE23" s="7" t="s">
        <v>97</v>
      </c>
      <c r="AF23" s="7"/>
      <c r="AG23" s="7" t="str">
        <f>IFERROR(VLOOKUP($C23,Evidence_Library!$A$2:$C$13,2,FALSE),"Control-specific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23" s="7" t="str">
        <f>IFERROR(VLOOKUP($C23,Evidence_Library!$A$2:$C$13,3,FALSE),"Inspect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23" s="7" t="s">
        <v>98</v>
      </c>
      <c r="AJ23" s="7"/>
      <c r="AK23" s="7"/>
      <c r="AL23" s="7"/>
      <c r="AM23" s="7" t="s">
        <v>96</v>
      </c>
      <c r="AN23" s="7"/>
    </row>
    <row r="24" spans="1:40" ht="195">
      <c r="A24" s="7" t="s">
        <v>272</v>
      </c>
      <c r="B24" s="7" t="s">
        <v>289</v>
      </c>
      <c r="C24" s="7" t="s">
        <v>272</v>
      </c>
      <c r="D24" s="7" t="s">
        <v>111</v>
      </c>
      <c r="E24" s="7" t="s">
        <v>290</v>
      </c>
      <c r="F24" s="7" t="s">
        <v>291</v>
      </c>
      <c r="G24" s="7" t="s">
        <v>135</v>
      </c>
      <c r="H24" s="7" t="s">
        <v>84</v>
      </c>
      <c r="I24" s="7" t="s">
        <v>292</v>
      </c>
      <c r="J24" s="7" t="s">
        <v>277</v>
      </c>
      <c r="K24" s="7" t="s">
        <v>278</v>
      </c>
      <c r="L24" s="7" t="s">
        <v>88</v>
      </c>
      <c r="M24" s="7" t="s">
        <v>149</v>
      </c>
      <c r="N24" s="7" t="s">
        <v>150</v>
      </c>
      <c r="O24" s="7" t="s">
        <v>107</v>
      </c>
      <c r="P24" s="7" t="s">
        <v>108</v>
      </c>
      <c r="Q24" s="7" t="s">
        <v>92</v>
      </c>
      <c r="R24" s="7" t="s">
        <v>293</v>
      </c>
      <c r="S24" s="7" t="s">
        <v>94</v>
      </c>
      <c r="T24" s="7" t="s">
        <v>95</v>
      </c>
      <c r="U24" s="7"/>
      <c r="V24" s="7"/>
      <c r="W24" s="7" t="s">
        <v>96</v>
      </c>
      <c r="X24" s="7">
        <v>0</v>
      </c>
      <c r="Y24" s="7">
        <v>3</v>
      </c>
      <c r="Z24" s="7">
        <f t="shared" si="0"/>
        <v>3</v>
      </c>
      <c r="AA24" s="7" t="str">
        <f t="shared" si="1"/>
        <v>Gap to CSA level</v>
      </c>
      <c r="AB24" s="7" t="str">
        <f t="shared" si="2"/>
        <v>Not Compliant</v>
      </c>
      <c r="AC24" s="7" t="str">
        <f t="shared" si="3"/>
        <v>Not Compliant</v>
      </c>
      <c r="AD24" s="7" t="str">
        <f t="shared" si="4"/>
        <v>No mapped framework fully compliant</v>
      </c>
      <c r="AE24" s="7" t="s">
        <v>97</v>
      </c>
      <c r="AF24" s="7"/>
      <c r="AG24" s="7" t="str">
        <f>IFERROR(VLOOKUP($C24,Evidence_Library!$A$2:$C$13,2,FALSE),"Control-specific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24" s="7" t="str">
        <f>IFERROR(VLOOKUP($C24,Evidence_Library!$A$2:$C$13,3,FALSE),"Inspect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24" s="7" t="s">
        <v>98</v>
      </c>
      <c r="AJ24" s="7"/>
      <c r="AK24" s="7"/>
      <c r="AL24" s="7"/>
      <c r="AM24" s="7" t="s">
        <v>96</v>
      </c>
      <c r="AN24" s="7"/>
    </row>
    <row r="25" spans="1:40" ht="409.6">
      <c r="A25" s="7" t="s">
        <v>272</v>
      </c>
      <c r="B25" s="7" t="s">
        <v>294</v>
      </c>
      <c r="C25" s="7" t="s">
        <v>272</v>
      </c>
      <c r="D25" s="7" t="s">
        <v>111</v>
      </c>
      <c r="E25" s="7" t="s">
        <v>295</v>
      </c>
      <c r="F25" s="7" t="s">
        <v>296</v>
      </c>
      <c r="G25" s="7" t="s">
        <v>135</v>
      </c>
      <c r="H25" s="7" t="s">
        <v>297</v>
      </c>
      <c r="I25" s="7" t="s">
        <v>298</v>
      </c>
      <c r="J25" s="7" t="s">
        <v>299</v>
      </c>
      <c r="K25" s="7" t="s">
        <v>300</v>
      </c>
      <c r="L25" s="7" t="s">
        <v>208</v>
      </c>
      <c r="M25" s="7" t="s">
        <v>301</v>
      </c>
      <c r="N25" s="7" t="s">
        <v>302</v>
      </c>
      <c r="O25" s="7" t="s">
        <v>107</v>
      </c>
      <c r="P25" s="7" t="s">
        <v>303</v>
      </c>
      <c r="Q25" s="7" t="s">
        <v>92</v>
      </c>
      <c r="R25" s="7" t="s">
        <v>304</v>
      </c>
      <c r="S25" s="7" t="s">
        <v>94</v>
      </c>
      <c r="T25" s="7" t="s">
        <v>95</v>
      </c>
      <c r="U25" s="7"/>
      <c r="V25" s="7"/>
      <c r="W25" s="7" t="s">
        <v>96</v>
      </c>
      <c r="X25" s="7">
        <v>0</v>
      </c>
      <c r="Y25" s="7">
        <v>3</v>
      </c>
      <c r="Z25" s="7">
        <f t="shared" si="0"/>
        <v>3</v>
      </c>
      <c r="AA25" s="7" t="str">
        <f t="shared" si="1"/>
        <v>Gap to CSA level</v>
      </c>
      <c r="AB25" s="7" t="str">
        <f t="shared" si="2"/>
        <v>Not Compliant</v>
      </c>
      <c r="AC25" s="7" t="str">
        <f t="shared" si="3"/>
        <v>Not Compliant</v>
      </c>
      <c r="AD25" s="7" t="str">
        <f t="shared" si="4"/>
        <v>No mapped framework fully compliant</v>
      </c>
      <c r="AE25" s="7" t="s">
        <v>97</v>
      </c>
      <c r="AF25" s="7"/>
      <c r="AG25" s="7" t="str">
        <f>IFERROR(VLOOKUP($C25,Evidence_Library!$A$2:$C$13,2,FALSE),"Control-specific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25" s="7" t="str">
        <f>IFERROR(VLOOKUP($C25,Evidence_Library!$A$2:$C$13,3,FALSE),"Inspect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25" s="7" t="s">
        <v>98</v>
      </c>
      <c r="AJ25" s="7"/>
      <c r="AK25" s="7"/>
      <c r="AL25" s="7"/>
      <c r="AM25" s="7" t="s">
        <v>96</v>
      </c>
      <c r="AN25" s="7"/>
    </row>
    <row r="26" spans="1:40" ht="409.6">
      <c r="A26" s="7" t="s">
        <v>272</v>
      </c>
      <c r="B26" s="7" t="s">
        <v>305</v>
      </c>
      <c r="C26" s="7" t="s">
        <v>272</v>
      </c>
      <c r="D26" s="7" t="s">
        <v>111</v>
      </c>
      <c r="E26" s="7" t="s">
        <v>306</v>
      </c>
      <c r="F26" s="7" t="s">
        <v>307</v>
      </c>
      <c r="G26" s="7" t="s">
        <v>135</v>
      </c>
      <c r="H26" s="7" t="s">
        <v>84</v>
      </c>
      <c r="I26" s="7" t="s">
        <v>308</v>
      </c>
      <c r="J26" s="7" t="s">
        <v>299</v>
      </c>
      <c r="K26" s="7" t="s">
        <v>300</v>
      </c>
      <c r="L26" s="7" t="s">
        <v>208</v>
      </c>
      <c r="M26" s="7" t="s">
        <v>309</v>
      </c>
      <c r="N26" s="7" t="s">
        <v>310</v>
      </c>
      <c r="O26" s="7" t="s">
        <v>107</v>
      </c>
      <c r="P26" s="7" t="s">
        <v>108</v>
      </c>
      <c r="Q26" s="7" t="s">
        <v>92</v>
      </c>
      <c r="R26" s="7" t="s">
        <v>311</v>
      </c>
      <c r="S26" s="7" t="s">
        <v>94</v>
      </c>
      <c r="T26" s="7" t="s">
        <v>95</v>
      </c>
      <c r="U26" s="7"/>
      <c r="V26" s="7"/>
      <c r="W26" s="7" t="s">
        <v>96</v>
      </c>
      <c r="X26" s="7">
        <v>0</v>
      </c>
      <c r="Y26" s="7">
        <v>3</v>
      </c>
      <c r="Z26" s="7">
        <f t="shared" si="0"/>
        <v>3</v>
      </c>
      <c r="AA26" s="7" t="str">
        <f t="shared" si="1"/>
        <v>Gap to CSA level</v>
      </c>
      <c r="AB26" s="7" t="str">
        <f t="shared" si="2"/>
        <v>Not Compliant</v>
      </c>
      <c r="AC26" s="7" t="str">
        <f t="shared" si="3"/>
        <v>Not Compliant</v>
      </c>
      <c r="AD26" s="7" t="str">
        <f t="shared" si="4"/>
        <v>No mapped framework fully compliant</v>
      </c>
      <c r="AE26" s="7" t="s">
        <v>97</v>
      </c>
      <c r="AF26" s="7"/>
      <c r="AG26" s="7" t="str">
        <f>IFERROR(VLOOKUP($C26,Evidence_Library!$A$2:$C$13,2,FALSE),"Control-specific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26" s="7" t="str">
        <f>IFERROR(VLOOKUP($C26,Evidence_Library!$A$2:$C$13,3,FALSE),"Inspect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26" s="7" t="s">
        <v>98</v>
      </c>
      <c r="AJ26" s="7"/>
      <c r="AK26" s="7"/>
      <c r="AL26" s="7"/>
      <c r="AM26" s="7" t="s">
        <v>96</v>
      </c>
      <c r="AN26" s="7"/>
    </row>
    <row r="27" spans="1:40" ht="409.6">
      <c r="A27" s="7" t="s">
        <v>272</v>
      </c>
      <c r="B27" s="7" t="s">
        <v>312</v>
      </c>
      <c r="C27" s="7" t="s">
        <v>272</v>
      </c>
      <c r="D27" s="7" t="s">
        <v>144</v>
      </c>
      <c r="E27" s="7" t="s">
        <v>313</v>
      </c>
      <c r="F27" s="7" t="s">
        <v>314</v>
      </c>
      <c r="G27" s="7" t="s">
        <v>135</v>
      </c>
      <c r="H27" s="7" t="s">
        <v>315</v>
      </c>
      <c r="I27" s="7" t="s">
        <v>316</v>
      </c>
      <c r="J27" s="7" t="s">
        <v>299</v>
      </c>
      <c r="K27" s="7" t="s">
        <v>300</v>
      </c>
      <c r="L27" s="7" t="s">
        <v>208</v>
      </c>
      <c r="M27" s="7" t="s">
        <v>317</v>
      </c>
      <c r="N27" s="7" t="s">
        <v>318</v>
      </c>
      <c r="O27" s="7" t="s">
        <v>107</v>
      </c>
      <c r="P27" s="7" t="s">
        <v>108</v>
      </c>
      <c r="Q27" s="7" t="s">
        <v>92</v>
      </c>
      <c r="R27" s="7" t="s">
        <v>319</v>
      </c>
      <c r="S27" s="7" t="s">
        <v>94</v>
      </c>
      <c r="T27" s="7" t="s">
        <v>95</v>
      </c>
      <c r="U27" s="7"/>
      <c r="V27" s="7"/>
      <c r="W27" s="7" t="s">
        <v>96</v>
      </c>
      <c r="X27" s="7">
        <v>0</v>
      </c>
      <c r="Y27" s="7">
        <v>3</v>
      </c>
      <c r="Z27" s="7">
        <f t="shared" si="0"/>
        <v>3</v>
      </c>
      <c r="AA27" s="7" t="str">
        <f t="shared" si="1"/>
        <v>Gap to CSA level</v>
      </c>
      <c r="AB27" s="7" t="str">
        <f t="shared" si="2"/>
        <v>Not Compliant</v>
      </c>
      <c r="AC27" s="7" t="str">
        <f t="shared" si="3"/>
        <v>Not Compliant</v>
      </c>
      <c r="AD27" s="7" t="str">
        <f t="shared" si="4"/>
        <v>No mapped framework fully compliant</v>
      </c>
      <c r="AE27" s="7" t="s">
        <v>97</v>
      </c>
      <c r="AF27" s="7"/>
      <c r="AG27" s="7" t="str">
        <f>IFERROR(VLOOKUP($C27,Evidence_Library!$A$2:$C$13,2,FALSE),"Control-specific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27" s="7" t="str">
        <f>IFERROR(VLOOKUP($C27,Evidence_Library!$A$2:$C$13,3,FALSE),"Inspect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27" s="7" t="s">
        <v>98</v>
      </c>
      <c r="AJ27" s="7"/>
      <c r="AK27" s="7"/>
      <c r="AL27" s="7"/>
      <c r="AM27" s="7" t="s">
        <v>96</v>
      </c>
      <c r="AN27" s="7"/>
    </row>
    <row r="28" spans="1:40" ht="135">
      <c r="A28" s="7" t="s">
        <v>272</v>
      </c>
      <c r="B28" s="7" t="s">
        <v>320</v>
      </c>
      <c r="C28" s="7" t="s">
        <v>272</v>
      </c>
      <c r="D28" s="7" t="s">
        <v>144</v>
      </c>
      <c r="E28" s="7" t="s">
        <v>321</v>
      </c>
      <c r="F28" s="7" t="s">
        <v>322</v>
      </c>
      <c r="G28" s="7" t="s">
        <v>135</v>
      </c>
      <c r="H28" s="7" t="s">
        <v>323</v>
      </c>
      <c r="I28" s="7" t="s">
        <v>324</v>
      </c>
      <c r="J28" s="7" t="s">
        <v>325</v>
      </c>
      <c r="K28" s="7" t="s">
        <v>326</v>
      </c>
      <c r="L28" s="7" t="s">
        <v>88</v>
      </c>
      <c r="M28" s="7" t="s">
        <v>327</v>
      </c>
      <c r="N28" s="7" t="s">
        <v>328</v>
      </c>
      <c r="O28" s="7" t="s">
        <v>107</v>
      </c>
      <c r="P28" s="7" t="s">
        <v>108</v>
      </c>
      <c r="Q28" s="7" t="s">
        <v>92</v>
      </c>
      <c r="R28" s="7" t="s">
        <v>329</v>
      </c>
      <c r="S28" s="7" t="s">
        <v>94</v>
      </c>
      <c r="T28" s="7" t="s">
        <v>95</v>
      </c>
      <c r="U28" s="7"/>
      <c r="V28" s="7"/>
      <c r="W28" s="7" t="s">
        <v>96</v>
      </c>
      <c r="X28" s="7">
        <v>0</v>
      </c>
      <c r="Y28" s="7">
        <v>3</v>
      </c>
      <c r="Z28" s="7">
        <f t="shared" si="0"/>
        <v>3</v>
      </c>
      <c r="AA28" s="7" t="str">
        <f t="shared" si="1"/>
        <v>Gap to CSA level</v>
      </c>
      <c r="AB28" s="7" t="str">
        <f t="shared" si="2"/>
        <v>Not Compliant</v>
      </c>
      <c r="AC28" s="7" t="str">
        <f t="shared" si="3"/>
        <v>Not Compliant</v>
      </c>
      <c r="AD28" s="7" t="str">
        <f t="shared" si="4"/>
        <v>No mapped framework fully compliant</v>
      </c>
      <c r="AE28" s="7" t="s">
        <v>97</v>
      </c>
      <c r="AF28" s="7"/>
      <c r="AG28" s="7" t="str">
        <f>IFERROR(VLOOKUP($C28,Evidence_Library!$A$2:$C$13,2,FALSE),"Control-specific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28" s="7" t="str">
        <f>IFERROR(VLOOKUP($C28,Evidence_Library!$A$2:$C$13,3,FALSE),"Inspect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28" s="7" t="s">
        <v>98</v>
      </c>
      <c r="AJ28" s="7"/>
      <c r="AK28" s="7"/>
      <c r="AL28" s="7"/>
      <c r="AM28" s="7" t="s">
        <v>96</v>
      </c>
      <c r="AN28" s="7"/>
    </row>
    <row r="29" spans="1:40" ht="409.6">
      <c r="A29" s="7" t="s">
        <v>272</v>
      </c>
      <c r="B29" s="7" t="s">
        <v>330</v>
      </c>
      <c r="C29" s="7" t="s">
        <v>272</v>
      </c>
      <c r="D29" s="7" t="s">
        <v>144</v>
      </c>
      <c r="E29" s="7" t="s">
        <v>331</v>
      </c>
      <c r="F29" s="7" t="s">
        <v>332</v>
      </c>
      <c r="G29" s="7" t="s">
        <v>135</v>
      </c>
      <c r="H29" s="7" t="s">
        <v>333</v>
      </c>
      <c r="I29" s="7" t="s">
        <v>334</v>
      </c>
      <c r="J29" s="7" t="s">
        <v>299</v>
      </c>
      <c r="K29" s="7" t="s">
        <v>300</v>
      </c>
      <c r="L29" s="7" t="s">
        <v>208</v>
      </c>
      <c r="M29" s="7" t="s">
        <v>301</v>
      </c>
      <c r="N29" s="7" t="s">
        <v>302</v>
      </c>
      <c r="O29" s="7" t="s">
        <v>107</v>
      </c>
      <c r="P29" s="7" t="s">
        <v>108</v>
      </c>
      <c r="Q29" s="7" t="s">
        <v>92</v>
      </c>
      <c r="R29" s="7" t="s">
        <v>335</v>
      </c>
      <c r="S29" s="7" t="s">
        <v>94</v>
      </c>
      <c r="T29" s="7" t="s">
        <v>95</v>
      </c>
      <c r="U29" s="7"/>
      <c r="V29" s="7"/>
      <c r="W29" s="7" t="s">
        <v>96</v>
      </c>
      <c r="X29" s="7">
        <v>0</v>
      </c>
      <c r="Y29" s="7">
        <v>3</v>
      </c>
      <c r="Z29" s="7">
        <f t="shared" si="0"/>
        <v>3</v>
      </c>
      <c r="AA29" s="7" t="str">
        <f t="shared" si="1"/>
        <v>Gap to CSA level</v>
      </c>
      <c r="AB29" s="7" t="str">
        <f t="shared" si="2"/>
        <v>Not Compliant</v>
      </c>
      <c r="AC29" s="7" t="str">
        <f t="shared" si="3"/>
        <v>Not Compliant</v>
      </c>
      <c r="AD29" s="7" t="str">
        <f t="shared" si="4"/>
        <v>No mapped framework fully compliant</v>
      </c>
      <c r="AE29" s="7" t="s">
        <v>97</v>
      </c>
      <c r="AF29" s="7"/>
      <c r="AG29" s="7" t="str">
        <f>IFERROR(VLOOKUP($C29,Evidence_Library!$A$2:$C$13,2,FALSE),"Control-specific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29" s="7" t="str">
        <f>IFERROR(VLOOKUP($C29,Evidence_Library!$A$2:$C$13,3,FALSE),"Inspect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29" s="7" t="s">
        <v>98</v>
      </c>
      <c r="AJ29" s="7"/>
      <c r="AK29" s="7"/>
      <c r="AL29" s="7"/>
      <c r="AM29" s="7" t="s">
        <v>96</v>
      </c>
      <c r="AN29" s="7"/>
    </row>
    <row r="30" spans="1:40" ht="135">
      <c r="A30" s="7" t="s">
        <v>272</v>
      </c>
      <c r="B30" s="7" t="s">
        <v>336</v>
      </c>
      <c r="C30" s="7" t="s">
        <v>272</v>
      </c>
      <c r="D30" s="7" t="s">
        <v>171</v>
      </c>
      <c r="E30" s="7" t="s">
        <v>337</v>
      </c>
      <c r="F30" s="7" t="s">
        <v>338</v>
      </c>
      <c r="G30" s="7" t="s">
        <v>135</v>
      </c>
      <c r="H30" s="7" t="s">
        <v>339</v>
      </c>
      <c r="I30" s="7" t="s">
        <v>340</v>
      </c>
      <c r="J30" s="7" t="s">
        <v>341</v>
      </c>
      <c r="K30" s="7" t="s">
        <v>342</v>
      </c>
      <c r="L30" s="7" t="s">
        <v>88</v>
      </c>
      <c r="M30" s="7" t="s">
        <v>149</v>
      </c>
      <c r="N30" s="7" t="s">
        <v>150</v>
      </c>
      <c r="O30" s="7" t="s">
        <v>107</v>
      </c>
      <c r="P30" s="7" t="s">
        <v>108</v>
      </c>
      <c r="Q30" s="7" t="s">
        <v>92</v>
      </c>
      <c r="R30" s="7" t="s">
        <v>343</v>
      </c>
      <c r="S30" s="7" t="s">
        <v>94</v>
      </c>
      <c r="T30" s="7" t="s">
        <v>95</v>
      </c>
      <c r="U30" s="7"/>
      <c r="V30" s="7"/>
      <c r="W30" s="7" t="s">
        <v>96</v>
      </c>
      <c r="X30" s="7">
        <v>0</v>
      </c>
      <c r="Y30" s="7">
        <v>3</v>
      </c>
      <c r="Z30" s="7">
        <f t="shared" si="0"/>
        <v>3</v>
      </c>
      <c r="AA30" s="7" t="str">
        <f t="shared" si="1"/>
        <v>Gap to CSA level</v>
      </c>
      <c r="AB30" s="7" t="str">
        <f t="shared" si="2"/>
        <v>Not Compliant</v>
      </c>
      <c r="AC30" s="7" t="str">
        <f t="shared" si="3"/>
        <v>Not Compliant</v>
      </c>
      <c r="AD30" s="7" t="str">
        <f t="shared" si="4"/>
        <v>No mapped framework fully compliant</v>
      </c>
      <c r="AE30" s="7" t="s">
        <v>97</v>
      </c>
      <c r="AF30" s="7"/>
      <c r="AG30" s="7" t="str">
        <f>IFERROR(VLOOKUP($C30,Evidence_Library!$A$2:$C$13,2,FALSE),"Control-specific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30" s="7" t="str">
        <f>IFERROR(VLOOKUP($C30,Evidence_Library!$A$2:$C$13,3,FALSE),"Inspect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30" s="7" t="s">
        <v>98</v>
      </c>
      <c r="AJ30" s="7"/>
      <c r="AK30" s="7"/>
      <c r="AL30" s="7"/>
      <c r="AM30" s="7" t="s">
        <v>96</v>
      </c>
      <c r="AN30" s="7"/>
    </row>
    <row r="31" spans="1:40" ht="165">
      <c r="A31" s="7" t="s">
        <v>272</v>
      </c>
      <c r="B31" s="7" t="s">
        <v>344</v>
      </c>
      <c r="C31" s="7" t="s">
        <v>272</v>
      </c>
      <c r="D31" s="7" t="s">
        <v>171</v>
      </c>
      <c r="E31" s="7" t="s">
        <v>345</v>
      </c>
      <c r="F31" s="7" t="s">
        <v>346</v>
      </c>
      <c r="G31" s="7" t="s">
        <v>135</v>
      </c>
      <c r="H31" s="7" t="s">
        <v>347</v>
      </c>
      <c r="I31" s="7" t="s">
        <v>348</v>
      </c>
      <c r="J31" s="7" t="s">
        <v>325</v>
      </c>
      <c r="K31" s="7" t="s">
        <v>326</v>
      </c>
      <c r="L31" s="7" t="s">
        <v>88</v>
      </c>
      <c r="M31" s="7" t="s">
        <v>247</v>
      </c>
      <c r="N31" s="7" t="s">
        <v>248</v>
      </c>
      <c r="O31" s="7" t="s">
        <v>107</v>
      </c>
      <c r="P31" s="7" t="s">
        <v>108</v>
      </c>
      <c r="Q31" s="7" t="s">
        <v>92</v>
      </c>
      <c r="R31" s="7" t="s">
        <v>349</v>
      </c>
      <c r="S31" s="7" t="s">
        <v>94</v>
      </c>
      <c r="T31" s="7" t="s">
        <v>95</v>
      </c>
      <c r="U31" s="7"/>
      <c r="V31" s="7"/>
      <c r="W31" s="7" t="s">
        <v>96</v>
      </c>
      <c r="X31" s="7">
        <v>0</v>
      </c>
      <c r="Y31" s="7">
        <v>3</v>
      </c>
      <c r="Z31" s="7">
        <f t="shared" si="0"/>
        <v>3</v>
      </c>
      <c r="AA31" s="7" t="str">
        <f t="shared" si="1"/>
        <v>Gap to CSA level</v>
      </c>
      <c r="AB31" s="7" t="str">
        <f t="shared" si="2"/>
        <v>Not Compliant</v>
      </c>
      <c r="AC31" s="7" t="str">
        <f t="shared" si="3"/>
        <v>Not Compliant</v>
      </c>
      <c r="AD31" s="7" t="str">
        <f t="shared" si="4"/>
        <v>No mapped framework fully compliant</v>
      </c>
      <c r="AE31" s="7" t="s">
        <v>97</v>
      </c>
      <c r="AF31" s="7"/>
      <c r="AG31" s="7" t="str">
        <f>IFERROR(VLOOKUP($C31,Evidence_Library!$A$2:$C$13,2,FALSE),"Control-specific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31" s="7" t="str">
        <f>IFERROR(VLOOKUP($C31,Evidence_Library!$A$2:$C$13,3,FALSE),"Inspect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31" s="7" t="s">
        <v>98</v>
      </c>
      <c r="AJ31" s="7"/>
      <c r="AK31" s="7"/>
      <c r="AL31" s="7"/>
      <c r="AM31" s="7" t="s">
        <v>96</v>
      </c>
      <c r="AN31" s="7"/>
    </row>
    <row r="32" spans="1:40" ht="195">
      <c r="A32" s="7" t="s">
        <v>272</v>
      </c>
      <c r="B32" s="7" t="s">
        <v>350</v>
      </c>
      <c r="C32" s="7" t="s">
        <v>272</v>
      </c>
      <c r="D32" s="7" t="s">
        <v>171</v>
      </c>
      <c r="E32" s="7" t="s">
        <v>351</v>
      </c>
      <c r="F32" s="7" t="s">
        <v>352</v>
      </c>
      <c r="G32" s="7" t="s">
        <v>135</v>
      </c>
      <c r="H32" s="7" t="s">
        <v>353</v>
      </c>
      <c r="I32" s="7" t="s">
        <v>354</v>
      </c>
      <c r="J32" s="7" t="s">
        <v>277</v>
      </c>
      <c r="K32" s="7" t="s">
        <v>278</v>
      </c>
      <c r="L32" s="7" t="s">
        <v>88</v>
      </c>
      <c r="M32" s="7" t="s">
        <v>317</v>
      </c>
      <c r="N32" s="7" t="s">
        <v>318</v>
      </c>
      <c r="O32" s="7" t="s">
        <v>107</v>
      </c>
      <c r="P32" s="7" t="s">
        <v>91</v>
      </c>
      <c r="Q32" s="7" t="s">
        <v>92</v>
      </c>
      <c r="R32" s="7" t="s">
        <v>355</v>
      </c>
      <c r="S32" s="7" t="s">
        <v>94</v>
      </c>
      <c r="T32" s="7" t="s">
        <v>95</v>
      </c>
      <c r="U32" s="7"/>
      <c r="V32" s="7"/>
      <c r="W32" s="7" t="s">
        <v>96</v>
      </c>
      <c r="X32" s="7">
        <v>0</v>
      </c>
      <c r="Y32" s="7">
        <v>3</v>
      </c>
      <c r="Z32" s="7">
        <f t="shared" si="0"/>
        <v>3</v>
      </c>
      <c r="AA32" s="7" t="str">
        <f t="shared" si="1"/>
        <v>Gap to CSA level</v>
      </c>
      <c r="AB32" s="7" t="str">
        <f t="shared" si="2"/>
        <v>Not Compliant</v>
      </c>
      <c r="AC32" s="7" t="str">
        <f t="shared" si="3"/>
        <v>Not Compliant</v>
      </c>
      <c r="AD32" s="7" t="str">
        <f t="shared" si="4"/>
        <v>No mapped framework fully compliant</v>
      </c>
      <c r="AE32" s="7" t="s">
        <v>97</v>
      </c>
      <c r="AF32" s="7"/>
      <c r="AG32" s="7" t="str">
        <f>IFERROR(VLOOKUP($C32,Evidence_Library!$A$2:$C$13,2,FALSE),"Control-specific policy/procedure, implementation record, sample evidence, and monitoring proof.")</f>
        <v>IAM policy; privileged access records; role definitions; SSO/MFA enforcement; service account inventory; access reviews; joiner/mover/leaver records; secrets management evidence.</v>
      </c>
      <c r="AH32" s="7" t="str">
        <f>IFERROR(VLOOKUP($C32,Evidence_Library!$A$2:$C$13,3,FALSE),"Inspect design, sample implementation evidence, interview owner, and verify operating effectiveness.")</f>
        <v>Sample users and service accounts; verify least privilege, MFA, approved access, periodic reviews, and timely removal; confirm secrets are stored and rotated securely.</v>
      </c>
      <c r="AI32" s="7" t="s">
        <v>98</v>
      </c>
      <c r="AJ32" s="7"/>
      <c r="AK32" s="7"/>
      <c r="AL32" s="7"/>
      <c r="AM32" s="7" t="s">
        <v>96</v>
      </c>
      <c r="AN32" s="7"/>
    </row>
    <row r="33" spans="1:40" ht="195">
      <c r="A33" s="7" t="s">
        <v>356</v>
      </c>
      <c r="B33" s="7" t="s">
        <v>357</v>
      </c>
      <c r="C33" s="7" t="s">
        <v>358</v>
      </c>
      <c r="D33" s="7" t="s">
        <v>80</v>
      </c>
      <c r="E33" s="7" t="s">
        <v>359</v>
      </c>
      <c r="F33" s="7" t="s">
        <v>360</v>
      </c>
      <c r="G33" s="7" t="s">
        <v>135</v>
      </c>
      <c r="H33" s="7" t="s">
        <v>84</v>
      </c>
      <c r="I33" s="7" t="s">
        <v>361</v>
      </c>
      <c r="J33" s="7" t="s">
        <v>362</v>
      </c>
      <c r="K33" s="7" t="s">
        <v>363</v>
      </c>
      <c r="L33" s="7" t="s">
        <v>88</v>
      </c>
      <c r="M33" s="7" t="s">
        <v>364</v>
      </c>
      <c r="N33" s="7" t="s">
        <v>365</v>
      </c>
      <c r="O33" s="7" t="s">
        <v>107</v>
      </c>
      <c r="P33" s="7" t="s">
        <v>366</v>
      </c>
      <c r="Q33" s="7" t="s">
        <v>92</v>
      </c>
      <c r="R33" s="7" t="s">
        <v>367</v>
      </c>
      <c r="S33" s="7" t="s">
        <v>94</v>
      </c>
      <c r="T33" s="7" t="s">
        <v>95</v>
      </c>
      <c r="U33" s="7"/>
      <c r="V33" s="7"/>
      <c r="W33" s="7" t="s">
        <v>96</v>
      </c>
      <c r="X33" s="7">
        <v>0</v>
      </c>
      <c r="Y33" s="7">
        <v>3</v>
      </c>
      <c r="Z33" s="7">
        <f t="shared" si="0"/>
        <v>3</v>
      </c>
      <c r="AA33" s="7" t="str">
        <f t="shared" si="1"/>
        <v>Gap to CSA level</v>
      </c>
      <c r="AB33" s="7" t="str">
        <f t="shared" si="2"/>
        <v>Not Compliant</v>
      </c>
      <c r="AC33" s="7" t="str">
        <f t="shared" si="3"/>
        <v>Not Compliant</v>
      </c>
      <c r="AD33" s="7" t="str">
        <f t="shared" si="4"/>
        <v>No mapped framework fully compliant</v>
      </c>
      <c r="AE33" s="7" t="s">
        <v>97</v>
      </c>
      <c r="AF33" s="7"/>
      <c r="AG33" s="7" t="str">
        <f>IFERROR(VLOOKUP($C33,Evidence_Library!$A$2:$C$13,2,FALSE),"Control-specific policy/procedure, implementation record, sample evidence, and monitoring proof.")</f>
        <v>Monitoring strategy; model performance dashboards; drift/bias monitoring; security logs; alert rules; KPI/KRI reporting; incident tickets; periodic review records.</v>
      </c>
      <c r="AH33" s="7" t="str">
        <f>IFERROR(VLOOKUP($C33,Evidence_Library!$A$2:$C$13,3,FALSE),"Inspect design, sample implementation evidence, interview owner, and verify operating effectiveness.")</f>
        <v>Review monitoring coverage for sampled systems; verify alerts trigger and are triaged; inspect monitoring dashboards and evidence that issues drive corrective action.</v>
      </c>
      <c r="AI33" s="7" t="s">
        <v>98</v>
      </c>
      <c r="AJ33" s="7"/>
      <c r="AK33" s="7"/>
      <c r="AL33" s="7"/>
      <c r="AM33" s="7" t="s">
        <v>96</v>
      </c>
      <c r="AN33" s="7"/>
    </row>
    <row r="34" spans="1:40" ht="105">
      <c r="A34" s="7" t="s">
        <v>356</v>
      </c>
      <c r="B34" s="7" t="s">
        <v>368</v>
      </c>
      <c r="C34" s="7" t="s">
        <v>358</v>
      </c>
      <c r="D34" s="7" t="s">
        <v>80</v>
      </c>
      <c r="E34" s="7" t="s">
        <v>369</v>
      </c>
      <c r="F34" s="7" t="s">
        <v>370</v>
      </c>
      <c r="G34" s="7" t="s">
        <v>83</v>
      </c>
      <c r="H34" s="7" t="s">
        <v>84</v>
      </c>
      <c r="I34" s="7" t="s">
        <v>371</v>
      </c>
      <c r="J34" s="7" t="s">
        <v>372</v>
      </c>
      <c r="K34" s="7" t="s">
        <v>373</v>
      </c>
      <c r="L34" s="7" t="s">
        <v>88</v>
      </c>
      <c r="M34" s="7" t="s">
        <v>374</v>
      </c>
      <c r="N34" s="7" t="s">
        <v>375</v>
      </c>
      <c r="O34" s="7" t="s">
        <v>107</v>
      </c>
      <c r="P34" s="7" t="s">
        <v>199</v>
      </c>
      <c r="Q34" s="7" t="s">
        <v>92</v>
      </c>
      <c r="R34" s="7" t="s">
        <v>376</v>
      </c>
      <c r="S34" s="7" t="s">
        <v>94</v>
      </c>
      <c r="T34" s="7" t="s">
        <v>95</v>
      </c>
      <c r="U34" s="7"/>
      <c r="V34" s="7"/>
      <c r="W34" s="7" t="s">
        <v>96</v>
      </c>
      <c r="X34" s="7">
        <v>0</v>
      </c>
      <c r="Y34" s="7">
        <v>3</v>
      </c>
      <c r="Z34" s="7">
        <f t="shared" ref="Z34:Z65" si="5">IF($S34="No","N/A",MAX(0,$Y34-$X34))</f>
        <v>3</v>
      </c>
      <c r="AA34" s="7" t="str">
        <f t="shared" ref="AA34:AA65" si="6">IF($S34="No","N/A",IF($X34&gt;=VALUE($D34),"Meets CSA maturity","Gap to CSA level"))</f>
        <v>Gap to CSA level</v>
      </c>
      <c r="AB34" s="7" t="str">
        <f t="shared" ref="AB34:AB65" si="7">IF($S34="No","N/A",IF($J34="","Not Mapped",IF(AND($X34&gt;=3,$AE34="Validated"),"Compliant",IF($X34&gt;=1,"Partial","Not Compliant"))))</f>
        <v>Not Compliant</v>
      </c>
      <c r="AC34" s="7" t="str">
        <f t="shared" ref="AC34:AC65" si="8">IF($S34="No","N/A",IF($M34="","Not Mapped",IF(AND($X34&gt;=3,$AE34="Validated"),"Compliant",IF($X34&gt;=1,"Partial","Not Compliant"))))</f>
        <v>Not Compliant</v>
      </c>
      <c r="AD34" s="7" t="str">
        <f t="shared" ref="AD34:AD65" si="9">IF($S34="No","N/A",IF(AND($AA34="Meets CSA maturity",$AB34="Compliant",$AC34="Compliant"),"CSA + NIST + ISO",IF(AND($AA34="Meets CSA maturity",$AB34="Compliant"),"CSA + NIST",IF(AND($AA34="Meets CSA maturity",$AC34="Compliant"),"CSA + ISO",IF(AND($AB34="Compliant",$AC34="Compliant"),"NIST + ISO",IF($AA34="Meets CSA maturity","CSA only",IF($AB34="Compliant","NIST only",IF($AC34="Compliant","ISO only","No mapped framework fully compliant"))))))))</f>
        <v>No mapped framework fully compliant</v>
      </c>
      <c r="AE34" s="7" t="s">
        <v>97</v>
      </c>
      <c r="AF34" s="7"/>
      <c r="AG34" s="7" t="str">
        <f>IFERROR(VLOOKUP($C34,Evidence_Library!$A$2:$C$13,2,FALSE),"Control-specific policy/procedure, implementation record, sample evidence, and monitoring proof.")</f>
        <v>Monitoring strategy; model performance dashboards; drift/bias monitoring; security logs; alert rules; KPI/KRI reporting; incident tickets; periodic review records.</v>
      </c>
      <c r="AH34" s="7" t="str">
        <f>IFERROR(VLOOKUP($C34,Evidence_Library!$A$2:$C$13,3,FALSE),"Inspect design, sample implementation evidence, interview owner, and verify operating effectiveness.")</f>
        <v>Review monitoring coverage for sampled systems; verify alerts trigger and are triaged; inspect monitoring dashboards and evidence that issues drive corrective action.</v>
      </c>
      <c r="AI34" s="7" t="s">
        <v>98</v>
      </c>
      <c r="AJ34" s="7"/>
      <c r="AK34" s="7"/>
      <c r="AL34" s="7"/>
      <c r="AM34" s="7" t="s">
        <v>96</v>
      </c>
      <c r="AN34" s="7"/>
    </row>
    <row r="35" spans="1:40" ht="195">
      <c r="A35" s="7" t="s">
        <v>356</v>
      </c>
      <c r="B35" s="7" t="s">
        <v>377</v>
      </c>
      <c r="C35" s="7" t="s">
        <v>358</v>
      </c>
      <c r="D35" s="7" t="s">
        <v>111</v>
      </c>
      <c r="E35" s="7" t="s">
        <v>378</v>
      </c>
      <c r="F35" s="7" t="s">
        <v>379</v>
      </c>
      <c r="G35" s="7" t="s">
        <v>135</v>
      </c>
      <c r="H35" s="7" t="s">
        <v>84</v>
      </c>
      <c r="I35" s="7" t="s">
        <v>380</v>
      </c>
      <c r="J35" s="7" t="s">
        <v>362</v>
      </c>
      <c r="K35" s="7" t="s">
        <v>363</v>
      </c>
      <c r="L35" s="7" t="s">
        <v>88</v>
      </c>
      <c r="M35" s="7" t="s">
        <v>381</v>
      </c>
      <c r="N35" s="7" t="s">
        <v>382</v>
      </c>
      <c r="O35" s="7" t="s">
        <v>107</v>
      </c>
      <c r="P35" s="7" t="s">
        <v>199</v>
      </c>
      <c r="Q35" s="7" t="s">
        <v>92</v>
      </c>
      <c r="R35" s="7" t="s">
        <v>383</v>
      </c>
      <c r="S35" s="7" t="s">
        <v>94</v>
      </c>
      <c r="T35" s="7" t="s">
        <v>95</v>
      </c>
      <c r="U35" s="7"/>
      <c r="V35" s="7"/>
      <c r="W35" s="7" t="s">
        <v>96</v>
      </c>
      <c r="X35" s="7">
        <v>0</v>
      </c>
      <c r="Y35" s="7">
        <v>3</v>
      </c>
      <c r="Z35" s="7">
        <f t="shared" si="5"/>
        <v>3</v>
      </c>
      <c r="AA35" s="7" t="str">
        <f t="shared" si="6"/>
        <v>Gap to CSA level</v>
      </c>
      <c r="AB35" s="7" t="str">
        <f t="shared" si="7"/>
        <v>Not Compliant</v>
      </c>
      <c r="AC35" s="7" t="str">
        <f t="shared" si="8"/>
        <v>Not Compliant</v>
      </c>
      <c r="AD35" s="7" t="str">
        <f t="shared" si="9"/>
        <v>No mapped framework fully compliant</v>
      </c>
      <c r="AE35" s="7" t="s">
        <v>97</v>
      </c>
      <c r="AF35" s="7"/>
      <c r="AG35" s="7" t="str">
        <f>IFERROR(VLOOKUP($C35,Evidence_Library!$A$2:$C$13,2,FALSE),"Control-specific policy/procedure, implementation record, sample evidence, and monitoring proof.")</f>
        <v>Monitoring strategy; model performance dashboards; drift/bias monitoring; security logs; alert rules; KPI/KRI reporting; incident tickets; periodic review records.</v>
      </c>
      <c r="AH35" s="7" t="str">
        <f>IFERROR(VLOOKUP($C35,Evidence_Library!$A$2:$C$13,3,FALSE),"Inspect design, sample implementation evidence, interview owner, and verify operating effectiveness.")</f>
        <v>Review monitoring coverage for sampled systems; verify alerts trigger and are triaged; inspect monitoring dashboards and evidence that issues drive corrective action.</v>
      </c>
      <c r="AI35" s="7" t="s">
        <v>98</v>
      </c>
      <c r="AJ35" s="7"/>
      <c r="AK35" s="7"/>
      <c r="AL35" s="7"/>
      <c r="AM35" s="7" t="s">
        <v>96</v>
      </c>
      <c r="AN35" s="7"/>
    </row>
    <row r="36" spans="1:40" ht="409.6">
      <c r="A36" s="7" t="s">
        <v>356</v>
      </c>
      <c r="B36" s="7" t="s">
        <v>384</v>
      </c>
      <c r="C36" s="7" t="s">
        <v>358</v>
      </c>
      <c r="D36" s="7" t="s">
        <v>111</v>
      </c>
      <c r="E36" s="7" t="s">
        <v>385</v>
      </c>
      <c r="F36" s="7" t="s">
        <v>386</v>
      </c>
      <c r="G36" s="7" t="s">
        <v>135</v>
      </c>
      <c r="H36" s="7" t="s">
        <v>84</v>
      </c>
      <c r="I36" s="7" t="s">
        <v>387</v>
      </c>
      <c r="J36" s="7" t="s">
        <v>388</v>
      </c>
      <c r="K36" s="7" t="s">
        <v>389</v>
      </c>
      <c r="L36" s="7" t="s">
        <v>208</v>
      </c>
      <c r="M36" s="7" t="s">
        <v>381</v>
      </c>
      <c r="N36" s="7" t="s">
        <v>382</v>
      </c>
      <c r="O36" s="7" t="s">
        <v>107</v>
      </c>
      <c r="P36" s="7" t="s">
        <v>108</v>
      </c>
      <c r="Q36" s="7" t="s">
        <v>92</v>
      </c>
      <c r="R36" s="7" t="s">
        <v>390</v>
      </c>
      <c r="S36" s="7" t="s">
        <v>94</v>
      </c>
      <c r="T36" s="7" t="s">
        <v>95</v>
      </c>
      <c r="U36" s="7"/>
      <c r="V36" s="7"/>
      <c r="W36" s="7" t="s">
        <v>96</v>
      </c>
      <c r="X36" s="7">
        <v>0</v>
      </c>
      <c r="Y36" s="7">
        <v>3</v>
      </c>
      <c r="Z36" s="7">
        <f t="shared" si="5"/>
        <v>3</v>
      </c>
      <c r="AA36" s="7" t="str">
        <f t="shared" si="6"/>
        <v>Gap to CSA level</v>
      </c>
      <c r="AB36" s="7" t="str">
        <f t="shared" si="7"/>
        <v>Not Compliant</v>
      </c>
      <c r="AC36" s="7" t="str">
        <f t="shared" si="8"/>
        <v>Not Compliant</v>
      </c>
      <c r="AD36" s="7" t="str">
        <f t="shared" si="9"/>
        <v>No mapped framework fully compliant</v>
      </c>
      <c r="AE36" s="7" t="s">
        <v>97</v>
      </c>
      <c r="AF36" s="7"/>
      <c r="AG36" s="7" t="str">
        <f>IFERROR(VLOOKUP($C36,Evidence_Library!$A$2:$C$13,2,FALSE),"Control-specific policy/procedure, implementation record, sample evidence, and monitoring proof.")</f>
        <v>Monitoring strategy; model performance dashboards; drift/bias monitoring; security logs; alert rules; KPI/KRI reporting; incident tickets; periodic review records.</v>
      </c>
      <c r="AH36" s="7" t="str">
        <f>IFERROR(VLOOKUP($C36,Evidence_Library!$A$2:$C$13,3,FALSE),"Inspect design, sample implementation evidence, interview owner, and verify operating effectiveness.")</f>
        <v>Review monitoring coverage for sampled systems; verify alerts trigger and are triaged; inspect monitoring dashboards and evidence that issues drive corrective action.</v>
      </c>
      <c r="AI36" s="7" t="s">
        <v>98</v>
      </c>
      <c r="AJ36" s="7"/>
      <c r="AK36" s="7"/>
      <c r="AL36" s="7"/>
      <c r="AM36" s="7" t="s">
        <v>96</v>
      </c>
      <c r="AN36" s="7"/>
    </row>
    <row r="37" spans="1:40" ht="409.6">
      <c r="A37" s="7" t="s">
        <v>356</v>
      </c>
      <c r="B37" s="7" t="s">
        <v>391</v>
      </c>
      <c r="C37" s="7" t="s">
        <v>358</v>
      </c>
      <c r="D37" s="7" t="s">
        <v>144</v>
      </c>
      <c r="E37" s="7" t="s">
        <v>392</v>
      </c>
      <c r="F37" s="7" t="s">
        <v>393</v>
      </c>
      <c r="G37" s="7" t="s">
        <v>135</v>
      </c>
      <c r="H37" s="7" t="s">
        <v>394</v>
      </c>
      <c r="I37" s="7" t="s">
        <v>395</v>
      </c>
      <c r="J37" s="7" t="s">
        <v>388</v>
      </c>
      <c r="K37" s="7" t="s">
        <v>389</v>
      </c>
      <c r="L37" s="7" t="s">
        <v>208</v>
      </c>
      <c r="M37" s="7" t="s">
        <v>286</v>
      </c>
      <c r="N37" s="7" t="s">
        <v>287</v>
      </c>
      <c r="O37" s="7" t="s">
        <v>107</v>
      </c>
      <c r="P37" s="7" t="s">
        <v>108</v>
      </c>
      <c r="Q37" s="7" t="s">
        <v>92</v>
      </c>
      <c r="R37" s="7" t="s">
        <v>396</v>
      </c>
      <c r="S37" s="7" t="s">
        <v>94</v>
      </c>
      <c r="T37" s="7" t="s">
        <v>95</v>
      </c>
      <c r="U37" s="7"/>
      <c r="V37" s="7"/>
      <c r="W37" s="7" t="s">
        <v>96</v>
      </c>
      <c r="X37" s="7">
        <v>0</v>
      </c>
      <c r="Y37" s="7">
        <v>3</v>
      </c>
      <c r="Z37" s="7">
        <f t="shared" si="5"/>
        <v>3</v>
      </c>
      <c r="AA37" s="7" t="str">
        <f t="shared" si="6"/>
        <v>Gap to CSA level</v>
      </c>
      <c r="AB37" s="7" t="str">
        <f t="shared" si="7"/>
        <v>Not Compliant</v>
      </c>
      <c r="AC37" s="7" t="str">
        <f t="shared" si="8"/>
        <v>Not Compliant</v>
      </c>
      <c r="AD37" s="7" t="str">
        <f t="shared" si="9"/>
        <v>No mapped framework fully compliant</v>
      </c>
      <c r="AE37" s="7" t="s">
        <v>97</v>
      </c>
      <c r="AF37" s="7"/>
      <c r="AG37" s="7" t="str">
        <f>IFERROR(VLOOKUP($C37,Evidence_Library!$A$2:$C$13,2,FALSE),"Control-specific policy/procedure, implementation record, sample evidence, and monitoring proof.")</f>
        <v>Monitoring strategy; model performance dashboards; drift/bias monitoring; security logs; alert rules; KPI/KRI reporting; incident tickets; periodic review records.</v>
      </c>
      <c r="AH37" s="7" t="str">
        <f>IFERROR(VLOOKUP($C37,Evidence_Library!$A$2:$C$13,3,FALSE),"Inspect design, sample implementation evidence, interview owner, and verify operating effectiveness.")</f>
        <v>Review monitoring coverage for sampled systems; verify alerts trigger and are triaged; inspect monitoring dashboards and evidence that issues drive corrective action.</v>
      </c>
      <c r="AI37" s="7" t="s">
        <v>98</v>
      </c>
      <c r="AJ37" s="7"/>
      <c r="AK37" s="7"/>
      <c r="AL37" s="7"/>
      <c r="AM37" s="7" t="s">
        <v>96</v>
      </c>
      <c r="AN37" s="7"/>
    </row>
    <row r="38" spans="1:40" ht="195">
      <c r="A38" s="7" t="s">
        <v>356</v>
      </c>
      <c r="B38" s="7" t="s">
        <v>397</v>
      </c>
      <c r="C38" s="7" t="s">
        <v>358</v>
      </c>
      <c r="D38" s="7" t="s">
        <v>144</v>
      </c>
      <c r="E38" s="7" t="s">
        <v>398</v>
      </c>
      <c r="F38" s="7" t="s">
        <v>399</v>
      </c>
      <c r="G38" s="7" t="s">
        <v>135</v>
      </c>
      <c r="H38" s="7" t="s">
        <v>84</v>
      </c>
      <c r="I38" s="7" t="s">
        <v>387</v>
      </c>
      <c r="J38" s="7" t="s">
        <v>400</v>
      </c>
      <c r="K38" s="7" t="s">
        <v>401</v>
      </c>
      <c r="L38" s="7" t="s">
        <v>88</v>
      </c>
      <c r="M38" s="7" t="s">
        <v>402</v>
      </c>
      <c r="N38" s="7" t="s">
        <v>403</v>
      </c>
      <c r="O38" s="7" t="s">
        <v>107</v>
      </c>
      <c r="P38" s="7" t="s">
        <v>108</v>
      </c>
      <c r="Q38" s="7" t="s">
        <v>92</v>
      </c>
      <c r="R38" s="7" t="s">
        <v>404</v>
      </c>
      <c r="S38" s="7" t="s">
        <v>94</v>
      </c>
      <c r="T38" s="7" t="s">
        <v>95</v>
      </c>
      <c r="U38" s="7"/>
      <c r="V38" s="7"/>
      <c r="W38" s="7" t="s">
        <v>96</v>
      </c>
      <c r="X38" s="7">
        <v>0</v>
      </c>
      <c r="Y38" s="7">
        <v>3</v>
      </c>
      <c r="Z38" s="7">
        <f t="shared" si="5"/>
        <v>3</v>
      </c>
      <c r="AA38" s="7" t="str">
        <f t="shared" si="6"/>
        <v>Gap to CSA level</v>
      </c>
      <c r="AB38" s="7" t="str">
        <f t="shared" si="7"/>
        <v>Not Compliant</v>
      </c>
      <c r="AC38" s="7" t="str">
        <f t="shared" si="8"/>
        <v>Not Compliant</v>
      </c>
      <c r="AD38" s="7" t="str">
        <f t="shared" si="9"/>
        <v>No mapped framework fully compliant</v>
      </c>
      <c r="AE38" s="7" t="s">
        <v>97</v>
      </c>
      <c r="AF38" s="7"/>
      <c r="AG38" s="7" t="str">
        <f>IFERROR(VLOOKUP($C38,Evidence_Library!$A$2:$C$13,2,FALSE),"Control-specific policy/procedure, implementation record, sample evidence, and monitoring proof.")</f>
        <v>Monitoring strategy; model performance dashboards; drift/bias monitoring; security logs; alert rules; KPI/KRI reporting; incident tickets; periodic review records.</v>
      </c>
      <c r="AH38" s="7" t="str">
        <f>IFERROR(VLOOKUP($C38,Evidence_Library!$A$2:$C$13,3,FALSE),"Inspect design, sample implementation evidence, interview owner, and verify operating effectiveness.")</f>
        <v>Review monitoring coverage for sampled systems; verify alerts trigger and are triaged; inspect monitoring dashboards and evidence that issues drive corrective action.</v>
      </c>
      <c r="AI38" s="7" t="s">
        <v>98</v>
      </c>
      <c r="AJ38" s="7"/>
      <c r="AK38" s="7"/>
      <c r="AL38" s="7"/>
      <c r="AM38" s="7" t="s">
        <v>96</v>
      </c>
      <c r="AN38" s="7"/>
    </row>
    <row r="39" spans="1:40" ht="210">
      <c r="A39" s="7" t="s">
        <v>356</v>
      </c>
      <c r="B39" s="7" t="s">
        <v>405</v>
      </c>
      <c r="C39" s="7" t="s">
        <v>358</v>
      </c>
      <c r="D39" s="7" t="s">
        <v>144</v>
      </c>
      <c r="E39" s="7" t="s">
        <v>406</v>
      </c>
      <c r="F39" s="7" t="s">
        <v>407</v>
      </c>
      <c r="G39" s="7" t="s">
        <v>135</v>
      </c>
      <c r="H39" s="7" t="s">
        <v>84</v>
      </c>
      <c r="I39" s="7" t="s">
        <v>408</v>
      </c>
      <c r="J39" s="7" t="s">
        <v>409</v>
      </c>
      <c r="K39" s="7" t="s">
        <v>410</v>
      </c>
      <c r="L39" s="7" t="s">
        <v>88</v>
      </c>
      <c r="M39" s="7" t="s">
        <v>381</v>
      </c>
      <c r="N39" s="7" t="s">
        <v>382</v>
      </c>
      <c r="O39" s="7" t="s">
        <v>107</v>
      </c>
      <c r="P39" s="7" t="s">
        <v>108</v>
      </c>
      <c r="Q39" s="7" t="s">
        <v>92</v>
      </c>
      <c r="R39" s="7" t="s">
        <v>411</v>
      </c>
      <c r="S39" s="7" t="s">
        <v>94</v>
      </c>
      <c r="T39" s="7" t="s">
        <v>95</v>
      </c>
      <c r="U39" s="7"/>
      <c r="V39" s="7"/>
      <c r="W39" s="7" t="s">
        <v>96</v>
      </c>
      <c r="X39" s="7">
        <v>0</v>
      </c>
      <c r="Y39" s="7">
        <v>3</v>
      </c>
      <c r="Z39" s="7">
        <f t="shared" si="5"/>
        <v>3</v>
      </c>
      <c r="AA39" s="7" t="str">
        <f t="shared" si="6"/>
        <v>Gap to CSA level</v>
      </c>
      <c r="AB39" s="7" t="str">
        <f t="shared" si="7"/>
        <v>Not Compliant</v>
      </c>
      <c r="AC39" s="7" t="str">
        <f t="shared" si="8"/>
        <v>Not Compliant</v>
      </c>
      <c r="AD39" s="7" t="str">
        <f t="shared" si="9"/>
        <v>No mapped framework fully compliant</v>
      </c>
      <c r="AE39" s="7" t="s">
        <v>97</v>
      </c>
      <c r="AF39" s="7"/>
      <c r="AG39" s="7" t="str">
        <f>IFERROR(VLOOKUP($C39,Evidence_Library!$A$2:$C$13,2,FALSE),"Control-specific policy/procedure, implementation record, sample evidence, and monitoring proof.")</f>
        <v>Monitoring strategy; model performance dashboards; drift/bias monitoring; security logs; alert rules; KPI/KRI reporting; incident tickets; periodic review records.</v>
      </c>
      <c r="AH39" s="7" t="str">
        <f>IFERROR(VLOOKUP($C39,Evidence_Library!$A$2:$C$13,3,FALSE),"Inspect design, sample implementation evidence, interview owner, and verify operating effectiveness.")</f>
        <v>Review monitoring coverage for sampled systems; verify alerts trigger and are triaged; inspect monitoring dashboards and evidence that issues drive corrective action.</v>
      </c>
      <c r="AI39" s="7" t="s">
        <v>98</v>
      </c>
      <c r="AJ39" s="7"/>
      <c r="AK39" s="7"/>
      <c r="AL39" s="7"/>
      <c r="AM39" s="7" t="s">
        <v>96</v>
      </c>
      <c r="AN39" s="7"/>
    </row>
    <row r="40" spans="1:40" ht="90">
      <c r="A40" s="7" t="s">
        <v>356</v>
      </c>
      <c r="B40" s="7" t="s">
        <v>412</v>
      </c>
      <c r="C40" s="7" t="s">
        <v>358</v>
      </c>
      <c r="D40" s="7" t="s">
        <v>171</v>
      </c>
      <c r="E40" s="7" t="s">
        <v>413</v>
      </c>
      <c r="F40" s="7" t="s">
        <v>414</v>
      </c>
      <c r="G40" s="7" t="s">
        <v>135</v>
      </c>
      <c r="H40" s="7" t="s">
        <v>84</v>
      </c>
      <c r="I40" s="7" t="s">
        <v>387</v>
      </c>
      <c r="J40" s="7" t="s">
        <v>260</v>
      </c>
      <c r="K40" s="7" t="s">
        <v>261</v>
      </c>
      <c r="L40" s="7" t="s">
        <v>88</v>
      </c>
      <c r="M40" s="7" t="s">
        <v>149</v>
      </c>
      <c r="N40" s="7" t="s">
        <v>150</v>
      </c>
      <c r="O40" s="7" t="s">
        <v>107</v>
      </c>
      <c r="P40" s="7" t="s">
        <v>108</v>
      </c>
      <c r="Q40" s="7" t="s">
        <v>92</v>
      </c>
      <c r="R40" s="7" t="s">
        <v>415</v>
      </c>
      <c r="S40" s="7" t="s">
        <v>94</v>
      </c>
      <c r="T40" s="7" t="s">
        <v>95</v>
      </c>
      <c r="U40" s="7"/>
      <c r="V40" s="7"/>
      <c r="W40" s="7" t="s">
        <v>96</v>
      </c>
      <c r="X40" s="7">
        <v>0</v>
      </c>
      <c r="Y40" s="7">
        <v>3</v>
      </c>
      <c r="Z40" s="7">
        <f t="shared" si="5"/>
        <v>3</v>
      </c>
      <c r="AA40" s="7" t="str">
        <f t="shared" si="6"/>
        <v>Gap to CSA level</v>
      </c>
      <c r="AB40" s="7" t="str">
        <f t="shared" si="7"/>
        <v>Not Compliant</v>
      </c>
      <c r="AC40" s="7" t="str">
        <f t="shared" si="8"/>
        <v>Not Compliant</v>
      </c>
      <c r="AD40" s="7" t="str">
        <f t="shared" si="9"/>
        <v>No mapped framework fully compliant</v>
      </c>
      <c r="AE40" s="7" t="s">
        <v>97</v>
      </c>
      <c r="AF40" s="7"/>
      <c r="AG40" s="7" t="str">
        <f>IFERROR(VLOOKUP($C40,Evidence_Library!$A$2:$C$13,2,FALSE),"Control-specific policy/procedure, implementation record, sample evidence, and monitoring proof.")</f>
        <v>Monitoring strategy; model performance dashboards; drift/bias monitoring; security logs; alert rules; KPI/KRI reporting; incident tickets; periodic review records.</v>
      </c>
      <c r="AH40" s="7" t="str">
        <f>IFERROR(VLOOKUP($C40,Evidence_Library!$A$2:$C$13,3,FALSE),"Inspect design, sample implementation evidence, interview owner, and verify operating effectiveness.")</f>
        <v>Review monitoring coverage for sampled systems; verify alerts trigger and are triaged; inspect monitoring dashboards and evidence that issues drive corrective action.</v>
      </c>
      <c r="AI40" s="7" t="s">
        <v>98</v>
      </c>
      <c r="AJ40" s="7"/>
      <c r="AK40" s="7"/>
      <c r="AL40" s="7"/>
      <c r="AM40" s="7" t="s">
        <v>96</v>
      </c>
      <c r="AN40" s="7"/>
    </row>
    <row r="41" spans="1:40" ht="384">
      <c r="A41" s="7" t="s">
        <v>356</v>
      </c>
      <c r="B41" s="7" t="s">
        <v>416</v>
      </c>
      <c r="C41" s="7" t="s">
        <v>358</v>
      </c>
      <c r="D41" s="7" t="s">
        <v>171</v>
      </c>
      <c r="E41" s="7" t="s">
        <v>417</v>
      </c>
      <c r="F41" s="7" t="s">
        <v>418</v>
      </c>
      <c r="G41" s="7" t="s">
        <v>124</v>
      </c>
      <c r="H41" s="7" t="s">
        <v>84</v>
      </c>
      <c r="I41" s="7" t="s">
        <v>419</v>
      </c>
      <c r="J41" s="7" t="s">
        <v>420</v>
      </c>
      <c r="K41" s="7" t="s">
        <v>421</v>
      </c>
      <c r="L41" s="7" t="s">
        <v>88</v>
      </c>
      <c r="M41" s="7" t="s">
        <v>422</v>
      </c>
      <c r="N41" s="7" t="s">
        <v>423</v>
      </c>
      <c r="O41" s="7" t="s">
        <v>208</v>
      </c>
      <c r="P41" s="7" t="s">
        <v>108</v>
      </c>
      <c r="Q41" s="7" t="s">
        <v>92</v>
      </c>
      <c r="R41" s="7" t="s">
        <v>424</v>
      </c>
      <c r="S41" s="7" t="s">
        <v>94</v>
      </c>
      <c r="T41" s="7" t="s">
        <v>95</v>
      </c>
      <c r="U41" s="7"/>
      <c r="V41" s="7"/>
      <c r="W41" s="7" t="s">
        <v>96</v>
      </c>
      <c r="X41" s="7">
        <v>0</v>
      </c>
      <c r="Y41" s="7">
        <v>3</v>
      </c>
      <c r="Z41" s="7">
        <f t="shared" si="5"/>
        <v>3</v>
      </c>
      <c r="AA41" s="7" t="str">
        <f t="shared" si="6"/>
        <v>Gap to CSA level</v>
      </c>
      <c r="AB41" s="7" t="str">
        <f t="shared" si="7"/>
        <v>Not Compliant</v>
      </c>
      <c r="AC41" s="7" t="str">
        <f t="shared" si="8"/>
        <v>Not Compliant</v>
      </c>
      <c r="AD41" s="7" t="str">
        <f t="shared" si="9"/>
        <v>No mapped framework fully compliant</v>
      </c>
      <c r="AE41" s="7" t="s">
        <v>97</v>
      </c>
      <c r="AF41" s="7"/>
      <c r="AG41" s="7" t="str">
        <f>IFERROR(VLOOKUP($C41,Evidence_Library!$A$2:$C$13,2,FALSE),"Control-specific policy/procedure, implementation record, sample evidence, and monitoring proof.")</f>
        <v>Monitoring strategy; model performance dashboards; drift/bias monitoring; security logs; alert rules; KPI/KRI reporting; incident tickets; periodic review records.</v>
      </c>
      <c r="AH41" s="7" t="str">
        <f>IFERROR(VLOOKUP($C41,Evidence_Library!$A$2:$C$13,3,FALSE),"Inspect design, sample implementation evidence, interview owner, and verify operating effectiveness.")</f>
        <v>Review monitoring coverage for sampled systems; verify alerts trigger and are triaged; inspect monitoring dashboards and evidence that issues drive corrective action.</v>
      </c>
      <c r="AI41" s="7" t="s">
        <v>98</v>
      </c>
      <c r="AJ41" s="7"/>
      <c r="AK41" s="7"/>
      <c r="AL41" s="7"/>
      <c r="AM41" s="7" t="s">
        <v>96</v>
      </c>
      <c r="AN41" s="7"/>
    </row>
    <row r="42" spans="1:40" ht="210">
      <c r="A42" s="7" t="s">
        <v>425</v>
      </c>
      <c r="B42" s="7" t="s">
        <v>426</v>
      </c>
      <c r="C42" s="7" t="s">
        <v>427</v>
      </c>
      <c r="D42" s="7" t="s">
        <v>80</v>
      </c>
      <c r="E42" s="7" t="s">
        <v>428</v>
      </c>
      <c r="F42" s="7" t="s">
        <v>429</v>
      </c>
      <c r="G42" s="7" t="s">
        <v>124</v>
      </c>
      <c r="H42" s="7" t="s">
        <v>430</v>
      </c>
      <c r="I42" s="7" t="s">
        <v>431</v>
      </c>
      <c r="J42" s="7" t="s">
        <v>432</v>
      </c>
      <c r="K42" s="7" t="s">
        <v>433</v>
      </c>
      <c r="L42" s="7" t="s">
        <v>88</v>
      </c>
      <c r="M42" s="7" t="s">
        <v>434</v>
      </c>
      <c r="N42" s="7" t="s">
        <v>435</v>
      </c>
      <c r="O42" s="7" t="s">
        <v>107</v>
      </c>
      <c r="P42" s="7" t="s">
        <v>141</v>
      </c>
      <c r="Q42" s="7" t="s">
        <v>92</v>
      </c>
      <c r="R42" s="7" t="s">
        <v>436</v>
      </c>
      <c r="S42" s="7" t="s">
        <v>94</v>
      </c>
      <c r="T42" s="7" t="s">
        <v>95</v>
      </c>
      <c r="U42" s="7"/>
      <c r="V42" s="7"/>
      <c r="W42" s="7" t="s">
        <v>96</v>
      </c>
      <c r="X42" s="7">
        <v>0</v>
      </c>
      <c r="Y42" s="7">
        <v>3</v>
      </c>
      <c r="Z42" s="7">
        <f t="shared" si="5"/>
        <v>3</v>
      </c>
      <c r="AA42" s="7" t="str">
        <f t="shared" si="6"/>
        <v>Gap to CSA level</v>
      </c>
      <c r="AB42" s="7" t="str">
        <f t="shared" si="7"/>
        <v>Not Compliant</v>
      </c>
      <c r="AC42" s="7" t="str">
        <f t="shared" si="8"/>
        <v>Not Compliant</v>
      </c>
      <c r="AD42" s="7" t="str">
        <f t="shared" si="9"/>
        <v>No mapped framework fully compliant</v>
      </c>
      <c r="AE42" s="7" t="s">
        <v>97</v>
      </c>
      <c r="AF42" s="7"/>
      <c r="AG42" s="7" t="str">
        <f>IFERROR(VLOOKUP($C42,Evidence_Library!$A$2:$C$13,2,FALSE),"Control-specific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42" s="7" t="str">
        <f>IFERROR(VLOOKUP($C42,Evidence_Library!$A$2:$C$13,3,FALSE),"Inspect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42" s="7" t="s">
        <v>98</v>
      </c>
      <c r="AJ42" s="7"/>
      <c r="AK42" s="7"/>
      <c r="AL42" s="7"/>
      <c r="AM42" s="7" t="s">
        <v>96</v>
      </c>
      <c r="AN42" s="7"/>
    </row>
    <row r="43" spans="1:40" ht="409.6">
      <c r="A43" s="7" t="s">
        <v>425</v>
      </c>
      <c r="B43" s="7" t="s">
        <v>437</v>
      </c>
      <c r="C43" s="7" t="s">
        <v>427</v>
      </c>
      <c r="D43" s="7" t="s">
        <v>80</v>
      </c>
      <c r="E43" s="7" t="s">
        <v>438</v>
      </c>
      <c r="F43" s="7" t="s">
        <v>439</v>
      </c>
      <c r="G43" s="7" t="s">
        <v>135</v>
      </c>
      <c r="H43" s="7" t="s">
        <v>440</v>
      </c>
      <c r="I43" s="7" t="s">
        <v>441</v>
      </c>
      <c r="J43" s="7" t="s">
        <v>442</v>
      </c>
      <c r="K43" s="7" t="s">
        <v>443</v>
      </c>
      <c r="L43" s="7" t="s">
        <v>208</v>
      </c>
      <c r="M43" s="7" t="s">
        <v>444</v>
      </c>
      <c r="N43" s="7" t="s">
        <v>445</v>
      </c>
      <c r="O43" s="7" t="s">
        <v>107</v>
      </c>
      <c r="P43" s="7" t="s">
        <v>108</v>
      </c>
      <c r="Q43" s="7" t="s">
        <v>92</v>
      </c>
      <c r="R43" s="7" t="s">
        <v>446</v>
      </c>
      <c r="S43" s="7" t="s">
        <v>94</v>
      </c>
      <c r="T43" s="7" t="s">
        <v>95</v>
      </c>
      <c r="U43" s="7"/>
      <c r="V43" s="7"/>
      <c r="W43" s="7" t="s">
        <v>96</v>
      </c>
      <c r="X43" s="7">
        <v>0</v>
      </c>
      <c r="Y43" s="7">
        <v>3</v>
      </c>
      <c r="Z43" s="7">
        <f t="shared" si="5"/>
        <v>3</v>
      </c>
      <c r="AA43" s="7" t="str">
        <f t="shared" si="6"/>
        <v>Gap to CSA level</v>
      </c>
      <c r="AB43" s="7" t="str">
        <f t="shared" si="7"/>
        <v>Not Compliant</v>
      </c>
      <c r="AC43" s="7" t="str">
        <f t="shared" si="8"/>
        <v>Not Compliant</v>
      </c>
      <c r="AD43" s="7" t="str">
        <f t="shared" si="9"/>
        <v>No mapped framework fully compliant</v>
      </c>
      <c r="AE43" s="7" t="s">
        <v>97</v>
      </c>
      <c r="AF43" s="7"/>
      <c r="AG43" s="7" t="str">
        <f>IFERROR(VLOOKUP($C43,Evidence_Library!$A$2:$C$13,2,FALSE),"Control-specific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43" s="7" t="str">
        <f>IFERROR(VLOOKUP($C43,Evidence_Library!$A$2:$C$13,3,FALSE),"Inspect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43" s="7" t="s">
        <v>98</v>
      </c>
      <c r="AJ43" s="7"/>
      <c r="AK43" s="7"/>
      <c r="AL43" s="7"/>
      <c r="AM43" s="7" t="s">
        <v>96</v>
      </c>
      <c r="AN43" s="7"/>
    </row>
    <row r="44" spans="1:40" ht="409.6">
      <c r="A44" s="7" t="s">
        <v>425</v>
      </c>
      <c r="B44" s="7" t="s">
        <v>447</v>
      </c>
      <c r="C44" s="7" t="s">
        <v>427</v>
      </c>
      <c r="D44" s="7" t="s">
        <v>111</v>
      </c>
      <c r="E44" s="7" t="s">
        <v>448</v>
      </c>
      <c r="F44" s="7" t="s">
        <v>449</v>
      </c>
      <c r="G44" s="7" t="s">
        <v>135</v>
      </c>
      <c r="H44" s="7" t="s">
        <v>440</v>
      </c>
      <c r="I44" s="7" t="s">
        <v>450</v>
      </c>
      <c r="J44" s="7" t="s">
        <v>442</v>
      </c>
      <c r="K44" s="7" t="s">
        <v>443</v>
      </c>
      <c r="L44" s="7" t="s">
        <v>208</v>
      </c>
      <c r="M44" s="7" t="s">
        <v>451</v>
      </c>
      <c r="N44" s="7" t="s">
        <v>452</v>
      </c>
      <c r="O44" s="7" t="s">
        <v>107</v>
      </c>
      <c r="P44" s="7" t="s">
        <v>108</v>
      </c>
      <c r="Q44" s="7" t="s">
        <v>92</v>
      </c>
      <c r="R44" s="7" t="s">
        <v>453</v>
      </c>
      <c r="S44" s="7" t="s">
        <v>94</v>
      </c>
      <c r="T44" s="7" t="s">
        <v>95</v>
      </c>
      <c r="U44" s="7"/>
      <c r="V44" s="7"/>
      <c r="W44" s="7" t="s">
        <v>96</v>
      </c>
      <c r="X44" s="7">
        <v>0</v>
      </c>
      <c r="Y44" s="7">
        <v>3</v>
      </c>
      <c r="Z44" s="7">
        <f t="shared" si="5"/>
        <v>3</v>
      </c>
      <c r="AA44" s="7" t="str">
        <f t="shared" si="6"/>
        <v>Gap to CSA level</v>
      </c>
      <c r="AB44" s="7" t="str">
        <f t="shared" si="7"/>
        <v>Not Compliant</v>
      </c>
      <c r="AC44" s="7" t="str">
        <f t="shared" si="8"/>
        <v>Not Compliant</v>
      </c>
      <c r="AD44" s="7" t="str">
        <f t="shared" si="9"/>
        <v>No mapped framework fully compliant</v>
      </c>
      <c r="AE44" s="7" t="s">
        <v>97</v>
      </c>
      <c r="AF44" s="7"/>
      <c r="AG44" s="7" t="str">
        <f>IFERROR(VLOOKUP($C44,Evidence_Library!$A$2:$C$13,2,FALSE),"Control-specific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44" s="7" t="str">
        <f>IFERROR(VLOOKUP($C44,Evidence_Library!$A$2:$C$13,3,FALSE),"Inspect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44" s="7" t="s">
        <v>98</v>
      </c>
      <c r="AJ44" s="7"/>
      <c r="AK44" s="7"/>
      <c r="AL44" s="7"/>
      <c r="AM44" s="7" t="s">
        <v>96</v>
      </c>
      <c r="AN44" s="7"/>
    </row>
    <row r="45" spans="1:40" ht="90">
      <c r="A45" s="7" t="s">
        <v>425</v>
      </c>
      <c r="B45" s="7" t="s">
        <v>454</v>
      </c>
      <c r="C45" s="7" t="s">
        <v>427</v>
      </c>
      <c r="D45" s="7" t="s">
        <v>111</v>
      </c>
      <c r="E45" s="7" t="s">
        <v>455</v>
      </c>
      <c r="F45" s="7" t="s">
        <v>456</v>
      </c>
      <c r="G45" s="7" t="s">
        <v>135</v>
      </c>
      <c r="H45" s="7" t="s">
        <v>440</v>
      </c>
      <c r="I45" s="7" t="s">
        <v>457</v>
      </c>
      <c r="J45" s="7" t="s">
        <v>458</v>
      </c>
      <c r="K45" s="7" t="s">
        <v>459</v>
      </c>
      <c r="L45" s="7" t="s">
        <v>88</v>
      </c>
      <c r="M45" s="7" t="s">
        <v>460</v>
      </c>
      <c r="N45" s="7" t="s">
        <v>461</v>
      </c>
      <c r="O45" s="7" t="s">
        <v>107</v>
      </c>
      <c r="P45" s="7" t="s">
        <v>108</v>
      </c>
      <c r="Q45" s="7" t="s">
        <v>92</v>
      </c>
      <c r="R45" s="7" t="s">
        <v>462</v>
      </c>
      <c r="S45" s="7" t="s">
        <v>94</v>
      </c>
      <c r="T45" s="7" t="s">
        <v>95</v>
      </c>
      <c r="U45" s="7"/>
      <c r="V45" s="7"/>
      <c r="W45" s="7" t="s">
        <v>96</v>
      </c>
      <c r="X45" s="7">
        <v>0</v>
      </c>
      <c r="Y45" s="7">
        <v>3</v>
      </c>
      <c r="Z45" s="7">
        <f t="shared" si="5"/>
        <v>3</v>
      </c>
      <c r="AA45" s="7" t="str">
        <f t="shared" si="6"/>
        <v>Gap to CSA level</v>
      </c>
      <c r="AB45" s="7" t="str">
        <f t="shared" si="7"/>
        <v>Not Compliant</v>
      </c>
      <c r="AC45" s="7" t="str">
        <f t="shared" si="8"/>
        <v>Not Compliant</v>
      </c>
      <c r="AD45" s="7" t="str">
        <f t="shared" si="9"/>
        <v>No mapped framework fully compliant</v>
      </c>
      <c r="AE45" s="7" t="s">
        <v>97</v>
      </c>
      <c r="AF45" s="7"/>
      <c r="AG45" s="7" t="str">
        <f>IFERROR(VLOOKUP($C45,Evidence_Library!$A$2:$C$13,2,FALSE),"Control-specific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45" s="7" t="str">
        <f>IFERROR(VLOOKUP($C45,Evidence_Library!$A$2:$C$13,3,FALSE),"Inspect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45" s="7" t="s">
        <v>98</v>
      </c>
      <c r="AJ45" s="7"/>
      <c r="AK45" s="7"/>
      <c r="AL45" s="7"/>
      <c r="AM45" s="7" t="s">
        <v>96</v>
      </c>
      <c r="AN45" s="7"/>
    </row>
    <row r="46" spans="1:40" ht="409.6">
      <c r="A46" s="7" t="s">
        <v>425</v>
      </c>
      <c r="B46" s="7" t="s">
        <v>463</v>
      </c>
      <c r="C46" s="7" t="s">
        <v>427</v>
      </c>
      <c r="D46" s="7" t="s">
        <v>111</v>
      </c>
      <c r="E46" s="7" t="s">
        <v>464</v>
      </c>
      <c r="F46" s="7" t="s">
        <v>465</v>
      </c>
      <c r="G46" s="7" t="s">
        <v>135</v>
      </c>
      <c r="H46" s="7" t="s">
        <v>466</v>
      </c>
      <c r="I46" s="7" t="s">
        <v>467</v>
      </c>
      <c r="J46" s="7" t="s">
        <v>442</v>
      </c>
      <c r="K46" s="7" t="s">
        <v>443</v>
      </c>
      <c r="L46" s="7" t="s">
        <v>208</v>
      </c>
      <c r="M46" s="7" t="s">
        <v>468</v>
      </c>
      <c r="N46" s="7" t="s">
        <v>469</v>
      </c>
      <c r="O46" s="7" t="s">
        <v>107</v>
      </c>
      <c r="P46" s="7" t="s">
        <v>141</v>
      </c>
      <c r="Q46" s="7" t="s">
        <v>92</v>
      </c>
      <c r="R46" s="7" t="s">
        <v>470</v>
      </c>
      <c r="S46" s="7" t="s">
        <v>94</v>
      </c>
      <c r="T46" s="7" t="s">
        <v>95</v>
      </c>
      <c r="U46" s="7"/>
      <c r="V46" s="7"/>
      <c r="W46" s="7" t="s">
        <v>96</v>
      </c>
      <c r="X46" s="7">
        <v>0</v>
      </c>
      <c r="Y46" s="7">
        <v>3</v>
      </c>
      <c r="Z46" s="7">
        <f t="shared" si="5"/>
        <v>3</v>
      </c>
      <c r="AA46" s="7" t="str">
        <f t="shared" si="6"/>
        <v>Gap to CSA level</v>
      </c>
      <c r="AB46" s="7" t="str">
        <f t="shared" si="7"/>
        <v>Not Compliant</v>
      </c>
      <c r="AC46" s="7" t="str">
        <f t="shared" si="8"/>
        <v>Not Compliant</v>
      </c>
      <c r="AD46" s="7" t="str">
        <f t="shared" si="9"/>
        <v>No mapped framework fully compliant</v>
      </c>
      <c r="AE46" s="7" t="s">
        <v>97</v>
      </c>
      <c r="AF46" s="7"/>
      <c r="AG46" s="7" t="str">
        <f>IFERROR(VLOOKUP($C46,Evidence_Library!$A$2:$C$13,2,FALSE),"Control-specific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46" s="7" t="str">
        <f>IFERROR(VLOOKUP($C46,Evidence_Library!$A$2:$C$13,3,FALSE),"Inspect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46" s="7" t="s">
        <v>98</v>
      </c>
      <c r="AJ46" s="7"/>
      <c r="AK46" s="7"/>
      <c r="AL46" s="7"/>
      <c r="AM46" s="7" t="s">
        <v>96</v>
      </c>
      <c r="AN46" s="7"/>
    </row>
    <row r="47" spans="1:40" ht="409.6">
      <c r="A47" s="7" t="s">
        <v>425</v>
      </c>
      <c r="B47" s="7" t="s">
        <v>471</v>
      </c>
      <c r="C47" s="7" t="s">
        <v>427</v>
      </c>
      <c r="D47" s="7" t="s">
        <v>144</v>
      </c>
      <c r="E47" s="7" t="s">
        <v>472</v>
      </c>
      <c r="F47" s="7" t="s">
        <v>473</v>
      </c>
      <c r="G47" s="7" t="s">
        <v>135</v>
      </c>
      <c r="H47" s="7" t="s">
        <v>474</v>
      </c>
      <c r="I47" s="7" t="s">
        <v>475</v>
      </c>
      <c r="J47" s="7" t="s">
        <v>442</v>
      </c>
      <c r="K47" s="7" t="s">
        <v>443</v>
      </c>
      <c r="L47" s="7" t="s">
        <v>208</v>
      </c>
      <c r="M47" s="7" t="s">
        <v>476</v>
      </c>
      <c r="N47" s="7" t="s">
        <v>477</v>
      </c>
      <c r="O47" s="7" t="s">
        <v>107</v>
      </c>
      <c r="P47" s="7" t="s">
        <v>478</v>
      </c>
      <c r="Q47" s="7" t="s">
        <v>92</v>
      </c>
      <c r="R47" s="7" t="s">
        <v>479</v>
      </c>
      <c r="S47" s="7" t="s">
        <v>94</v>
      </c>
      <c r="T47" s="7" t="s">
        <v>95</v>
      </c>
      <c r="U47" s="7"/>
      <c r="V47" s="7"/>
      <c r="W47" s="7" t="s">
        <v>96</v>
      </c>
      <c r="X47" s="7">
        <v>0</v>
      </c>
      <c r="Y47" s="7">
        <v>3</v>
      </c>
      <c r="Z47" s="7">
        <f t="shared" si="5"/>
        <v>3</v>
      </c>
      <c r="AA47" s="7" t="str">
        <f t="shared" si="6"/>
        <v>Gap to CSA level</v>
      </c>
      <c r="AB47" s="7" t="str">
        <f t="shared" si="7"/>
        <v>Not Compliant</v>
      </c>
      <c r="AC47" s="7" t="str">
        <f t="shared" si="8"/>
        <v>Not Compliant</v>
      </c>
      <c r="AD47" s="7" t="str">
        <f t="shared" si="9"/>
        <v>No mapped framework fully compliant</v>
      </c>
      <c r="AE47" s="7" t="s">
        <v>97</v>
      </c>
      <c r="AF47" s="7"/>
      <c r="AG47" s="7" t="str">
        <f>IFERROR(VLOOKUP($C47,Evidence_Library!$A$2:$C$13,2,FALSE),"Control-specific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47" s="7" t="str">
        <f>IFERROR(VLOOKUP($C47,Evidence_Library!$A$2:$C$13,3,FALSE),"Inspect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47" s="7" t="s">
        <v>98</v>
      </c>
      <c r="AJ47" s="7"/>
      <c r="AK47" s="7"/>
      <c r="AL47" s="7"/>
      <c r="AM47" s="7" t="s">
        <v>96</v>
      </c>
      <c r="AN47" s="7"/>
    </row>
    <row r="48" spans="1:40" ht="409.6">
      <c r="A48" s="7" t="s">
        <v>425</v>
      </c>
      <c r="B48" s="7" t="s">
        <v>480</v>
      </c>
      <c r="C48" s="7" t="s">
        <v>427</v>
      </c>
      <c r="D48" s="7" t="s">
        <v>144</v>
      </c>
      <c r="E48" s="7" t="s">
        <v>481</v>
      </c>
      <c r="F48" s="7" t="s">
        <v>482</v>
      </c>
      <c r="G48" s="7" t="s">
        <v>135</v>
      </c>
      <c r="H48" s="7" t="s">
        <v>440</v>
      </c>
      <c r="I48" s="7" t="s">
        <v>483</v>
      </c>
      <c r="J48" s="7" t="s">
        <v>442</v>
      </c>
      <c r="K48" s="7" t="s">
        <v>443</v>
      </c>
      <c r="L48" s="7" t="s">
        <v>208</v>
      </c>
      <c r="M48" s="7" t="s">
        <v>232</v>
      </c>
      <c r="N48" s="7" t="s">
        <v>233</v>
      </c>
      <c r="O48" s="7" t="s">
        <v>107</v>
      </c>
      <c r="P48" s="7" t="s">
        <v>108</v>
      </c>
      <c r="Q48" s="7" t="s">
        <v>92</v>
      </c>
      <c r="R48" s="7" t="s">
        <v>484</v>
      </c>
      <c r="S48" s="7" t="s">
        <v>94</v>
      </c>
      <c r="T48" s="7" t="s">
        <v>95</v>
      </c>
      <c r="U48" s="7"/>
      <c r="V48" s="7"/>
      <c r="W48" s="7" t="s">
        <v>96</v>
      </c>
      <c r="X48" s="7">
        <v>0</v>
      </c>
      <c r="Y48" s="7">
        <v>3</v>
      </c>
      <c r="Z48" s="7">
        <f t="shared" si="5"/>
        <v>3</v>
      </c>
      <c r="AA48" s="7" t="str">
        <f t="shared" si="6"/>
        <v>Gap to CSA level</v>
      </c>
      <c r="AB48" s="7" t="str">
        <f t="shared" si="7"/>
        <v>Not Compliant</v>
      </c>
      <c r="AC48" s="7" t="str">
        <f t="shared" si="8"/>
        <v>Not Compliant</v>
      </c>
      <c r="AD48" s="7" t="str">
        <f t="shared" si="9"/>
        <v>No mapped framework fully compliant</v>
      </c>
      <c r="AE48" s="7" t="s">
        <v>97</v>
      </c>
      <c r="AF48" s="7"/>
      <c r="AG48" s="7" t="str">
        <f>IFERROR(VLOOKUP($C48,Evidence_Library!$A$2:$C$13,2,FALSE),"Control-specific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48" s="7" t="str">
        <f>IFERROR(VLOOKUP($C48,Evidence_Library!$A$2:$C$13,3,FALSE),"Inspect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48" s="7" t="s">
        <v>98</v>
      </c>
      <c r="AJ48" s="7"/>
      <c r="AK48" s="7"/>
      <c r="AL48" s="7"/>
      <c r="AM48" s="7" t="s">
        <v>96</v>
      </c>
      <c r="AN48" s="7"/>
    </row>
    <row r="49" spans="1:40" ht="135">
      <c r="A49" s="7" t="s">
        <v>425</v>
      </c>
      <c r="B49" s="7" t="s">
        <v>485</v>
      </c>
      <c r="C49" s="7" t="s">
        <v>427</v>
      </c>
      <c r="D49" s="7" t="s">
        <v>144</v>
      </c>
      <c r="E49" s="7" t="s">
        <v>486</v>
      </c>
      <c r="F49" s="7" t="s">
        <v>487</v>
      </c>
      <c r="G49" s="7" t="s">
        <v>124</v>
      </c>
      <c r="H49" s="7" t="s">
        <v>488</v>
      </c>
      <c r="I49" s="7" t="s">
        <v>489</v>
      </c>
      <c r="J49" s="7" t="s">
        <v>260</v>
      </c>
      <c r="K49" s="7" t="s">
        <v>261</v>
      </c>
      <c r="L49" s="7" t="s">
        <v>88</v>
      </c>
      <c r="M49" s="7" t="s">
        <v>286</v>
      </c>
      <c r="N49" s="7" t="s">
        <v>287</v>
      </c>
      <c r="O49" s="7" t="s">
        <v>107</v>
      </c>
      <c r="P49" s="7" t="s">
        <v>108</v>
      </c>
      <c r="Q49" s="7" t="s">
        <v>92</v>
      </c>
      <c r="R49" s="7" t="s">
        <v>490</v>
      </c>
      <c r="S49" s="7" t="s">
        <v>94</v>
      </c>
      <c r="T49" s="7" t="s">
        <v>95</v>
      </c>
      <c r="U49" s="7"/>
      <c r="V49" s="7"/>
      <c r="W49" s="7" t="s">
        <v>96</v>
      </c>
      <c r="X49" s="7">
        <v>0</v>
      </c>
      <c r="Y49" s="7">
        <v>3</v>
      </c>
      <c r="Z49" s="7">
        <f t="shared" si="5"/>
        <v>3</v>
      </c>
      <c r="AA49" s="7" t="str">
        <f t="shared" si="6"/>
        <v>Gap to CSA level</v>
      </c>
      <c r="AB49" s="7" t="str">
        <f t="shared" si="7"/>
        <v>Not Compliant</v>
      </c>
      <c r="AC49" s="7" t="str">
        <f t="shared" si="8"/>
        <v>Not Compliant</v>
      </c>
      <c r="AD49" s="7" t="str">
        <f t="shared" si="9"/>
        <v>No mapped framework fully compliant</v>
      </c>
      <c r="AE49" s="7" t="s">
        <v>97</v>
      </c>
      <c r="AF49" s="7"/>
      <c r="AG49" s="7" t="str">
        <f>IFERROR(VLOOKUP($C49,Evidence_Library!$A$2:$C$13,2,FALSE),"Control-specific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49" s="7" t="str">
        <f>IFERROR(VLOOKUP($C49,Evidence_Library!$A$2:$C$13,3,FALSE),"Inspect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49" s="7" t="s">
        <v>98</v>
      </c>
      <c r="AJ49" s="7"/>
      <c r="AK49" s="7"/>
      <c r="AL49" s="7"/>
      <c r="AM49" s="7" t="s">
        <v>96</v>
      </c>
      <c r="AN49" s="7"/>
    </row>
    <row r="50" spans="1:40" ht="409.6">
      <c r="A50" s="7" t="s">
        <v>425</v>
      </c>
      <c r="B50" s="7" t="s">
        <v>491</v>
      </c>
      <c r="C50" s="7" t="s">
        <v>427</v>
      </c>
      <c r="D50" s="7" t="s">
        <v>144</v>
      </c>
      <c r="E50" s="7" t="s">
        <v>492</v>
      </c>
      <c r="F50" s="7" t="s">
        <v>493</v>
      </c>
      <c r="G50" s="7" t="s">
        <v>135</v>
      </c>
      <c r="H50" s="7" t="s">
        <v>494</v>
      </c>
      <c r="I50" s="7" t="s">
        <v>495</v>
      </c>
      <c r="J50" s="7" t="s">
        <v>442</v>
      </c>
      <c r="K50" s="7" t="s">
        <v>443</v>
      </c>
      <c r="L50" s="7" t="s">
        <v>208</v>
      </c>
      <c r="M50" s="7" t="s">
        <v>444</v>
      </c>
      <c r="N50" s="7" t="s">
        <v>445</v>
      </c>
      <c r="O50" s="7" t="s">
        <v>107</v>
      </c>
      <c r="P50" s="7" t="s">
        <v>108</v>
      </c>
      <c r="Q50" s="7" t="s">
        <v>92</v>
      </c>
      <c r="R50" s="7" t="s">
        <v>496</v>
      </c>
      <c r="S50" s="7" t="s">
        <v>94</v>
      </c>
      <c r="T50" s="7" t="s">
        <v>95</v>
      </c>
      <c r="U50" s="7"/>
      <c r="V50" s="7"/>
      <c r="W50" s="7" t="s">
        <v>96</v>
      </c>
      <c r="X50" s="7">
        <v>0</v>
      </c>
      <c r="Y50" s="7">
        <v>3</v>
      </c>
      <c r="Z50" s="7">
        <f t="shared" si="5"/>
        <v>3</v>
      </c>
      <c r="AA50" s="7" t="str">
        <f t="shared" si="6"/>
        <v>Gap to CSA level</v>
      </c>
      <c r="AB50" s="7" t="str">
        <f t="shared" si="7"/>
        <v>Not Compliant</v>
      </c>
      <c r="AC50" s="7" t="str">
        <f t="shared" si="8"/>
        <v>Not Compliant</v>
      </c>
      <c r="AD50" s="7" t="str">
        <f t="shared" si="9"/>
        <v>No mapped framework fully compliant</v>
      </c>
      <c r="AE50" s="7" t="s">
        <v>97</v>
      </c>
      <c r="AF50" s="7"/>
      <c r="AG50" s="7" t="str">
        <f>IFERROR(VLOOKUP($C50,Evidence_Library!$A$2:$C$13,2,FALSE),"Control-specific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50" s="7" t="str">
        <f>IFERROR(VLOOKUP($C50,Evidence_Library!$A$2:$C$13,3,FALSE),"Inspect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50" s="7" t="s">
        <v>98</v>
      </c>
      <c r="AJ50" s="7"/>
      <c r="AK50" s="7"/>
      <c r="AL50" s="7"/>
      <c r="AM50" s="7" t="s">
        <v>96</v>
      </c>
      <c r="AN50" s="7"/>
    </row>
    <row r="51" spans="1:40" ht="409.6">
      <c r="A51" s="7" t="s">
        <v>425</v>
      </c>
      <c r="B51" s="7" t="s">
        <v>497</v>
      </c>
      <c r="C51" s="7" t="s">
        <v>427</v>
      </c>
      <c r="D51" s="7" t="s">
        <v>171</v>
      </c>
      <c r="E51" s="7" t="s">
        <v>498</v>
      </c>
      <c r="F51" s="7" t="s">
        <v>499</v>
      </c>
      <c r="G51" s="7" t="s">
        <v>135</v>
      </c>
      <c r="H51" s="7" t="s">
        <v>500</v>
      </c>
      <c r="I51" s="7" t="s">
        <v>501</v>
      </c>
      <c r="J51" s="7" t="s">
        <v>442</v>
      </c>
      <c r="K51" s="7" t="s">
        <v>443</v>
      </c>
      <c r="L51" s="7" t="s">
        <v>208</v>
      </c>
      <c r="M51" s="7" t="s">
        <v>444</v>
      </c>
      <c r="N51" s="7" t="s">
        <v>445</v>
      </c>
      <c r="O51" s="7" t="s">
        <v>107</v>
      </c>
      <c r="P51" s="7" t="s">
        <v>108</v>
      </c>
      <c r="Q51" s="7" t="s">
        <v>92</v>
      </c>
      <c r="R51" s="7" t="s">
        <v>496</v>
      </c>
      <c r="S51" s="7" t="s">
        <v>94</v>
      </c>
      <c r="T51" s="7" t="s">
        <v>95</v>
      </c>
      <c r="U51" s="7"/>
      <c r="V51" s="7"/>
      <c r="W51" s="7" t="s">
        <v>96</v>
      </c>
      <c r="X51" s="7">
        <v>0</v>
      </c>
      <c r="Y51" s="7">
        <v>3</v>
      </c>
      <c r="Z51" s="7">
        <f t="shared" si="5"/>
        <v>3</v>
      </c>
      <c r="AA51" s="7" t="str">
        <f t="shared" si="6"/>
        <v>Gap to CSA level</v>
      </c>
      <c r="AB51" s="7" t="str">
        <f t="shared" si="7"/>
        <v>Not Compliant</v>
      </c>
      <c r="AC51" s="7" t="str">
        <f t="shared" si="8"/>
        <v>Not Compliant</v>
      </c>
      <c r="AD51" s="7" t="str">
        <f t="shared" si="9"/>
        <v>No mapped framework fully compliant</v>
      </c>
      <c r="AE51" s="7" t="s">
        <v>97</v>
      </c>
      <c r="AF51" s="7"/>
      <c r="AG51" s="7" t="str">
        <f>IFERROR(VLOOKUP($C51,Evidence_Library!$A$2:$C$13,2,FALSE),"Control-specific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51" s="7" t="str">
        <f>IFERROR(VLOOKUP($C51,Evidence_Library!$A$2:$C$13,3,FALSE),"Inspect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51" s="7" t="s">
        <v>98</v>
      </c>
      <c r="AJ51" s="7"/>
      <c r="AK51" s="7"/>
      <c r="AL51" s="7"/>
      <c r="AM51" s="7" t="s">
        <v>96</v>
      </c>
      <c r="AN51" s="7"/>
    </row>
    <row r="52" spans="1:40" ht="409.6">
      <c r="A52" s="7" t="s">
        <v>425</v>
      </c>
      <c r="B52" s="7" t="s">
        <v>502</v>
      </c>
      <c r="C52" s="7" t="s">
        <v>427</v>
      </c>
      <c r="D52" s="7" t="s">
        <v>171</v>
      </c>
      <c r="E52" s="7" t="s">
        <v>503</v>
      </c>
      <c r="F52" s="7" t="s">
        <v>504</v>
      </c>
      <c r="G52" s="7" t="s">
        <v>135</v>
      </c>
      <c r="H52" s="7" t="s">
        <v>505</v>
      </c>
      <c r="I52" s="7" t="s">
        <v>506</v>
      </c>
      <c r="J52" s="7" t="s">
        <v>442</v>
      </c>
      <c r="K52" s="7" t="s">
        <v>443</v>
      </c>
      <c r="L52" s="7" t="s">
        <v>208</v>
      </c>
      <c r="M52" s="7" t="s">
        <v>507</v>
      </c>
      <c r="N52" s="7" t="s">
        <v>508</v>
      </c>
      <c r="O52" s="7" t="s">
        <v>107</v>
      </c>
      <c r="P52" s="7" t="s">
        <v>108</v>
      </c>
      <c r="Q52" s="7" t="s">
        <v>92</v>
      </c>
      <c r="R52" s="7" t="s">
        <v>509</v>
      </c>
      <c r="S52" s="7" t="s">
        <v>94</v>
      </c>
      <c r="T52" s="7" t="s">
        <v>95</v>
      </c>
      <c r="U52" s="7"/>
      <c r="V52" s="7"/>
      <c r="W52" s="7" t="s">
        <v>96</v>
      </c>
      <c r="X52" s="7">
        <v>0</v>
      </c>
      <c r="Y52" s="7">
        <v>3</v>
      </c>
      <c r="Z52" s="7">
        <f t="shared" si="5"/>
        <v>3</v>
      </c>
      <c r="AA52" s="7" t="str">
        <f t="shared" si="6"/>
        <v>Gap to CSA level</v>
      </c>
      <c r="AB52" s="7" t="str">
        <f t="shared" si="7"/>
        <v>Not Compliant</v>
      </c>
      <c r="AC52" s="7" t="str">
        <f t="shared" si="8"/>
        <v>Not Compliant</v>
      </c>
      <c r="AD52" s="7" t="str">
        <f t="shared" si="9"/>
        <v>No mapped framework fully compliant</v>
      </c>
      <c r="AE52" s="7" t="s">
        <v>97</v>
      </c>
      <c r="AF52" s="7"/>
      <c r="AG52" s="7" t="str">
        <f>IFERROR(VLOOKUP($C52,Evidence_Library!$A$2:$C$13,2,FALSE),"Control-specific policy/procedure, implementation record, sample evidence, and monitoring proof.")</f>
        <v>Architecture diagrams; cloud/security baseline; network segmentation; encryption configuration; key management evidence; vulnerability scans; hardening standards; backup/DR test results.</v>
      </c>
      <c r="AH52" s="7" t="str">
        <f>IFERROR(VLOOKUP($C52,Evidence_Library!$A$2:$C$13,3,FALSE),"Inspect design, sample implementation evidence, interview owner, and verify operating effectiveness.")</f>
        <v>Inspect infrastructure baseline; sample cloud resources and endpoints; verify encryption, logging, segmentation, vulnerability remediation, backup, and recovery testing evidence.</v>
      </c>
      <c r="AI52" s="7" t="s">
        <v>98</v>
      </c>
      <c r="AJ52" s="7"/>
      <c r="AK52" s="7"/>
      <c r="AL52" s="7"/>
      <c r="AM52" s="7" t="s">
        <v>96</v>
      </c>
      <c r="AN52" s="7"/>
    </row>
    <row r="53" spans="1:40" ht="135">
      <c r="A53" s="7" t="s">
        <v>510</v>
      </c>
      <c r="B53" s="7" t="s">
        <v>511</v>
      </c>
      <c r="C53" s="7" t="s">
        <v>512</v>
      </c>
      <c r="D53" s="7" t="s">
        <v>80</v>
      </c>
      <c r="E53" s="7" t="s">
        <v>513</v>
      </c>
      <c r="F53" s="7" t="s">
        <v>514</v>
      </c>
      <c r="G53" s="7" t="s">
        <v>83</v>
      </c>
      <c r="H53" s="7" t="s">
        <v>84</v>
      </c>
      <c r="I53" s="7" t="s">
        <v>515</v>
      </c>
      <c r="J53" s="7" t="s">
        <v>195</v>
      </c>
      <c r="K53" s="7" t="s">
        <v>196</v>
      </c>
      <c r="L53" s="7" t="s">
        <v>88</v>
      </c>
      <c r="M53" s="7" t="s">
        <v>247</v>
      </c>
      <c r="N53" s="7" t="s">
        <v>248</v>
      </c>
      <c r="O53" s="7" t="s">
        <v>107</v>
      </c>
      <c r="P53" s="7" t="s">
        <v>130</v>
      </c>
      <c r="Q53" s="7" t="s">
        <v>92</v>
      </c>
      <c r="R53" s="7" t="s">
        <v>516</v>
      </c>
      <c r="S53" s="7" t="s">
        <v>94</v>
      </c>
      <c r="T53" s="7" t="s">
        <v>95</v>
      </c>
      <c r="U53" s="7"/>
      <c r="V53" s="7"/>
      <c r="W53" s="7" t="s">
        <v>96</v>
      </c>
      <c r="X53" s="7">
        <v>0</v>
      </c>
      <c r="Y53" s="7">
        <v>3</v>
      </c>
      <c r="Z53" s="7">
        <f t="shared" si="5"/>
        <v>3</v>
      </c>
      <c r="AA53" s="7" t="str">
        <f t="shared" si="6"/>
        <v>Gap to CSA level</v>
      </c>
      <c r="AB53" s="7" t="str">
        <f t="shared" si="7"/>
        <v>Not Compliant</v>
      </c>
      <c r="AC53" s="7" t="str">
        <f t="shared" si="8"/>
        <v>Not Compliant</v>
      </c>
      <c r="AD53" s="7" t="str">
        <f t="shared" si="9"/>
        <v>No mapped framework fully compliant</v>
      </c>
      <c r="AE53" s="7" t="s">
        <v>97</v>
      </c>
      <c r="AF53" s="7"/>
      <c r="AG53" s="7" t="str">
        <f>IFERROR(VLOOKUP($C53,Evidence_Library!$A$2:$C$13,2,FALSE),"Control-specific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53" s="7" t="str">
        <f>IFERROR(VLOOKUP($C53,Evidence_Library!$A$2:$C$13,3,FALSE),"Inspect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53" s="7" t="s">
        <v>98</v>
      </c>
      <c r="AJ53" s="7"/>
      <c r="AK53" s="7"/>
      <c r="AL53" s="7"/>
      <c r="AM53" s="7" t="s">
        <v>96</v>
      </c>
      <c r="AN53" s="7"/>
    </row>
    <row r="54" spans="1:40" ht="409.6">
      <c r="A54" s="7" t="s">
        <v>510</v>
      </c>
      <c r="B54" s="7" t="s">
        <v>517</v>
      </c>
      <c r="C54" s="7" t="s">
        <v>512</v>
      </c>
      <c r="D54" s="7" t="s">
        <v>80</v>
      </c>
      <c r="E54" s="7" t="s">
        <v>518</v>
      </c>
      <c r="F54" s="7" t="s">
        <v>519</v>
      </c>
      <c r="G54" s="7" t="s">
        <v>83</v>
      </c>
      <c r="H54" s="7" t="s">
        <v>84</v>
      </c>
      <c r="I54" s="7" t="s">
        <v>520</v>
      </c>
      <c r="J54" s="7" t="s">
        <v>521</v>
      </c>
      <c r="K54" s="7" t="s">
        <v>522</v>
      </c>
      <c r="L54" s="7" t="s">
        <v>208</v>
      </c>
      <c r="M54" s="7" t="s">
        <v>247</v>
      </c>
      <c r="N54" s="7" t="s">
        <v>248</v>
      </c>
      <c r="O54" s="7" t="s">
        <v>107</v>
      </c>
      <c r="P54" s="7" t="s">
        <v>108</v>
      </c>
      <c r="Q54" s="7" t="s">
        <v>92</v>
      </c>
      <c r="R54" s="7" t="s">
        <v>523</v>
      </c>
      <c r="S54" s="7" t="s">
        <v>94</v>
      </c>
      <c r="T54" s="7" t="s">
        <v>95</v>
      </c>
      <c r="U54" s="7"/>
      <c r="V54" s="7"/>
      <c r="W54" s="7" t="s">
        <v>96</v>
      </c>
      <c r="X54" s="7">
        <v>0</v>
      </c>
      <c r="Y54" s="7">
        <v>3</v>
      </c>
      <c r="Z54" s="7">
        <f t="shared" si="5"/>
        <v>3</v>
      </c>
      <c r="AA54" s="7" t="str">
        <f t="shared" si="6"/>
        <v>Gap to CSA level</v>
      </c>
      <c r="AB54" s="7" t="str">
        <f t="shared" si="7"/>
        <v>Not Compliant</v>
      </c>
      <c r="AC54" s="7" t="str">
        <f t="shared" si="8"/>
        <v>Not Compliant</v>
      </c>
      <c r="AD54" s="7" t="str">
        <f t="shared" si="9"/>
        <v>No mapped framework fully compliant</v>
      </c>
      <c r="AE54" s="7" t="s">
        <v>97</v>
      </c>
      <c r="AF54" s="7"/>
      <c r="AG54" s="7" t="str">
        <f>IFERROR(VLOOKUP($C54,Evidence_Library!$A$2:$C$13,2,FALSE),"Control-specific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54" s="7" t="str">
        <f>IFERROR(VLOOKUP($C54,Evidence_Library!$A$2:$C$13,3,FALSE),"Inspect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54" s="7" t="s">
        <v>98</v>
      </c>
      <c r="AJ54" s="7"/>
      <c r="AK54" s="7"/>
      <c r="AL54" s="7"/>
      <c r="AM54" s="7" t="s">
        <v>96</v>
      </c>
      <c r="AN54" s="7"/>
    </row>
    <row r="55" spans="1:40" ht="409.6">
      <c r="A55" s="7" t="s">
        <v>510</v>
      </c>
      <c r="B55" s="7" t="s">
        <v>524</v>
      </c>
      <c r="C55" s="7" t="s">
        <v>512</v>
      </c>
      <c r="D55" s="7" t="s">
        <v>111</v>
      </c>
      <c r="E55" s="7" t="s">
        <v>525</v>
      </c>
      <c r="F55" s="7" t="s">
        <v>526</v>
      </c>
      <c r="G55" s="7" t="s">
        <v>83</v>
      </c>
      <c r="H55" s="7" t="s">
        <v>84</v>
      </c>
      <c r="I55" s="7" t="s">
        <v>527</v>
      </c>
      <c r="J55" s="7" t="s">
        <v>521</v>
      </c>
      <c r="K55" s="7" t="s">
        <v>522</v>
      </c>
      <c r="L55" s="7" t="s">
        <v>208</v>
      </c>
      <c r="M55" s="7" t="s">
        <v>528</v>
      </c>
      <c r="N55" s="7" t="s">
        <v>529</v>
      </c>
      <c r="O55" s="7" t="s">
        <v>107</v>
      </c>
      <c r="P55" s="7" t="s">
        <v>108</v>
      </c>
      <c r="Q55" s="7" t="s">
        <v>92</v>
      </c>
      <c r="R55" s="7" t="s">
        <v>530</v>
      </c>
      <c r="S55" s="7" t="s">
        <v>94</v>
      </c>
      <c r="T55" s="7" t="s">
        <v>95</v>
      </c>
      <c r="U55" s="7"/>
      <c r="V55" s="7"/>
      <c r="W55" s="7" t="s">
        <v>96</v>
      </c>
      <c r="X55" s="7">
        <v>0</v>
      </c>
      <c r="Y55" s="7">
        <v>3</v>
      </c>
      <c r="Z55" s="7">
        <f t="shared" si="5"/>
        <v>3</v>
      </c>
      <c r="AA55" s="7" t="str">
        <f t="shared" si="6"/>
        <v>Gap to CSA level</v>
      </c>
      <c r="AB55" s="7" t="str">
        <f t="shared" si="7"/>
        <v>Not Compliant</v>
      </c>
      <c r="AC55" s="7" t="str">
        <f t="shared" si="8"/>
        <v>Not Compliant</v>
      </c>
      <c r="AD55" s="7" t="str">
        <f t="shared" si="9"/>
        <v>No mapped framework fully compliant</v>
      </c>
      <c r="AE55" s="7" t="s">
        <v>97</v>
      </c>
      <c r="AF55" s="7"/>
      <c r="AG55" s="7" t="str">
        <f>IFERROR(VLOOKUP($C55,Evidence_Library!$A$2:$C$13,2,FALSE),"Control-specific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55" s="7" t="str">
        <f>IFERROR(VLOOKUP($C55,Evidence_Library!$A$2:$C$13,3,FALSE),"Inspect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55" s="7" t="s">
        <v>98</v>
      </c>
      <c r="AJ55" s="7"/>
      <c r="AK55" s="7"/>
      <c r="AL55" s="7"/>
      <c r="AM55" s="7" t="s">
        <v>96</v>
      </c>
      <c r="AN55" s="7"/>
    </row>
    <row r="56" spans="1:40" ht="409.6">
      <c r="A56" s="7" t="s">
        <v>510</v>
      </c>
      <c r="B56" s="7" t="s">
        <v>531</v>
      </c>
      <c r="C56" s="7" t="s">
        <v>512</v>
      </c>
      <c r="D56" s="7" t="s">
        <v>111</v>
      </c>
      <c r="E56" s="7" t="s">
        <v>532</v>
      </c>
      <c r="F56" s="7" t="s">
        <v>533</v>
      </c>
      <c r="G56" s="7" t="s">
        <v>135</v>
      </c>
      <c r="H56" s="7" t="s">
        <v>84</v>
      </c>
      <c r="I56" s="7" t="s">
        <v>534</v>
      </c>
      <c r="J56" s="7" t="s">
        <v>521</v>
      </c>
      <c r="K56" s="7" t="s">
        <v>522</v>
      </c>
      <c r="L56" s="7" t="s">
        <v>208</v>
      </c>
      <c r="M56" s="7" t="s">
        <v>247</v>
      </c>
      <c r="N56" s="7" t="s">
        <v>248</v>
      </c>
      <c r="O56" s="7" t="s">
        <v>107</v>
      </c>
      <c r="P56" s="7" t="s">
        <v>108</v>
      </c>
      <c r="Q56" s="7" t="s">
        <v>92</v>
      </c>
      <c r="R56" s="7" t="s">
        <v>535</v>
      </c>
      <c r="S56" s="7" t="s">
        <v>94</v>
      </c>
      <c r="T56" s="7" t="s">
        <v>95</v>
      </c>
      <c r="U56" s="7"/>
      <c r="V56" s="7"/>
      <c r="W56" s="7" t="s">
        <v>96</v>
      </c>
      <c r="X56" s="7">
        <v>0</v>
      </c>
      <c r="Y56" s="7">
        <v>3</v>
      </c>
      <c r="Z56" s="7">
        <f t="shared" si="5"/>
        <v>3</v>
      </c>
      <c r="AA56" s="7" t="str">
        <f t="shared" si="6"/>
        <v>Gap to CSA level</v>
      </c>
      <c r="AB56" s="7" t="str">
        <f t="shared" si="7"/>
        <v>Not Compliant</v>
      </c>
      <c r="AC56" s="7" t="str">
        <f t="shared" si="8"/>
        <v>Not Compliant</v>
      </c>
      <c r="AD56" s="7" t="str">
        <f t="shared" si="9"/>
        <v>No mapped framework fully compliant</v>
      </c>
      <c r="AE56" s="7" t="s">
        <v>97</v>
      </c>
      <c r="AF56" s="7"/>
      <c r="AG56" s="7" t="str">
        <f>IFERROR(VLOOKUP($C56,Evidence_Library!$A$2:$C$13,2,FALSE),"Control-specific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56" s="7" t="str">
        <f>IFERROR(VLOOKUP($C56,Evidence_Library!$A$2:$C$13,3,FALSE),"Inspect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56" s="7" t="s">
        <v>98</v>
      </c>
      <c r="AJ56" s="7"/>
      <c r="AK56" s="7"/>
      <c r="AL56" s="7"/>
      <c r="AM56" s="7" t="s">
        <v>96</v>
      </c>
      <c r="AN56" s="7"/>
    </row>
    <row r="57" spans="1:40" ht="210">
      <c r="A57" s="7" t="s">
        <v>510</v>
      </c>
      <c r="B57" s="7" t="s">
        <v>536</v>
      </c>
      <c r="C57" s="7" t="s">
        <v>512</v>
      </c>
      <c r="D57" s="7" t="s">
        <v>111</v>
      </c>
      <c r="E57" s="7" t="s">
        <v>537</v>
      </c>
      <c r="F57" s="7" t="s">
        <v>538</v>
      </c>
      <c r="G57" s="7" t="s">
        <v>135</v>
      </c>
      <c r="H57" s="7" t="s">
        <v>84</v>
      </c>
      <c r="I57" s="7" t="s">
        <v>539</v>
      </c>
      <c r="J57" s="7" t="s">
        <v>409</v>
      </c>
      <c r="K57" s="7" t="s">
        <v>410</v>
      </c>
      <c r="L57" s="7" t="s">
        <v>88</v>
      </c>
      <c r="M57" s="7" t="s">
        <v>540</v>
      </c>
      <c r="N57" s="7" t="s">
        <v>541</v>
      </c>
      <c r="O57" s="7" t="s">
        <v>107</v>
      </c>
      <c r="P57" s="7" t="s">
        <v>199</v>
      </c>
      <c r="Q57" s="7" t="s">
        <v>92</v>
      </c>
      <c r="R57" s="7" t="s">
        <v>542</v>
      </c>
      <c r="S57" s="7" t="s">
        <v>94</v>
      </c>
      <c r="T57" s="7" t="s">
        <v>95</v>
      </c>
      <c r="U57" s="7"/>
      <c r="V57" s="7"/>
      <c r="W57" s="7" t="s">
        <v>96</v>
      </c>
      <c r="X57" s="7">
        <v>0</v>
      </c>
      <c r="Y57" s="7">
        <v>3</v>
      </c>
      <c r="Z57" s="7">
        <f t="shared" si="5"/>
        <v>3</v>
      </c>
      <c r="AA57" s="7" t="str">
        <f t="shared" si="6"/>
        <v>Gap to CSA level</v>
      </c>
      <c r="AB57" s="7" t="str">
        <f t="shared" si="7"/>
        <v>Not Compliant</v>
      </c>
      <c r="AC57" s="7" t="str">
        <f t="shared" si="8"/>
        <v>Not Compliant</v>
      </c>
      <c r="AD57" s="7" t="str">
        <f t="shared" si="9"/>
        <v>No mapped framework fully compliant</v>
      </c>
      <c r="AE57" s="7" t="s">
        <v>97</v>
      </c>
      <c r="AF57" s="7"/>
      <c r="AG57" s="7" t="str">
        <f>IFERROR(VLOOKUP($C57,Evidence_Library!$A$2:$C$13,2,FALSE),"Control-specific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57" s="7" t="str">
        <f>IFERROR(VLOOKUP($C57,Evidence_Library!$A$2:$C$13,3,FALSE),"Inspect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57" s="7" t="s">
        <v>98</v>
      </c>
      <c r="AJ57" s="7"/>
      <c r="AK57" s="7"/>
      <c r="AL57" s="7"/>
      <c r="AM57" s="7" t="s">
        <v>96</v>
      </c>
      <c r="AN57" s="7"/>
    </row>
    <row r="58" spans="1:40" ht="409.6">
      <c r="A58" s="7" t="s">
        <v>510</v>
      </c>
      <c r="B58" s="7" t="s">
        <v>543</v>
      </c>
      <c r="C58" s="7" t="s">
        <v>512</v>
      </c>
      <c r="D58" s="7" t="s">
        <v>144</v>
      </c>
      <c r="E58" s="7" t="s">
        <v>544</v>
      </c>
      <c r="F58" s="7" t="s">
        <v>545</v>
      </c>
      <c r="G58" s="7" t="s">
        <v>135</v>
      </c>
      <c r="H58" s="7" t="s">
        <v>546</v>
      </c>
      <c r="I58" s="7" t="s">
        <v>547</v>
      </c>
      <c r="J58" s="7" t="s">
        <v>521</v>
      </c>
      <c r="K58" s="7" t="s">
        <v>522</v>
      </c>
      <c r="L58" s="7" t="s">
        <v>208</v>
      </c>
      <c r="M58" s="7" t="s">
        <v>548</v>
      </c>
      <c r="N58" s="7" t="s">
        <v>549</v>
      </c>
      <c r="O58" s="7" t="s">
        <v>107</v>
      </c>
      <c r="P58" s="7" t="s">
        <v>108</v>
      </c>
      <c r="Q58" s="7" t="s">
        <v>92</v>
      </c>
      <c r="R58" s="7" t="s">
        <v>550</v>
      </c>
      <c r="S58" s="7" t="s">
        <v>94</v>
      </c>
      <c r="T58" s="7" t="s">
        <v>95</v>
      </c>
      <c r="U58" s="7"/>
      <c r="V58" s="7"/>
      <c r="W58" s="7" t="s">
        <v>96</v>
      </c>
      <c r="X58" s="7">
        <v>0</v>
      </c>
      <c r="Y58" s="7">
        <v>3</v>
      </c>
      <c r="Z58" s="7">
        <f t="shared" si="5"/>
        <v>3</v>
      </c>
      <c r="AA58" s="7" t="str">
        <f t="shared" si="6"/>
        <v>Gap to CSA level</v>
      </c>
      <c r="AB58" s="7" t="str">
        <f t="shared" si="7"/>
        <v>Not Compliant</v>
      </c>
      <c r="AC58" s="7" t="str">
        <f t="shared" si="8"/>
        <v>Not Compliant</v>
      </c>
      <c r="AD58" s="7" t="str">
        <f t="shared" si="9"/>
        <v>No mapped framework fully compliant</v>
      </c>
      <c r="AE58" s="7" t="s">
        <v>97</v>
      </c>
      <c r="AF58" s="7"/>
      <c r="AG58" s="7" t="str">
        <f>IFERROR(VLOOKUP($C58,Evidence_Library!$A$2:$C$13,2,FALSE),"Control-specific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58" s="7" t="str">
        <f>IFERROR(VLOOKUP($C58,Evidence_Library!$A$2:$C$13,3,FALSE),"Inspect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58" s="7" t="s">
        <v>98</v>
      </c>
      <c r="AJ58" s="7"/>
      <c r="AK58" s="7"/>
      <c r="AL58" s="7"/>
      <c r="AM58" s="7" t="s">
        <v>96</v>
      </c>
      <c r="AN58" s="7"/>
    </row>
    <row r="59" spans="1:40" ht="195">
      <c r="A59" s="7" t="s">
        <v>510</v>
      </c>
      <c r="B59" s="7" t="s">
        <v>551</v>
      </c>
      <c r="C59" s="7" t="s">
        <v>512</v>
      </c>
      <c r="D59" s="7" t="s">
        <v>144</v>
      </c>
      <c r="E59" s="7" t="s">
        <v>552</v>
      </c>
      <c r="F59" s="7" t="s">
        <v>553</v>
      </c>
      <c r="G59" s="7" t="s">
        <v>124</v>
      </c>
      <c r="H59" s="7" t="s">
        <v>554</v>
      </c>
      <c r="I59" s="7" t="s">
        <v>555</v>
      </c>
      <c r="J59" s="7" t="s">
        <v>362</v>
      </c>
      <c r="K59" s="7" t="s">
        <v>363</v>
      </c>
      <c r="L59" s="7" t="s">
        <v>88</v>
      </c>
      <c r="M59" s="7" t="s">
        <v>556</v>
      </c>
      <c r="N59" s="7" t="s">
        <v>557</v>
      </c>
      <c r="O59" s="7" t="s">
        <v>107</v>
      </c>
      <c r="P59" s="7" t="s">
        <v>108</v>
      </c>
      <c r="Q59" s="7" t="s">
        <v>92</v>
      </c>
      <c r="R59" s="7" t="s">
        <v>558</v>
      </c>
      <c r="S59" s="7" t="s">
        <v>94</v>
      </c>
      <c r="T59" s="7" t="s">
        <v>95</v>
      </c>
      <c r="U59" s="7"/>
      <c r="V59" s="7"/>
      <c r="W59" s="7" t="s">
        <v>96</v>
      </c>
      <c r="X59" s="7">
        <v>0</v>
      </c>
      <c r="Y59" s="7">
        <v>3</v>
      </c>
      <c r="Z59" s="7">
        <f t="shared" si="5"/>
        <v>3</v>
      </c>
      <c r="AA59" s="7" t="str">
        <f t="shared" si="6"/>
        <v>Gap to CSA level</v>
      </c>
      <c r="AB59" s="7" t="str">
        <f t="shared" si="7"/>
        <v>Not Compliant</v>
      </c>
      <c r="AC59" s="7" t="str">
        <f t="shared" si="8"/>
        <v>Not Compliant</v>
      </c>
      <c r="AD59" s="7" t="str">
        <f t="shared" si="9"/>
        <v>No mapped framework fully compliant</v>
      </c>
      <c r="AE59" s="7" t="s">
        <v>97</v>
      </c>
      <c r="AF59" s="7"/>
      <c r="AG59" s="7" t="str">
        <f>IFERROR(VLOOKUP($C59,Evidence_Library!$A$2:$C$13,2,FALSE),"Control-specific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59" s="7" t="str">
        <f>IFERROR(VLOOKUP($C59,Evidence_Library!$A$2:$C$13,3,FALSE),"Inspect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59" s="7" t="s">
        <v>98</v>
      </c>
      <c r="AJ59" s="7"/>
      <c r="AK59" s="7"/>
      <c r="AL59" s="7"/>
      <c r="AM59" s="7" t="s">
        <v>96</v>
      </c>
      <c r="AN59" s="7"/>
    </row>
    <row r="60" spans="1:40" ht="195">
      <c r="A60" s="7" t="s">
        <v>510</v>
      </c>
      <c r="B60" s="7" t="s">
        <v>559</v>
      </c>
      <c r="C60" s="7" t="s">
        <v>512</v>
      </c>
      <c r="D60" s="7" t="s">
        <v>144</v>
      </c>
      <c r="E60" s="7" t="s">
        <v>560</v>
      </c>
      <c r="F60" s="7" t="s">
        <v>561</v>
      </c>
      <c r="G60" s="7" t="s">
        <v>135</v>
      </c>
      <c r="H60" s="7" t="s">
        <v>562</v>
      </c>
      <c r="I60" s="7" t="s">
        <v>563</v>
      </c>
      <c r="J60" s="7" t="s">
        <v>564</v>
      </c>
      <c r="K60" s="7" t="s">
        <v>401</v>
      </c>
      <c r="L60" s="7" t="s">
        <v>88</v>
      </c>
      <c r="M60" s="7" t="s">
        <v>128</v>
      </c>
      <c r="N60" s="7" t="s">
        <v>129</v>
      </c>
      <c r="O60" s="7" t="s">
        <v>107</v>
      </c>
      <c r="P60" s="7" t="s">
        <v>199</v>
      </c>
      <c r="Q60" s="7" t="s">
        <v>92</v>
      </c>
      <c r="R60" s="7" t="s">
        <v>565</v>
      </c>
      <c r="S60" s="7" t="s">
        <v>94</v>
      </c>
      <c r="T60" s="7" t="s">
        <v>95</v>
      </c>
      <c r="U60" s="7"/>
      <c r="V60" s="7"/>
      <c r="W60" s="7" t="s">
        <v>96</v>
      </c>
      <c r="X60" s="7">
        <v>0</v>
      </c>
      <c r="Y60" s="7">
        <v>3</v>
      </c>
      <c r="Z60" s="7">
        <f t="shared" si="5"/>
        <v>3</v>
      </c>
      <c r="AA60" s="7" t="str">
        <f t="shared" si="6"/>
        <v>Gap to CSA level</v>
      </c>
      <c r="AB60" s="7" t="str">
        <f t="shared" si="7"/>
        <v>Not Compliant</v>
      </c>
      <c r="AC60" s="7" t="str">
        <f t="shared" si="8"/>
        <v>Not Compliant</v>
      </c>
      <c r="AD60" s="7" t="str">
        <f t="shared" si="9"/>
        <v>No mapped framework fully compliant</v>
      </c>
      <c r="AE60" s="7" t="s">
        <v>97</v>
      </c>
      <c r="AF60" s="7"/>
      <c r="AG60" s="7" t="str">
        <f>IFERROR(VLOOKUP($C60,Evidence_Library!$A$2:$C$13,2,FALSE),"Control-specific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60" s="7" t="str">
        <f>IFERROR(VLOOKUP($C60,Evidence_Library!$A$2:$C$13,3,FALSE),"Inspect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60" s="7" t="s">
        <v>98</v>
      </c>
      <c r="AJ60" s="7"/>
      <c r="AK60" s="7"/>
      <c r="AL60" s="7"/>
      <c r="AM60" s="7" t="s">
        <v>96</v>
      </c>
      <c r="AN60" s="7"/>
    </row>
    <row r="61" spans="1:40" ht="195">
      <c r="A61" s="7" t="s">
        <v>510</v>
      </c>
      <c r="B61" s="7" t="s">
        <v>566</v>
      </c>
      <c r="C61" s="7" t="s">
        <v>512</v>
      </c>
      <c r="D61" s="7" t="s">
        <v>171</v>
      </c>
      <c r="E61" s="7" t="s">
        <v>567</v>
      </c>
      <c r="F61" s="7" t="s">
        <v>568</v>
      </c>
      <c r="G61" s="7" t="s">
        <v>135</v>
      </c>
      <c r="H61" s="7" t="s">
        <v>569</v>
      </c>
      <c r="I61" s="7" t="s">
        <v>570</v>
      </c>
      <c r="J61" s="7" t="s">
        <v>362</v>
      </c>
      <c r="K61" s="7" t="s">
        <v>363</v>
      </c>
      <c r="L61" s="7" t="s">
        <v>88</v>
      </c>
      <c r="M61" s="7" t="s">
        <v>571</v>
      </c>
      <c r="N61" s="7" t="s">
        <v>572</v>
      </c>
      <c r="O61" s="7" t="s">
        <v>107</v>
      </c>
      <c r="P61" s="7" t="s">
        <v>130</v>
      </c>
      <c r="Q61" s="7" t="s">
        <v>92</v>
      </c>
      <c r="R61" s="7" t="s">
        <v>573</v>
      </c>
      <c r="S61" s="7" t="s">
        <v>94</v>
      </c>
      <c r="T61" s="7" t="s">
        <v>95</v>
      </c>
      <c r="U61" s="7"/>
      <c r="V61" s="7"/>
      <c r="W61" s="7" t="s">
        <v>96</v>
      </c>
      <c r="X61" s="7">
        <v>0</v>
      </c>
      <c r="Y61" s="7">
        <v>3</v>
      </c>
      <c r="Z61" s="7">
        <f t="shared" si="5"/>
        <v>3</v>
      </c>
      <c r="AA61" s="7" t="str">
        <f t="shared" si="6"/>
        <v>Gap to CSA level</v>
      </c>
      <c r="AB61" s="7" t="str">
        <f t="shared" si="7"/>
        <v>Not Compliant</v>
      </c>
      <c r="AC61" s="7" t="str">
        <f t="shared" si="8"/>
        <v>Not Compliant</v>
      </c>
      <c r="AD61" s="7" t="str">
        <f t="shared" si="9"/>
        <v>No mapped framework fully compliant</v>
      </c>
      <c r="AE61" s="7" t="s">
        <v>97</v>
      </c>
      <c r="AF61" s="7"/>
      <c r="AG61" s="7" t="str">
        <f>IFERROR(VLOOKUP($C61,Evidence_Library!$A$2:$C$13,2,FALSE),"Control-specific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61" s="7" t="str">
        <f>IFERROR(VLOOKUP($C61,Evidence_Library!$A$2:$C$13,3,FALSE),"Inspect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61" s="7" t="s">
        <v>98</v>
      </c>
      <c r="AJ61" s="7"/>
      <c r="AK61" s="7"/>
      <c r="AL61" s="7"/>
      <c r="AM61" s="7" t="s">
        <v>96</v>
      </c>
      <c r="AN61" s="7"/>
    </row>
    <row r="62" spans="1:40" ht="195">
      <c r="A62" s="7" t="s">
        <v>510</v>
      </c>
      <c r="B62" s="7" t="s">
        <v>574</v>
      </c>
      <c r="C62" s="7" t="s">
        <v>512</v>
      </c>
      <c r="D62" s="7" t="s">
        <v>171</v>
      </c>
      <c r="E62" s="7" t="s">
        <v>575</v>
      </c>
      <c r="F62" s="7" t="s">
        <v>576</v>
      </c>
      <c r="G62" s="7" t="s">
        <v>135</v>
      </c>
      <c r="H62" s="7" t="s">
        <v>577</v>
      </c>
      <c r="I62" s="7" t="s">
        <v>578</v>
      </c>
      <c r="J62" s="7" t="s">
        <v>579</v>
      </c>
      <c r="K62" s="7" t="s">
        <v>580</v>
      </c>
      <c r="L62" s="7" t="s">
        <v>88</v>
      </c>
      <c r="M62" s="7" t="s">
        <v>581</v>
      </c>
      <c r="N62" s="7" t="s">
        <v>582</v>
      </c>
      <c r="O62" s="7" t="s">
        <v>107</v>
      </c>
      <c r="P62" s="7" t="s">
        <v>119</v>
      </c>
      <c r="Q62" s="7" t="s">
        <v>92</v>
      </c>
      <c r="R62" s="7" t="s">
        <v>583</v>
      </c>
      <c r="S62" s="7" t="s">
        <v>94</v>
      </c>
      <c r="T62" s="7" t="s">
        <v>95</v>
      </c>
      <c r="U62" s="7"/>
      <c r="V62" s="7"/>
      <c r="W62" s="7" t="s">
        <v>96</v>
      </c>
      <c r="X62" s="7">
        <v>0</v>
      </c>
      <c r="Y62" s="7">
        <v>3</v>
      </c>
      <c r="Z62" s="7">
        <f t="shared" si="5"/>
        <v>3</v>
      </c>
      <c r="AA62" s="7" t="str">
        <f t="shared" si="6"/>
        <v>Gap to CSA level</v>
      </c>
      <c r="AB62" s="7" t="str">
        <f t="shared" si="7"/>
        <v>Not Compliant</v>
      </c>
      <c r="AC62" s="7" t="str">
        <f t="shared" si="8"/>
        <v>Not Compliant</v>
      </c>
      <c r="AD62" s="7" t="str">
        <f t="shared" si="9"/>
        <v>No mapped framework fully compliant</v>
      </c>
      <c r="AE62" s="7" t="s">
        <v>97</v>
      </c>
      <c r="AF62" s="7"/>
      <c r="AG62" s="7" t="str">
        <f>IFERROR(VLOOKUP($C62,Evidence_Library!$A$2:$C$13,2,FALSE),"Control-specific policy/procedure, implementation record, sample evidence, and monitoring proof.")</f>
        <v>Model documentation; model cards; evaluation results; bias/fairness testing; robustness and red-team reports; model version history; tuning/benchmark records; approval for model changes.</v>
      </c>
      <c r="AH62" s="7" t="str">
        <f>IFERROR(VLOOKUP($C62,Evidence_Library!$A$2:$C$13,3,FALSE),"Inspect design, sample implementation evidence, interview owner, and verify operating effectiveness.")</f>
        <v>Review sample model evidence; compare evaluation results to acceptance thresholds; verify versioning, change approvals, and monitoring handoff before production release.</v>
      </c>
      <c r="AI62" s="7" t="s">
        <v>98</v>
      </c>
      <c r="AJ62" s="7"/>
      <c r="AK62" s="7"/>
      <c r="AL62" s="7"/>
      <c r="AM62" s="7" t="s">
        <v>96</v>
      </c>
      <c r="AN62" s="7"/>
    </row>
    <row r="63" spans="1:40" ht="409.6">
      <c r="A63" s="7" t="s">
        <v>584</v>
      </c>
      <c r="B63" s="7" t="s">
        <v>585</v>
      </c>
      <c r="C63" s="7" t="s">
        <v>586</v>
      </c>
      <c r="D63" s="7" t="s">
        <v>80</v>
      </c>
      <c r="E63" s="7" t="s">
        <v>587</v>
      </c>
      <c r="F63" s="7" t="s">
        <v>588</v>
      </c>
      <c r="G63" s="7" t="s">
        <v>83</v>
      </c>
      <c r="H63" s="7" t="s">
        <v>84</v>
      </c>
      <c r="I63" s="7" t="s">
        <v>589</v>
      </c>
      <c r="J63" s="7" t="s">
        <v>590</v>
      </c>
      <c r="K63" s="7" t="s">
        <v>591</v>
      </c>
      <c r="L63" s="7" t="s">
        <v>208</v>
      </c>
      <c r="M63" s="7" t="s">
        <v>592</v>
      </c>
      <c r="N63" s="7" t="s">
        <v>593</v>
      </c>
      <c r="O63" s="7" t="s">
        <v>107</v>
      </c>
      <c r="P63" s="7" t="s">
        <v>130</v>
      </c>
      <c r="Q63" s="7" t="s">
        <v>92</v>
      </c>
      <c r="R63" s="7" t="s">
        <v>594</v>
      </c>
      <c r="S63" s="7" t="s">
        <v>94</v>
      </c>
      <c r="T63" s="7" t="s">
        <v>95</v>
      </c>
      <c r="U63" s="7"/>
      <c r="V63" s="7"/>
      <c r="W63" s="7" t="s">
        <v>96</v>
      </c>
      <c r="X63" s="7">
        <v>0</v>
      </c>
      <c r="Y63" s="7">
        <v>3</v>
      </c>
      <c r="Z63" s="7">
        <f t="shared" si="5"/>
        <v>3</v>
      </c>
      <c r="AA63" s="7" t="str">
        <f t="shared" si="6"/>
        <v>Gap to CSA level</v>
      </c>
      <c r="AB63" s="7" t="str">
        <f t="shared" si="7"/>
        <v>Not Compliant</v>
      </c>
      <c r="AC63" s="7" t="str">
        <f t="shared" si="8"/>
        <v>Not Compliant</v>
      </c>
      <c r="AD63" s="7" t="str">
        <f t="shared" si="9"/>
        <v>No mapped framework fully compliant</v>
      </c>
      <c r="AE63" s="7" t="s">
        <v>97</v>
      </c>
      <c r="AF63" s="7"/>
      <c r="AG63" s="7" t="str">
        <f>IFERROR(VLOOKUP($C63,Evidence_Library!$A$2:$C$13,2,FALSE),"Control-specific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63" s="7" t="str">
        <f>IFERROR(VLOOKUP($C63,Evidence_Library!$A$2:$C$13,3,FALSE),"Inspect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63" s="7" t="s">
        <v>98</v>
      </c>
      <c r="AJ63" s="7"/>
      <c r="AK63" s="7"/>
      <c r="AL63" s="7"/>
      <c r="AM63" s="7" t="s">
        <v>96</v>
      </c>
      <c r="AN63" s="7"/>
    </row>
    <row r="64" spans="1:40" ht="409.6">
      <c r="A64" s="7" t="s">
        <v>584</v>
      </c>
      <c r="B64" s="7" t="s">
        <v>595</v>
      </c>
      <c r="C64" s="7" t="s">
        <v>586</v>
      </c>
      <c r="D64" s="7" t="s">
        <v>80</v>
      </c>
      <c r="E64" s="7" t="s">
        <v>596</v>
      </c>
      <c r="F64" s="7" t="s">
        <v>597</v>
      </c>
      <c r="G64" s="7" t="s">
        <v>124</v>
      </c>
      <c r="H64" s="7" t="s">
        <v>84</v>
      </c>
      <c r="I64" s="7" t="s">
        <v>598</v>
      </c>
      <c r="J64" s="7" t="s">
        <v>590</v>
      </c>
      <c r="K64" s="7" t="s">
        <v>591</v>
      </c>
      <c r="L64" s="7" t="s">
        <v>208</v>
      </c>
      <c r="M64" s="7" t="s">
        <v>599</v>
      </c>
      <c r="N64" s="7" t="s">
        <v>600</v>
      </c>
      <c r="O64" s="7" t="s">
        <v>107</v>
      </c>
      <c r="P64" s="7" t="s">
        <v>108</v>
      </c>
      <c r="Q64" s="7" t="s">
        <v>92</v>
      </c>
      <c r="R64" s="7" t="s">
        <v>601</v>
      </c>
      <c r="S64" s="7" t="s">
        <v>94</v>
      </c>
      <c r="T64" s="7" t="s">
        <v>95</v>
      </c>
      <c r="U64" s="7"/>
      <c r="V64" s="7"/>
      <c r="W64" s="7" t="s">
        <v>96</v>
      </c>
      <c r="X64" s="7">
        <v>0</v>
      </c>
      <c r="Y64" s="7">
        <v>3</v>
      </c>
      <c r="Z64" s="7">
        <f t="shared" si="5"/>
        <v>3</v>
      </c>
      <c r="AA64" s="7" t="str">
        <f t="shared" si="6"/>
        <v>Gap to CSA level</v>
      </c>
      <c r="AB64" s="7" t="str">
        <f t="shared" si="7"/>
        <v>Not Compliant</v>
      </c>
      <c r="AC64" s="7" t="str">
        <f t="shared" si="8"/>
        <v>Not Compliant</v>
      </c>
      <c r="AD64" s="7" t="str">
        <f t="shared" si="9"/>
        <v>No mapped framework fully compliant</v>
      </c>
      <c r="AE64" s="7" t="s">
        <v>97</v>
      </c>
      <c r="AF64" s="7"/>
      <c r="AG64" s="7" t="str">
        <f>IFERROR(VLOOKUP($C64,Evidence_Library!$A$2:$C$13,2,FALSE),"Control-specific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64" s="7" t="str">
        <f>IFERROR(VLOOKUP($C64,Evidence_Library!$A$2:$C$13,3,FALSE),"Inspect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64" s="7" t="s">
        <v>98</v>
      </c>
      <c r="AJ64" s="7"/>
      <c r="AK64" s="7"/>
      <c r="AL64" s="7"/>
      <c r="AM64" s="7" t="s">
        <v>96</v>
      </c>
      <c r="AN64" s="7"/>
    </row>
    <row r="65" spans="1:40" ht="195">
      <c r="A65" s="7" t="s">
        <v>584</v>
      </c>
      <c r="B65" s="7" t="s">
        <v>602</v>
      </c>
      <c r="C65" s="7" t="s">
        <v>586</v>
      </c>
      <c r="D65" s="7" t="s">
        <v>111</v>
      </c>
      <c r="E65" s="7" t="s">
        <v>603</v>
      </c>
      <c r="F65" s="7" t="s">
        <v>604</v>
      </c>
      <c r="G65" s="7" t="s">
        <v>83</v>
      </c>
      <c r="H65" s="7" t="s">
        <v>84</v>
      </c>
      <c r="I65" s="7" t="s">
        <v>605</v>
      </c>
      <c r="J65" s="7" t="s">
        <v>277</v>
      </c>
      <c r="K65" s="7" t="s">
        <v>278</v>
      </c>
      <c r="L65" s="7" t="s">
        <v>88</v>
      </c>
      <c r="M65" s="7" t="s">
        <v>599</v>
      </c>
      <c r="N65" s="7" t="s">
        <v>600</v>
      </c>
      <c r="O65" s="7" t="s">
        <v>107</v>
      </c>
      <c r="P65" s="7" t="s">
        <v>108</v>
      </c>
      <c r="Q65" s="7" t="s">
        <v>92</v>
      </c>
      <c r="R65" s="7" t="s">
        <v>606</v>
      </c>
      <c r="S65" s="7" t="s">
        <v>94</v>
      </c>
      <c r="T65" s="7" t="s">
        <v>95</v>
      </c>
      <c r="U65" s="7"/>
      <c r="V65" s="7"/>
      <c r="W65" s="7" t="s">
        <v>96</v>
      </c>
      <c r="X65" s="7">
        <v>0</v>
      </c>
      <c r="Y65" s="7">
        <v>3</v>
      </c>
      <c r="Z65" s="7">
        <f t="shared" si="5"/>
        <v>3</v>
      </c>
      <c r="AA65" s="7" t="str">
        <f t="shared" si="6"/>
        <v>Gap to CSA level</v>
      </c>
      <c r="AB65" s="7" t="str">
        <f t="shared" si="7"/>
        <v>Not Compliant</v>
      </c>
      <c r="AC65" s="7" t="str">
        <f t="shared" si="8"/>
        <v>Not Compliant</v>
      </c>
      <c r="AD65" s="7" t="str">
        <f t="shared" si="9"/>
        <v>No mapped framework fully compliant</v>
      </c>
      <c r="AE65" s="7" t="s">
        <v>97</v>
      </c>
      <c r="AF65" s="7"/>
      <c r="AG65" s="7" t="str">
        <f>IFERROR(VLOOKUP($C65,Evidence_Library!$A$2:$C$13,2,FALSE),"Control-specific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65" s="7" t="str">
        <f>IFERROR(VLOOKUP($C65,Evidence_Library!$A$2:$C$13,3,FALSE),"Inspect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65" s="7" t="s">
        <v>98</v>
      </c>
      <c r="AJ65" s="7"/>
      <c r="AK65" s="7"/>
      <c r="AL65" s="7"/>
      <c r="AM65" s="7" t="s">
        <v>96</v>
      </c>
      <c r="AN65" s="7"/>
    </row>
    <row r="66" spans="1:40" ht="409.6">
      <c r="A66" s="7" t="s">
        <v>584</v>
      </c>
      <c r="B66" s="7" t="s">
        <v>607</v>
      </c>
      <c r="C66" s="7" t="s">
        <v>586</v>
      </c>
      <c r="D66" s="7" t="s">
        <v>111</v>
      </c>
      <c r="E66" s="7" t="s">
        <v>608</v>
      </c>
      <c r="F66" s="7" t="s">
        <v>609</v>
      </c>
      <c r="G66" s="7" t="s">
        <v>124</v>
      </c>
      <c r="H66" s="7" t="s">
        <v>84</v>
      </c>
      <c r="I66" s="7" t="s">
        <v>610</v>
      </c>
      <c r="J66" s="7" t="s">
        <v>590</v>
      </c>
      <c r="K66" s="7" t="s">
        <v>591</v>
      </c>
      <c r="L66" s="7" t="s">
        <v>208</v>
      </c>
      <c r="M66" s="7" t="s">
        <v>611</v>
      </c>
      <c r="N66" s="7" t="s">
        <v>612</v>
      </c>
      <c r="O66" s="7" t="s">
        <v>107</v>
      </c>
      <c r="P66" s="7" t="s">
        <v>108</v>
      </c>
      <c r="Q66" s="7" t="s">
        <v>92</v>
      </c>
      <c r="R66" s="7" t="s">
        <v>613</v>
      </c>
      <c r="S66" s="7" t="s">
        <v>94</v>
      </c>
      <c r="T66" s="7" t="s">
        <v>95</v>
      </c>
      <c r="U66" s="7"/>
      <c r="V66" s="7"/>
      <c r="W66" s="7" t="s">
        <v>96</v>
      </c>
      <c r="X66" s="7">
        <v>0</v>
      </c>
      <c r="Y66" s="7">
        <v>3</v>
      </c>
      <c r="Z66" s="7">
        <f t="shared" ref="Z66:Z97" si="10">IF($S66="No","N/A",MAX(0,$Y66-$X66))</f>
        <v>3</v>
      </c>
      <c r="AA66" s="7" t="str">
        <f t="shared" ref="AA66:AA97" si="11">IF($S66="No","N/A",IF($X66&gt;=VALUE($D66),"Meets CSA maturity","Gap to CSA level"))</f>
        <v>Gap to CSA level</v>
      </c>
      <c r="AB66" s="7" t="str">
        <f t="shared" ref="AB66:AB97" si="12">IF($S66="No","N/A",IF($J66="","Not Mapped",IF(AND($X66&gt;=3,$AE66="Validated"),"Compliant",IF($X66&gt;=1,"Partial","Not Compliant"))))</f>
        <v>Not Compliant</v>
      </c>
      <c r="AC66" s="7" t="str">
        <f t="shared" ref="AC66:AC97" si="13">IF($S66="No","N/A",IF($M66="","Not Mapped",IF(AND($X66&gt;=3,$AE66="Validated"),"Compliant",IF($X66&gt;=1,"Partial","Not Compliant"))))</f>
        <v>Not Compliant</v>
      </c>
      <c r="AD66" s="7" t="str">
        <f t="shared" ref="AD66:AD97" si="14">IF($S66="No","N/A",IF(AND($AA66="Meets CSA maturity",$AB66="Compliant",$AC66="Compliant"),"CSA + NIST + ISO",IF(AND($AA66="Meets CSA maturity",$AB66="Compliant"),"CSA + NIST",IF(AND($AA66="Meets CSA maturity",$AC66="Compliant"),"CSA + ISO",IF(AND($AB66="Compliant",$AC66="Compliant"),"NIST + ISO",IF($AA66="Meets CSA maturity","CSA only",IF($AB66="Compliant","NIST only",IF($AC66="Compliant","ISO only","No mapped framework fully compliant"))))))))</f>
        <v>No mapped framework fully compliant</v>
      </c>
      <c r="AE66" s="7" t="s">
        <v>97</v>
      </c>
      <c r="AF66" s="7"/>
      <c r="AG66" s="7" t="str">
        <f>IFERROR(VLOOKUP($C66,Evidence_Library!$A$2:$C$13,2,FALSE),"Control-specific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66" s="7" t="str">
        <f>IFERROR(VLOOKUP($C66,Evidence_Library!$A$2:$C$13,3,FALSE),"Inspect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66" s="7" t="s">
        <v>98</v>
      </c>
      <c r="AJ66" s="7"/>
      <c r="AK66" s="7"/>
      <c r="AL66" s="7"/>
      <c r="AM66" s="7" t="s">
        <v>96</v>
      </c>
      <c r="AN66" s="7"/>
    </row>
    <row r="67" spans="1:40" ht="409.6">
      <c r="A67" s="7" t="s">
        <v>584</v>
      </c>
      <c r="B67" s="7" t="s">
        <v>614</v>
      </c>
      <c r="C67" s="7" t="s">
        <v>586</v>
      </c>
      <c r="D67" s="7" t="s">
        <v>111</v>
      </c>
      <c r="E67" s="7" t="s">
        <v>615</v>
      </c>
      <c r="F67" s="7" t="s">
        <v>616</v>
      </c>
      <c r="G67" s="7" t="s">
        <v>124</v>
      </c>
      <c r="H67" s="7" t="s">
        <v>84</v>
      </c>
      <c r="I67" s="7" t="s">
        <v>617</v>
      </c>
      <c r="J67" s="7" t="s">
        <v>590</v>
      </c>
      <c r="K67" s="7" t="s">
        <v>591</v>
      </c>
      <c r="L67" s="7" t="s">
        <v>208</v>
      </c>
      <c r="M67" s="7" t="s">
        <v>286</v>
      </c>
      <c r="N67" s="7" t="s">
        <v>287</v>
      </c>
      <c r="O67" s="7" t="s">
        <v>107</v>
      </c>
      <c r="P67" s="7" t="s">
        <v>108</v>
      </c>
      <c r="Q67" s="7" t="s">
        <v>92</v>
      </c>
      <c r="R67" s="7" t="s">
        <v>618</v>
      </c>
      <c r="S67" s="7" t="s">
        <v>94</v>
      </c>
      <c r="T67" s="7" t="s">
        <v>95</v>
      </c>
      <c r="U67" s="7"/>
      <c r="V67" s="7"/>
      <c r="W67" s="7" t="s">
        <v>96</v>
      </c>
      <c r="X67" s="7">
        <v>0</v>
      </c>
      <c r="Y67" s="7">
        <v>3</v>
      </c>
      <c r="Z67" s="7">
        <f t="shared" si="10"/>
        <v>3</v>
      </c>
      <c r="AA67" s="7" t="str">
        <f t="shared" si="11"/>
        <v>Gap to CSA level</v>
      </c>
      <c r="AB67" s="7" t="str">
        <f t="shared" si="12"/>
        <v>Not Compliant</v>
      </c>
      <c r="AC67" s="7" t="str">
        <f t="shared" si="13"/>
        <v>Not Compliant</v>
      </c>
      <c r="AD67" s="7" t="str">
        <f t="shared" si="14"/>
        <v>No mapped framework fully compliant</v>
      </c>
      <c r="AE67" s="7" t="s">
        <v>97</v>
      </c>
      <c r="AF67" s="7"/>
      <c r="AG67" s="7" t="str">
        <f>IFERROR(VLOOKUP($C67,Evidence_Library!$A$2:$C$13,2,FALSE),"Control-specific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67" s="7" t="str">
        <f>IFERROR(VLOOKUP($C67,Evidence_Library!$A$2:$C$13,3,FALSE),"Inspect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67" s="7" t="s">
        <v>98</v>
      </c>
      <c r="AJ67" s="7"/>
      <c r="AK67" s="7"/>
      <c r="AL67" s="7"/>
      <c r="AM67" s="7" t="s">
        <v>96</v>
      </c>
      <c r="AN67" s="7"/>
    </row>
    <row r="68" spans="1:40" ht="210">
      <c r="A68" s="7" t="s">
        <v>584</v>
      </c>
      <c r="B68" s="7" t="s">
        <v>619</v>
      </c>
      <c r="C68" s="7" t="s">
        <v>586</v>
      </c>
      <c r="D68" s="7" t="s">
        <v>144</v>
      </c>
      <c r="E68" s="7" t="s">
        <v>620</v>
      </c>
      <c r="F68" s="7" t="s">
        <v>621</v>
      </c>
      <c r="G68" s="7" t="s">
        <v>135</v>
      </c>
      <c r="H68" s="7" t="s">
        <v>84</v>
      </c>
      <c r="I68" s="7" t="s">
        <v>622</v>
      </c>
      <c r="J68" s="7" t="s">
        <v>409</v>
      </c>
      <c r="K68" s="7" t="s">
        <v>410</v>
      </c>
      <c r="L68" s="7" t="s">
        <v>88</v>
      </c>
      <c r="M68" s="7" t="s">
        <v>149</v>
      </c>
      <c r="N68" s="7" t="s">
        <v>150</v>
      </c>
      <c r="O68" s="7" t="s">
        <v>107</v>
      </c>
      <c r="P68" s="7" t="s">
        <v>108</v>
      </c>
      <c r="Q68" s="7" t="s">
        <v>92</v>
      </c>
      <c r="R68" s="7" t="s">
        <v>623</v>
      </c>
      <c r="S68" s="7" t="s">
        <v>94</v>
      </c>
      <c r="T68" s="7" t="s">
        <v>95</v>
      </c>
      <c r="U68" s="7"/>
      <c r="V68" s="7"/>
      <c r="W68" s="7" t="s">
        <v>96</v>
      </c>
      <c r="X68" s="7">
        <v>0</v>
      </c>
      <c r="Y68" s="7">
        <v>3</v>
      </c>
      <c r="Z68" s="7">
        <f t="shared" si="10"/>
        <v>3</v>
      </c>
      <c r="AA68" s="7" t="str">
        <f t="shared" si="11"/>
        <v>Gap to CSA level</v>
      </c>
      <c r="AB68" s="7" t="str">
        <f t="shared" si="12"/>
        <v>Not Compliant</v>
      </c>
      <c r="AC68" s="7" t="str">
        <f t="shared" si="13"/>
        <v>Not Compliant</v>
      </c>
      <c r="AD68" s="7" t="str">
        <f t="shared" si="14"/>
        <v>No mapped framework fully compliant</v>
      </c>
      <c r="AE68" s="7" t="s">
        <v>97</v>
      </c>
      <c r="AF68" s="7"/>
      <c r="AG68" s="7" t="str">
        <f>IFERROR(VLOOKUP($C68,Evidence_Library!$A$2:$C$13,2,FALSE),"Control-specific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68" s="7" t="str">
        <f>IFERROR(VLOOKUP($C68,Evidence_Library!$A$2:$C$13,3,FALSE),"Inspect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68" s="7" t="s">
        <v>98</v>
      </c>
      <c r="AJ68" s="7"/>
      <c r="AK68" s="7"/>
      <c r="AL68" s="7"/>
      <c r="AM68" s="7" t="s">
        <v>96</v>
      </c>
      <c r="AN68" s="7"/>
    </row>
    <row r="69" spans="1:40" ht="409.6">
      <c r="A69" s="7" t="s">
        <v>584</v>
      </c>
      <c r="B69" s="7" t="s">
        <v>624</v>
      </c>
      <c r="C69" s="7" t="s">
        <v>586</v>
      </c>
      <c r="D69" s="7" t="s">
        <v>144</v>
      </c>
      <c r="E69" s="7" t="s">
        <v>625</v>
      </c>
      <c r="F69" s="7" t="s">
        <v>626</v>
      </c>
      <c r="G69" s="7" t="s">
        <v>135</v>
      </c>
      <c r="H69" s="7" t="s">
        <v>84</v>
      </c>
      <c r="I69" s="7" t="s">
        <v>627</v>
      </c>
      <c r="J69" s="7" t="s">
        <v>590</v>
      </c>
      <c r="K69" s="7" t="s">
        <v>591</v>
      </c>
      <c r="L69" s="7" t="s">
        <v>208</v>
      </c>
      <c r="M69" s="7" t="s">
        <v>262</v>
      </c>
      <c r="N69" s="7" t="s">
        <v>263</v>
      </c>
      <c r="O69" s="7" t="s">
        <v>107</v>
      </c>
      <c r="P69" s="7" t="s">
        <v>108</v>
      </c>
      <c r="Q69" s="7" t="s">
        <v>92</v>
      </c>
      <c r="R69" s="7" t="s">
        <v>628</v>
      </c>
      <c r="S69" s="7" t="s">
        <v>94</v>
      </c>
      <c r="T69" s="7" t="s">
        <v>95</v>
      </c>
      <c r="U69" s="7"/>
      <c r="V69" s="7"/>
      <c r="W69" s="7" t="s">
        <v>96</v>
      </c>
      <c r="X69" s="7">
        <v>0</v>
      </c>
      <c r="Y69" s="7">
        <v>3</v>
      </c>
      <c r="Z69" s="7">
        <f t="shared" si="10"/>
        <v>3</v>
      </c>
      <c r="AA69" s="7" t="str">
        <f t="shared" si="11"/>
        <v>Gap to CSA level</v>
      </c>
      <c r="AB69" s="7" t="str">
        <f t="shared" si="12"/>
        <v>Not Compliant</v>
      </c>
      <c r="AC69" s="7" t="str">
        <f t="shared" si="13"/>
        <v>Not Compliant</v>
      </c>
      <c r="AD69" s="7" t="str">
        <f t="shared" si="14"/>
        <v>No mapped framework fully compliant</v>
      </c>
      <c r="AE69" s="7" t="s">
        <v>97</v>
      </c>
      <c r="AF69" s="7"/>
      <c r="AG69" s="7" t="str">
        <f>IFERROR(VLOOKUP($C69,Evidence_Library!$A$2:$C$13,2,FALSE),"Control-specific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69" s="7" t="str">
        <f>IFERROR(VLOOKUP($C69,Evidence_Library!$A$2:$C$13,3,FALSE),"Inspect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69" s="7" t="s">
        <v>98</v>
      </c>
      <c r="AJ69" s="7"/>
      <c r="AK69" s="7"/>
      <c r="AL69" s="7"/>
      <c r="AM69" s="7" t="s">
        <v>96</v>
      </c>
      <c r="AN69" s="7"/>
    </row>
    <row r="70" spans="1:40" ht="195">
      <c r="A70" s="7" t="s">
        <v>584</v>
      </c>
      <c r="B70" s="7" t="s">
        <v>629</v>
      </c>
      <c r="C70" s="7" t="s">
        <v>586</v>
      </c>
      <c r="D70" s="7" t="s">
        <v>144</v>
      </c>
      <c r="E70" s="7" t="s">
        <v>630</v>
      </c>
      <c r="F70" s="7" t="s">
        <v>631</v>
      </c>
      <c r="G70" s="7" t="s">
        <v>135</v>
      </c>
      <c r="H70" s="7" t="s">
        <v>84</v>
      </c>
      <c r="I70" s="7" t="s">
        <v>632</v>
      </c>
      <c r="J70" s="7" t="s">
        <v>362</v>
      </c>
      <c r="K70" s="7" t="s">
        <v>363</v>
      </c>
      <c r="L70" s="7" t="s">
        <v>88</v>
      </c>
      <c r="M70" s="7" t="s">
        <v>599</v>
      </c>
      <c r="N70" s="7" t="s">
        <v>600</v>
      </c>
      <c r="O70" s="7" t="s">
        <v>107</v>
      </c>
      <c r="P70" s="7" t="s">
        <v>108</v>
      </c>
      <c r="Q70" s="7" t="s">
        <v>92</v>
      </c>
      <c r="R70" s="7" t="s">
        <v>633</v>
      </c>
      <c r="S70" s="7" t="s">
        <v>94</v>
      </c>
      <c r="T70" s="7" t="s">
        <v>95</v>
      </c>
      <c r="U70" s="7"/>
      <c r="V70" s="7"/>
      <c r="W70" s="7" t="s">
        <v>96</v>
      </c>
      <c r="X70" s="7">
        <v>0</v>
      </c>
      <c r="Y70" s="7">
        <v>3</v>
      </c>
      <c r="Z70" s="7">
        <f t="shared" si="10"/>
        <v>3</v>
      </c>
      <c r="AA70" s="7" t="str">
        <f t="shared" si="11"/>
        <v>Gap to CSA level</v>
      </c>
      <c r="AB70" s="7" t="str">
        <f t="shared" si="12"/>
        <v>Not Compliant</v>
      </c>
      <c r="AC70" s="7" t="str">
        <f t="shared" si="13"/>
        <v>Not Compliant</v>
      </c>
      <c r="AD70" s="7" t="str">
        <f t="shared" si="14"/>
        <v>No mapped framework fully compliant</v>
      </c>
      <c r="AE70" s="7" t="s">
        <v>97</v>
      </c>
      <c r="AF70" s="7"/>
      <c r="AG70" s="7" t="str">
        <f>IFERROR(VLOOKUP($C70,Evidence_Library!$A$2:$C$13,2,FALSE),"Control-specific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70" s="7" t="str">
        <f>IFERROR(VLOOKUP($C70,Evidence_Library!$A$2:$C$13,3,FALSE),"Inspect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70" s="7" t="s">
        <v>98</v>
      </c>
      <c r="AJ70" s="7"/>
      <c r="AK70" s="7"/>
      <c r="AL70" s="7"/>
      <c r="AM70" s="7" t="s">
        <v>96</v>
      </c>
      <c r="AN70" s="7"/>
    </row>
    <row r="71" spans="1:40" ht="90">
      <c r="A71" s="7" t="s">
        <v>584</v>
      </c>
      <c r="B71" s="7" t="s">
        <v>634</v>
      </c>
      <c r="C71" s="7" t="s">
        <v>586</v>
      </c>
      <c r="D71" s="7" t="s">
        <v>171</v>
      </c>
      <c r="E71" s="7" t="s">
        <v>635</v>
      </c>
      <c r="F71" s="7" t="s">
        <v>636</v>
      </c>
      <c r="G71" s="7" t="s">
        <v>135</v>
      </c>
      <c r="H71" s="7" t="s">
        <v>84</v>
      </c>
      <c r="I71" s="7" t="s">
        <v>637</v>
      </c>
      <c r="J71" s="7" t="s">
        <v>260</v>
      </c>
      <c r="K71" s="7" t="s">
        <v>261</v>
      </c>
      <c r="L71" s="7" t="s">
        <v>88</v>
      </c>
      <c r="M71" s="7" t="s">
        <v>149</v>
      </c>
      <c r="N71" s="7" t="s">
        <v>150</v>
      </c>
      <c r="O71" s="7" t="s">
        <v>107</v>
      </c>
      <c r="P71" s="7" t="s">
        <v>108</v>
      </c>
      <c r="Q71" s="7" t="s">
        <v>92</v>
      </c>
      <c r="R71" s="7" t="s">
        <v>638</v>
      </c>
      <c r="S71" s="7" t="s">
        <v>94</v>
      </c>
      <c r="T71" s="7" t="s">
        <v>95</v>
      </c>
      <c r="U71" s="7"/>
      <c r="V71" s="7"/>
      <c r="W71" s="7" t="s">
        <v>96</v>
      </c>
      <c r="X71" s="7">
        <v>0</v>
      </c>
      <c r="Y71" s="7">
        <v>3</v>
      </c>
      <c r="Z71" s="7">
        <f t="shared" si="10"/>
        <v>3</v>
      </c>
      <c r="AA71" s="7" t="str">
        <f t="shared" si="11"/>
        <v>Gap to CSA level</v>
      </c>
      <c r="AB71" s="7" t="str">
        <f t="shared" si="12"/>
        <v>Not Compliant</v>
      </c>
      <c r="AC71" s="7" t="str">
        <f t="shared" si="13"/>
        <v>Not Compliant</v>
      </c>
      <c r="AD71" s="7" t="str">
        <f t="shared" si="14"/>
        <v>No mapped framework fully compliant</v>
      </c>
      <c r="AE71" s="7" t="s">
        <v>97</v>
      </c>
      <c r="AF71" s="7"/>
      <c r="AG71" s="7" t="str">
        <f>IFERROR(VLOOKUP($C71,Evidence_Library!$A$2:$C$13,2,FALSE),"Control-specific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71" s="7" t="str">
        <f>IFERROR(VLOOKUP($C71,Evidence_Library!$A$2:$C$13,3,FALSE),"Inspect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71" s="7" t="s">
        <v>98</v>
      </c>
      <c r="AJ71" s="7"/>
      <c r="AK71" s="7"/>
      <c r="AL71" s="7"/>
      <c r="AM71" s="7" t="s">
        <v>96</v>
      </c>
      <c r="AN71" s="7"/>
    </row>
    <row r="72" spans="1:40" ht="195">
      <c r="A72" s="7" t="s">
        <v>584</v>
      </c>
      <c r="B72" s="7" t="s">
        <v>639</v>
      </c>
      <c r="C72" s="7" t="s">
        <v>586</v>
      </c>
      <c r="D72" s="7" t="s">
        <v>171</v>
      </c>
      <c r="E72" s="7" t="s">
        <v>640</v>
      </c>
      <c r="F72" s="7" t="s">
        <v>641</v>
      </c>
      <c r="G72" s="7" t="s">
        <v>124</v>
      </c>
      <c r="H72" s="7" t="s">
        <v>84</v>
      </c>
      <c r="I72" s="7" t="s">
        <v>642</v>
      </c>
      <c r="J72" s="7" t="s">
        <v>362</v>
      </c>
      <c r="K72" s="7" t="s">
        <v>363</v>
      </c>
      <c r="L72" s="7" t="s">
        <v>88</v>
      </c>
      <c r="M72" s="7" t="s">
        <v>262</v>
      </c>
      <c r="N72" s="7" t="s">
        <v>263</v>
      </c>
      <c r="O72" s="7" t="s">
        <v>107</v>
      </c>
      <c r="P72" s="7" t="s">
        <v>91</v>
      </c>
      <c r="Q72" s="7" t="s">
        <v>92</v>
      </c>
      <c r="R72" s="7" t="s">
        <v>643</v>
      </c>
      <c r="S72" s="7" t="s">
        <v>94</v>
      </c>
      <c r="T72" s="7" t="s">
        <v>95</v>
      </c>
      <c r="U72" s="7"/>
      <c r="V72" s="7"/>
      <c r="W72" s="7" t="s">
        <v>96</v>
      </c>
      <c r="X72" s="7">
        <v>0</v>
      </c>
      <c r="Y72" s="7">
        <v>3</v>
      </c>
      <c r="Z72" s="7">
        <f t="shared" si="10"/>
        <v>3</v>
      </c>
      <c r="AA72" s="7" t="str">
        <f t="shared" si="11"/>
        <v>Gap to CSA level</v>
      </c>
      <c r="AB72" s="7" t="str">
        <f t="shared" si="12"/>
        <v>Not Compliant</v>
      </c>
      <c r="AC72" s="7" t="str">
        <f t="shared" si="13"/>
        <v>Not Compliant</v>
      </c>
      <c r="AD72" s="7" t="str">
        <f t="shared" si="14"/>
        <v>No mapped framework fully compliant</v>
      </c>
      <c r="AE72" s="7" t="s">
        <v>97</v>
      </c>
      <c r="AF72" s="7"/>
      <c r="AG72" s="7" t="str">
        <f>IFERROR(VLOOKUP($C72,Evidence_Library!$A$2:$C$13,2,FALSE),"Control-specific policy/procedure, implementation record, sample evidence, and monitoring proof.")</f>
        <v>Application architecture diagrams; prompt/control design; input/output filtering rules; access control configurations; API security tests; misuse/abuse case testing; production deployment approvals.</v>
      </c>
      <c r="AH72" s="7" t="str">
        <f>IFERROR(VLOOKUP($C72,Evidence_Library!$A$2:$C$13,3,FALSE),"Inspect design, sample implementation evidence, interview owner, and verify operating effectiveness.")</f>
        <v>Test a sample AI application path; verify controls are implemented for access, prompt injection, data leakage, output handling, logging, and production release approval.</v>
      </c>
      <c r="AI72" s="7" t="s">
        <v>98</v>
      </c>
      <c r="AJ72" s="7"/>
      <c r="AK72" s="7"/>
      <c r="AL72" s="7"/>
      <c r="AM72" s="7" t="s">
        <v>96</v>
      </c>
      <c r="AN72" s="7"/>
    </row>
    <row r="73" spans="1:40" ht="135">
      <c r="A73" s="7" t="s">
        <v>644</v>
      </c>
      <c r="B73" s="7" t="s">
        <v>645</v>
      </c>
      <c r="C73" s="7" t="s">
        <v>646</v>
      </c>
      <c r="D73" s="7" t="s">
        <v>80</v>
      </c>
      <c r="E73" s="7" t="s">
        <v>647</v>
      </c>
      <c r="F73" s="7" t="s">
        <v>648</v>
      </c>
      <c r="G73" s="7" t="s">
        <v>83</v>
      </c>
      <c r="H73" s="7" t="s">
        <v>84</v>
      </c>
      <c r="I73" s="7" t="s">
        <v>649</v>
      </c>
      <c r="J73" s="7" t="s">
        <v>284</v>
      </c>
      <c r="K73" s="7" t="s">
        <v>285</v>
      </c>
      <c r="L73" s="7" t="s">
        <v>88</v>
      </c>
      <c r="M73" s="7" t="s">
        <v>571</v>
      </c>
      <c r="N73" s="7" t="s">
        <v>572</v>
      </c>
      <c r="O73" s="7" t="s">
        <v>107</v>
      </c>
      <c r="P73" s="7" t="s">
        <v>130</v>
      </c>
      <c r="Q73" s="7" t="s">
        <v>92</v>
      </c>
      <c r="R73" s="7" t="s">
        <v>650</v>
      </c>
      <c r="S73" s="7" t="s">
        <v>94</v>
      </c>
      <c r="T73" s="7" t="s">
        <v>95</v>
      </c>
      <c r="U73" s="7"/>
      <c r="V73" s="7"/>
      <c r="W73" s="7" t="s">
        <v>96</v>
      </c>
      <c r="X73" s="7">
        <v>0</v>
      </c>
      <c r="Y73" s="7">
        <v>3</v>
      </c>
      <c r="Z73" s="7">
        <f t="shared" si="10"/>
        <v>3</v>
      </c>
      <c r="AA73" s="7" t="str">
        <f t="shared" si="11"/>
        <v>Gap to CSA level</v>
      </c>
      <c r="AB73" s="7" t="str">
        <f t="shared" si="12"/>
        <v>Not Compliant</v>
      </c>
      <c r="AC73" s="7" t="str">
        <f t="shared" si="13"/>
        <v>Not Compliant</v>
      </c>
      <c r="AD73" s="7" t="str">
        <f t="shared" si="14"/>
        <v>No mapped framework fully compliant</v>
      </c>
      <c r="AE73" s="7" t="s">
        <v>97</v>
      </c>
      <c r="AF73" s="7"/>
      <c r="AG73" s="7" t="str">
        <f>IFERROR(VLOOKUP($C73,Evidence_Library!$A$2:$C$13,2,FALSE),"Control-specific policy/procedure, implementation record, sample evidence, and monitoring proof.")</f>
        <v>Data governance policy; data classification and handling records; data provenance documentation; dataset datasheets; data quality checks; privacy impact assessments; retention and deletion evidence.</v>
      </c>
      <c r="AH73" s="7" t="str">
        <f>IFERROR(VLOOKUP($C73,Evidence_Library!$A$2:$C$13,3,FALSE),"Inspect design, sample implementation evidence, interview owner, and verify operating effectiveness.")</f>
        <v>Sample datasets used by AI systems; verify source, provenance, consent/legal basis where applicable, quality criteria, preparation steps, access restrictions, and retention controls.</v>
      </c>
      <c r="AI73" s="7" t="s">
        <v>98</v>
      </c>
      <c r="AJ73" s="7"/>
      <c r="AK73" s="7"/>
      <c r="AL73" s="7"/>
      <c r="AM73" s="7" t="s">
        <v>96</v>
      </c>
      <c r="AN73" s="7"/>
    </row>
    <row r="74" spans="1:40" ht="409.6">
      <c r="A74" s="7" t="s">
        <v>644</v>
      </c>
      <c r="B74" s="7" t="s">
        <v>651</v>
      </c>
      <c r="C74" s="7" t="s">
        <v>646</v>
      </c>
      <c r="D74" s="7" t="s">
        <v>80</v>
      </c>
      <c r="E74" s="7" t="s">
        <v>652</v>
      </c>
      <c r="F74" s="7" t="s">
        <v>653</v>
      </c>
      <c r="G74" s="7" t="s">
        <v>135</v>
      </c>
      <c r="H74" s="7" t="s">
        <v>654</v>
      </c>
      <c r="I74" s="7" t="s">
        <v>655</v>
      </c>
      <c r="J74" s="7" t="s">
        <v>656</v>
      </c>
      <c r="K74" s="7" t="s">
        <v>657</v>
      </c>
      <c r="L74" s="7" t="s">
        <v>208</v>
      </c>
      <c r="M74" s="7" t="s">
        <v>374</v>
      </c>
      <c r="N74" s="7" t="s">
        <v>375</v>
      </c>
      <c r="O74" s="7" t="s">
        <v>107</v>
      </c>
      <c r="P74" s="7" t="s">
        <v>108</v>
      </c>
      <c r="Q74" s="7" t="s">
        <v>92</v>
      </c>
      <c r="R74" s="7" t="s">
        <v>658</v>
      </c>
      <c r="S74" s="7" t="s">
        <v>94</v>
      </c>
      <c r="T74" s="7" t="s">
        <v>95</v>
      </c>
      <c r="U74" s="7"/>
      <c r="V74" s="7"/>
      <c r="W74" s="7" t="s">
        <v>96</v>
      </c>
      <c r="X74" s="7">
        <v>0</v>
      </c>
      <c r="Y74" s="7">
        <v>3</v>
      </c>
      <c r="Z74" s="7">
        <f t="shared" si="10"/>
        <v>3</v>
      </c>
      <c r="AA74" s="7" t="str">
        <f t="shared" si="11"/>
        <v>Gap to CSA level</v>
      </c>
      <c r="AB74" s="7" t="str">
        <f t="shared" si="12"/>
        <v>Not Compliant</v>
      </c>
      <c r="AC74" s="7" t="str">
        <f t="shared" si="13"/>
        <v>Not Compliant</v>
      </c>
      <c r="AD74" s="7" t="str">
        <f t="shared" si="14"/>
        <v>No mapped framework fully compliant</v>
      </c>
      <c r="AE74" s="7" t="s">
        <v>97</v>
      </c>
      <c r="AF74" s="7"/>
      <c r="AG74" s="7" t="str">
        <f>IFERROR(VLOOKUP($C74,Evidence_Library!$A$2:$C$13,2,FALSE),"Control-specific policy/procedure, implementation record, sample evidence, and monitoring proof.")</f>
        <v>Data governance policy; data classification and handling records; data provenance documentation; dataset datasheets; data quality checks; privacy impact assessments; retention and deletion evidence.</v>
      </c>
      <c r="AH74" s="7" t="str">
        <f>IFERROR(VLOOKUP($C74,Evidence_Library!$A$2:$C$13,3,FALSE),"Inspect design, sample implementation evidence, interview owner, and verify operating effectiveness.")</f>
        <v>Sample datasets used by AI systems; verify source, provenance, consent/legal basis where applicable, quality criteria, preparation steps, access restrictions, and retention controls.</v>
      </c>
      <c r="AI74" s="7" t="s">
        <v>98</v>
      </c>
      <c r="AJ74" s="7"/>
      <c r="AK74" s="7"/>
      <c r="AL74" s="7"/>
      <c r="AM74" s="7" t="s">
        <v>96</v>
      </c>
      <c r="AN74" s="7"/>
    </row>
    <row r="75" spans="1:40" ht="135">
      <c r="A75" s="7" t="s">
        <v>644</v>
      </c>
      <c r="B75" s="7" t="s">
        <v>659</v>
      </c>
      <c r="C75" s="7" t="s">
        <v>646</v>
      </c>
      <c r="D75" s="7" t="s">
        <v>111</v>
      </c>
      <c r="E75" s="7" t="s">
        <v>660</v>
      </c>
      <c r="F75" s="7" t="s">
        <v>661</v>
      </c>
      <c r="G75" s="7" t="s">
        <v>124</v>
      </c>
      <c r="H75" s="7" t="s">
        <v>84</v>
      </c>
      <c r="I75" s="7" t="s">
        <v>662</v>
      </c>
      <c r="J75" s="7" t="s">
        <v>663</v>
      </c>
      <c r="K75" s="7" t="s">
        <v>664</v>
      </c>
      <c r="L75" s="7" t="s">
        <v>88</v>
      </c>
      <c r="M75" s="7" t="s">
        <v>665</v>
      </c>
      <c r="N75" s="7" t="s">
        <v>666</v>
      </c>
      <c r="O75" s="7" t="s">
        <v>107</v>
      </c>
      <c r="P75" s="7" t="s">
        <v>108</v>
      </c>
      <c r="Q75" s="7" t="s">
        <v>92</v>
      </c>
      <c r="R75" s="7" t="s">
        <v>667</v>
      </c>
      <c r="S75" s="7" t="s">
        <v>94</v>
      </c>
      <c r="T75" s="7" t="s">
        <v>95</v>
      </c>
      <c r="U75" s="7"/>
      <c r="V75" s="7"/>
      <c r="W75" s="7" t="s">
        <v>96</v>
      </c>
      <c r="X75" s="7">
        <v>0</v>
      </c>
      <c r="Y75" s="7">
        <v>3</v>
      </c>
      <c r="Z75" s="7">
        <f t="shared" si="10"/>
        <v>3</v>
      </c>
      <c r="AA75" s="7" t="str">
        <f t="shared" si="11"/>
        <v>Gap to CSA level</v>
      </c>
      <c r="AB75" s="7" t="str">
        <f t="shared" si="12"/>
        <v>Not Compliant</v>
      </c>
      <c r="AC75" s="7" t="str">
        <f t="shared" si="13"/>
        <v>Not Compliant</v>
      </c>
      <c r="AD75" s="7" t="str">
        <f t="shared" si="14"/>
        <v>No mapped framework fully compliant</v>
      </c>
      <c r="AE75" s="7" t="s">
        <v>97</v>
      </c>
      <c r="AF75" s="7"/>
      <c r="AG75" s="7" t="str">
        <f>IFERROR(VLOOKUP($C75,Evidence_Library!$A$2:$C$13,2,FALSE),"Control-specific policy/procedure, implementation record, sample evidence, and monitoring proof.")</f>
        <v>Data governance policy; data classification and handling records; data provenance documentation; dataset datasheets; data quality checks; privacy impact assessments; retention and deletion evidence.</v>
      </c>
      <c r="AH75" s="7" t="str">
        <f>IFERROR(VLOOKUP($C75,Evidence_Library!$A$2:$C$13,3,FALSE),"Inspect design, sample implementation evidence, interview owner, and verify operating effectiveness.")</f>
        <v>Sample datasets used by AI systems; verify source, provenance, consent/legal basis where applicable, quality criteria, preparation steps, access restrictions, and retention controls.</v>
      </c>
      <c r="AI75" s="7" t="s">
        <v>98</v>
      </c>
      <c r="AJ75" s="7"/>
      <c r="AK75" s="7"/>
      <c r="AL75" s="7"/>
      <c r="AM75" s="7" t="s">
        <v>96</v>
      </c>
      <c r="AN75" s="7"/>
    </row>
    <row r="76" spans="1:40" ht="409.6">
      <c r="A76" s="7" t="s">
        <v>644</v>
      </c>
      <c r="B76" s="7" t="s">
        <v>668</v>
      </c>
      <c r="C76" s="7" t="s">
        <v>646</v>
      </c>
      <c r="D76" s="7" t="s">
        <v>111</v>
      </c>
      <c r="E76" s="7" t="s">
        <v>669</v>
      </c>
      <c r="F76" s="7" t="s">
        <v>670</v>
      </c>
      <c r="G76" s="7" t="s">
        <v>124</v>
      </c>
      <c r="H76" s="7" t="s">
        <v>671</v>
      </c>
      <c r="I76" s="7" t="s">
        <v>672</v>
      </c>
      <c r="J76" s="7" t="s">
        <v>656</v>
      </c>
      <c r="K76" s="7" t="s">
        <v>657</v>
      </c>
      <c r="L76" s="7" t="s">
        <v>208</v>
      </c>
      <c r="M76" s="7" t="s">
        <v>128</v>
      </c>
      <c r="N76" s="7" t="s">
        <v>129</v>
      </c>
      <c r="O76" s="7" t="s">
        <v>107</v>
      </c>
      <c r="P76" s="7" t="s">
        <v>108</v>
      </c>
      <c r="Q76" s="7" t="s">
        <v>92</v>
      </c>
      <c r="R76" s="7" t="s">
        <v>673</v>
      </c>
      <c r="S76" s="7" t="s">
        <v>94</v>
      </c>
      <c r="T76" s="7" t="s">
        <v>95</v>
      </c>
      <c r="U76" s="7"/>
      <c r="V76" s="7"/>
      <c r="W76" s="7" t="s">
        <v>96</v>
      </c>
      <c r="X76" s="7">
        <v>0</v>
      </c>
      <c r="Y76" s="7">
        <v>3</v>
      </c>
      <c r="Z76" s="7">
        <f t="shared" si="10"/>
        <v>3</v>
      </c>
      <c r="AA76" s="7" t="str">
        <f t="shared" si="11"/>
        <v>Gap to CSA level</v>
      </c>
      <c r="AB76" s="7" t="str">
        <f t="shared" si="12"/>
        <v>Not Compliant</v>
      </c>
      <c r="AC76" s="7" t="str">
        <f t="shared" si="13"/>
        <v>Not Compliant</v>
      </c>
      <c r="AD76" s="7" t="str">
        <f t="shared" si="14"/>
        <v>No mapped framework fully compliant</v>
      </c>
      <c r="AE76" s="7" t="s">
        <v>97</v>
      </c>
      <c r="AF76" s="7"/>
      <c r="AG76" s="7" t="str">
        <f>IFERROR(VLOOKUP($C76,Evidence_Library!$A$2:$C$13,2,FALSE),"Control-specific policy/procedure, implementation record, sample evidence, and monitoring proof.")</f>
        <v>Data governance policy; data classification and handling records; data provenance documentation; dataset datasheets; data quality checks; privacy impact assessments; retention and deletion evidence.</v>
      </c>
      <c r="AH76" s="7" t="str">
        <f>IFERROR(VLOOKUP($C76,Evidence_Library!$A$2:$C$13,3,FALSE),"Inspect design, sample implementation evidence, interview owner, and verify operating effectiveness.")</f>
        <v>Sample datasets used by AI systems; verify source, provenance, consent/legal basis where applicable, quality criteria, preparation steps, access restrictions, and retention controls.</v>
      </c>
      <c r="AI76" s="7" t="s">
        <v>98</v>
      </c>
      <c r="AJ76" s="7"/>
      <c r="AK76" s="7"/>
      <c r="AL76" s="7"/>
      <c r="AM76" s="7" t="s">
        <v>96</v>
      </c>
      <c r="AN76" s="7"/>
    </row>
    <row r="77" spans="1:40" ht="105">
      <c r="A77" s="7" t="s">
        <v>644</v>
      </c>
      <c r="B77" s="7" t="s">
        <v>674</v>
      </c>
      <c r="C77" s="7" t="s">
        <v>646</v>
      </c>
      <c r="D77" s="7" t="s">
        <v>111</v>
      </c>
      <c r="E77" s="7" t="s">
        <v>675</v>
      </c>
      <c r="F77" s="7" t="s">
        <v>676</v>
      </c>
      <c r="G77" s="7" t="s">
        <v>135</v>
      </c>
      <c r="H77" s="7" t="s">
        <v>84</v>
      </c>
      <c r="I77" s="7" t="s">
        <v>677</v>
      </c>
      <c r="J77" s="7" t="s">
        <v>458</v>
      </c>
      <c r="K77" s="7" t="s">
        <v>459</v>
      </c>
      <c r="L77" s="7" t="s">
        <v>88</v>
      </c>
      <c r="M77" s="7" t="s">
        <v>374</v>
      </c>
      <c r="N77" s="7" t="s">
        <v>375</v>
      </c>
      <c r="O77" s="7" t="s">
        <v>107</v>
      </c>
      <c r="P77" s="7" t="s">
        <v>108</v>
      </c>
      <c r="Q77" s="7" t="s">
        <v>92</v>
      </c>
      <c r="R77" s="7" t="s">
        <v>678</v>
      </c>
      <c r="S77" s="7" t="s">
        <v>94</v>
      </c>
      <c r="T77" s="7" t="s">
        <v>95</v>
      </c>
      <c r="U77" s="7"/>
      <c r="V77" s="7"/>
      <c r="W77" s="7" t="s">
        <v>96</v>
      </c>
      <c r="X77" s="7">
        <v>0</v>
      </c>
      <c r="Y77" s="7">
        <v>3</v>
      </c>
      <c r="Z77" s="7">
        <f t="shared" si="10"/>
        <v>3</v>
      </c>
      <c r="AA77" s="7" t="str">
        <f t="shared" si="11"/>
        <v>Gap to CSA level</v>
      </c>
      <c r="AB77" s="7" t="str">
        <f t="shared" si="12"/>
        <v>Not Compliant</v>
      </c>
      <c r="AC77" s="7" t="str">
        <f t="shared" si="13"/>
        <v>Not Compliant</v>
      </c>
      <c r="AD77" s="7" t="str">
        <f t="shared" si="14"/>
        <v>No mapped framework fully compliant</v>
      </c>
      <c r="AE77" s="7" t="s">
        <v>97</v>
      </c>
      <c r="AF77" s="7"/>
      <c r="AG77" s="7" t="str">
        <f>IFERROR(VLOOKUP($C77,Evidence_Library!$A$2:$C$13,2,FALSE),"Control-specific policy/procedure, implementation record, sample evidence, and monitoring proof.")</f>
        <v>Data governance policy; data classification and handling records; data provenance documentation; dataset datasheets; data quality checks; privacy impact assessments; retention and deletion evidence.</v>
      </c>
      <c r="AH77" s="7" t="str">
        <f>IFERROR(VLOOKUP($C77,Evidence_Library!$A$2:$C$13,3,FALSE),"Inspect design, sample implementation evidence, interview owner, and verify operating effectiveness.")</f>
        <v>Sample datasets used by AI systems; verify source, provenance, consent/legal basis where applicable, quality criteria, preparation steps, access restrictions, and retention controls.</v>
      </c>
      <c r="AI77" s="7" t="s">
        <v>98</v>
      </c>
      <c r="AJ77" s="7"/>
      <c r="AK77" s="7"/>
      <c r="AL77" s="7"/>
      <c r="AM77" s="7" t="s">
        <v>96</v>
      </c>
      <c r="AN77" s="7"/>
    </row>
    <row r="78" spans="1:40" ht="75">
      <c r="A78" s="7" t="s">
        <v>644</v>
      </c>
      <c r="B78" s="7" t="s">
        <v>679</v>
      </c>
      <c r="C78" s="7" t="s">
        <v>646</v>
      </c>
      <c r="D78" s="7" t="s">
        <v>144</v>
      </c>
      <c r="E78" s="7" t="s">
        <v>680</v>
      </c>
      <c r="F78" s="7" t="s">
        <v>681</v>
      </c>
      <c r="G78" s="7" t="s">
        <v>135</v>
      </c>
      <c r="H78" s="7" t="s">
        <v>682</v>
      </c>
      <c r="I78" s="7" t="s">
        <v>677</v>
      </c>
      <c r="J78" s="7" t="s">
        <v>458</v>
      </c>
      <c r="K78" s="7" t="s">
        <v>459</v>
      </c>
      <c r="L78" s="7" t="s">
        <v>88</v>
      </c>
      <c r="M78" s="7" t="s">
        <v>128</v>
      </c>
      <c r="N78" s="7" t="s">
        <v>129</v>
      </c>
      <c r="O78" s="7" t="s">
        <v>107</v>
      </c>
      <c r="P78" s="7" t="s">
        <v>108</v>
      </c>
      <c r="Q78" s="7" t="s">
        <v>92</v>
      </c>
      <c r="R78" s="7" t="s">
        <v>683</v>
      </c>
      <c r="S78" s="7" t="s">
        <v>94</v>
      </c>
      <c r="T78" s="7" t="s">
        <v>95</v>
      </c>
      <c r="U78" s="7"/>
      <c r="V78" s="7"/>
      <c r="W78" s="7" t="s">
        <v>96</v>
      </c>
      <c r="X78" s="7">
        <v>0</v>
      </c>
      <c r="Y78" s="7">
        <v>3</v>
      </c>
      <c r="Z78" s="7">
        <f t="shared" si="10"/>
        <v>3</v>
      </c>
      <c r="AA78" s="7" t="str">
        <f t="shared" si="11"/>
        <v>Gap to CSA level</v>
      </c>
      <c r="AB78" s="7" t="str">
        <f t="shared" si="12"/>
        <v>Not Compliant</v>
      </c>
      <c r="AC78" s="7" t="str">
        <f t="shared" si="13"/>
        <v>Not Compliant</v>
      </c>
      <c r="AD78" s="7" t="str">
        <f t="shared" si="14"/>
        <v>No mapped framework fully compliant</v>
      </c>
      <c r="AE78" s="7" t="s">
        <v>97</v>
      </c>
      <c r="AF78" s="7"/>
      <c r="AG78" s="7" t="str">
        <f>IFERROR(VLOOKUP($C78,Evidence_Library!$A$2:$C$13,2,FALSE),"Control-specific policy/procedure, implementation record, sample evidence, and monitoring proof.")</f>
        <v>Data governance policy; data classification and handling records; data provenance documentation; dataset datasheets; data quality checks; privacy impact assessments; retention and deletion evidence.</v>
      </c>
      <c r="AH78" s="7" t="str">
        <f>IFERROR(VLOOKUP($C78,Evidence_Library!$A$2:$C$13,3,FALSE),"Inspect design, sample implementation evidence, interview owner, and verify operating effectiveness.")</f>
        <v>Sample datasets used by AI systems; verify source, provenance, consent/legal basis where applicable, quality criteria, preparation steps, access restrictions, and retention controls.</v>
      </c>
      <c r="AI78" s="7" t="s">
        <v>98</v>
      </c>
      <c r="AJ78" s="7"/>
      <c r="AK78" s="7"/>
      <c r="AL78" s="7"/>
      <c r="AM78" s="7" t="s">
        <v>96</v>
      </c>
      <c r="AN78" s="7"/>
    </row>
    <row r="79" spans="1:40" ht="135">
      <c r="A79" s="7" t="s">
        <v>644</v>
      </c>
      <c r="B79" s="7" t="s">
        <v>684</v>
      </c>
      <c r="C79" s="7" t="s">
        <v>646</v>
      </c>
      <c r="D79" s="7" t="s">
        <v>144</v>
      </c>
      <c r="E79" s="7" t="s">
        <v>685</v>
      </c>
      <c r="F79" s="7" t="s">
        <v>686</v>
      </c>
      <c r="G79" s="7" t="s">
        <v>135</v>
      </c>
      <c r="H79" s="7" t="s">
        <v>84</v>
      </c>
      <c r="I79" s="7" t="s">
        <v>687</v>
      </c>
      <c r="J79" s="7" t="s">
        <v>688</v>
      </c>
      <c r="K79" s="7" t="s">
        <v>689</v>
      </c>
      <c r="L79" s="7" t="s">
        <v>88</v>
      </c>
      <c r="M79" s="7" t="s">
        <v>665</v>
      </c>
      <c r="N79" s="7" t="s">
        <v>666</v>
      </c>
      <c r="O79" s="7" t="s">
        <v>107</v>
      </c>
      <c r="P79" s="7" t="s">
        <v>108</v>
      </c>
      <c r="Q79" s="7" t="s">
        <v>92</v>
      </c>
      <c r="R79" s="7" t="s">
        <v>690</v>
      </c>
      <c r="S79" s="7" t="s">
        <v>94</v>
      </c>
      <c r="T79" s="7" t="s">
        <v>95</v>
      </c>
      <c r="U79" s="7"/>
      <c r="V79" s="7"/>
      <c r="W79" s="7" t="s">
        <v>96</v>
      </c>
      <c r="X79" s="7">
        <v>0</v>
      </c>
      <c r="Y79" s="7">
        <v>3</v>
      </c>
      <c r="Z79" s="7">
        <f t="shared" si="10"/>
        <v>3</v>
      </c>
      <c r="AA79" s="7" t="str">
        <f t="shared" si="11"/>
        <v>Gap to CSA level</v>
      </c>
      <c r="AB79" s="7" t="str">
        <f t="shared" si="12"/>
        <v>Not Compliant</v>
      </c>
      <c r="AC79" s="7" t="str">
        <f t="shared" si="13"/>
        <v>Not Compliant</v>
      </c>
      <c r="AD79" s="7" t="str">
        <f t="shared" si="14"/>
        <v>No mapped framework fully compliant</v>
      </c>
      <c r="AE79" s="7" t="s">
        <v>97</v>
      </c>
      <c r="AF79" s="7"/>
      <c r="AG79" s="7" t="str">
        <f>IFERROR(VLOOKUP($C79,Evidence_Library!$A$2:$C$13,2,FALSE),"Control-specific policy/procedure, implementation record, sample evidence, and monitoring proof.")</f>
        <v>Data governance policy; data classification and handling records; data provenance documentation; dataset datasheets; data quality checks; privacy impact assessments; retention and deletion evidence.</v>
      </c>
      <c r="AH79" s="7" t="str">
        <f>IFERROR(VLOOKUP($C79,Evidence_Library!$A$2:$C$13,3,FALSE),"Inspect design, sample implementation evidence, interview owner, and verify operating effectiveness.")</f>
        <v>Sample datasets used by AI systems; verify source, provenance, consent/legal basis where applicable, quality criteria, preparation steps, access restrictions, and retention controls.</v>
      </c>
      <c r="AI79" s="7" t="s">
        <v>98</v>
      </c>
      <c r="AJ79" s="7"/>
      <c r="AK79" s="7"/>
      <c r="AL79" s="7"/>
      <c r="AM79" s="7" t="s">
        <v>96</v>
      </c>
      <c r="AN79" s="7"/>
    </row>
    <row r="80" spans="1:40" ht="105">
      <c r="A80" s="7" t="s">
        <v>644</v>
      </c>
      <c r="B80" s="7" t="s">
        <v>691</v>
      </c>
      <c r="C80" s="7" t="s">
        <v>646</v>
      </c>
      <c r="D80" s="7" t="s">
        <v>171</v>
      </c>
      <c r="E80" s="7" t="s">
        <v>692</v>
      </c>
      <c r="F80" s="7" t="s">
        <v>693</v>
      </c>
      <c r="G80" s="7" t="s">
        <v>135</v>
      </c>
      <c r="H80" s="7" t="s">
        <v>694</v>
      </c>
      <c r="I80" s="7" t="s">
        <v>695</v>
      </c>
      <c r="J80" s="7" t="s">
        <v>696</v>
      </c>
      <c r="K80" s="7" t="s">
        <v>697</v>
      </c>
      <c r="L80" s="7" t="s">
        <v>88</v>
      </c>
      <c r="M80" s="7" t="s">
        <v>374</v>
      </c>
      <c r="N80" s="7" t="s">
        <v>375</v>
      </c>
      <c r="O80" s="7" t="s">
        <v>107</v>
      </c>
      <c r="P80" s="7" t="s">
        <v>199</v>
      </c>
      <c r="Q80" s="7" t="s">
        <v>92</v>
      </c>
      <c r="R80" s="7" t="s">
        <v>698</v>
      </c>
      <c r="S80" s="7" t="s">
        <v>94</v>
      </c>
      <c r="T80" s="7" t="s">
        <v>95</v>
      </c>
      <c r="U80" s="7"/>
      <c r="V80" s="7"/>
      <c r="W80" s="7" t="s">
        <v>96</v>
      </c>
      <c r="X80" s="7">
        <v>0</v>
      </c>
      <c r="Y80" s="7">
        <v>3</v>
      </c>
      <c r="Z80" s="7">
        <f t="shared" si="10"/>
        <v>3</v>
      </c>
      <c r="AA80" s="7" t="str">
        <f t="shared" si="11"/>
        <v>Gap to CSA level</v>
      </c>
      <c r="AB80" s="7" t="str">
        <f t="shared" si="12"/>
        <v>Not Compliant</v>
      </c>
      <c r="AC80" s="7" t="str">
        <f t="shared" si="13"/>
        <v>Not Compliant</v>
      </c>
      <c r="AD80" s="7" t="str">
        <f t="shared" si="14"/>
        <v>No mapped framework fully compliant</v>
      </c>
      <c r="AE80" s="7" t="s">
        <v>97</v>
      </c>
      <c r="AF80" s="7"/>
      <c r="AG80" s="7" t="str">
        <f>IFERROR(VLOOKUP($C80,Evidence_Library!$A$2:$C$13,2,FALSE),"Control-specific policy/procedure, implementation record, sample evidence, and monitoring proof.")</f>
        <v>Data governance policy; data classification and handling records; data provenance documentation; dataset datasheets; data quality checks; privacy impact assessments; retention and deletion evidence.</v>
      </c>
      <c r="AH80" s="7" t="str">
        <f>IFERROR(VLOOKUP($C80,Evidence_Library!$A$2:$C$13,3,FALSE),"Inspect design, sample implementation evidence, interview owner, and verify operating effectiveness.")</f>
        <v>Sample datasets used by AI systems; verify source, provenance, consent/legal basis where applicable, quality criteria, preparation steps, access restrictions, and retention controls.</v>
      </c>
      <c r="AI80" s="7" t="s">
        <v>98</v>
      </c>
      <c r="AJ80" s="7"/>
      <c r="AK80" s="7"/>
      <c r="AL80" s="7"/>
      <c r="AM80" s="7" t="s">
        <v>96</v>
      </c>
      <c r="AN80" s="7"/>
    </row>
    <row r="81" spans="1:40" ht="195">
      <c r="A81" s="7" t="s">
        <v>644</v>
      </c>
      <c r="B81" s="7" t="s">
        <v>699</v>
      </c>
      <c r="C81" s="7" t="s">
        <v>646</v>
      </c>
      <c r="D81" s="7" t="s">
        <v>171</v>
      </c>
      <c r="E81" s="7" t="s">
        <v>700</v>
      </c>
      <c r="F81" s="7" t="s">
        <v>701</v>
      </c>
      <c r="G81" s="7" t="s">
        <v>135</v>
      </c>
      <c r="H81" s="7" t="s">
        <v>702</v>
      </c>
      <c r="I81" s="7" t="s">
        <v>703</v>
      </c>
      <c r="J81" s="7" t="s">
        <v>362</v>
      </c>
      <c r="K81" s="7" t="s">
        <v>363</v>
      </c>
      <c r="L81" s="7" t="s">
        <v>88</v>
      </c>
      <c r="M81" s="7" t="s">
        <v>704</v>
      </c>
      <c r="N81" s="7" t="s">
        <v>705</v>
      </c>
      <c r="O81" s="7" t="s">
        <v>107</v>
      </c>
      <c r="P81" s="7" t="s">
        <v>141</v>
      </c>
      <c r="Q81" s="7" t="s">
        <v>92</v>
      </c>
      <c r="R81" s="7" t="s">
        <v>706</v>
      </c>
      <c r="S81" s="7" t="s">
        <v>94</v>
      </c>
      <c r="T81" s="7" t="s">
        <v>95</v>
      </c>
      <c r="U81" s="7"/>
      <c r="V81" s="7"/>
      <c r="W81" s="7" t="s">
        <v>96</v>
      </c>
      <c r="X81" s="7">
        <v>0</v>
      </c>
      <c r="Y81" s="7">
        <v>3</v>
      </c>
      <c r="Z81" s="7">
        <f t="shared" si="10"/>
        <v>3</v>
      </c>
      <c r="AA81" s="7" t="str">
        <f t="shared" si="11"/>
        <v>Gap to CSA level</v>
      </c>
      <c r="AB81" s="7" t="str">
        <f t="shared" si="12"/>
        <v>Not Compliant</v>
      </c>
      <c r="AC81" s="7" t="str">
        <f t="shared" si="13"/>
        <v>Not Compliant</v>
      </c>
      <c r="AD81" s="7" t="str">
        <f t="shared" si="14"/>
        <v>No mapped framework fully compliant</v>
      </c>
      <c r="AE81" s="7" t="s">
        <v>97</v>
      </c>
      <c r="AF81" s="7"/>
      <c r="AG81" s="7" t="str">
        <f>IFERROR(VLOOKUP($C81,Evidence_Library!$A$2:$C$13,2,FALSE),"Control-specific policy/procedure, implementation record, sample evidence, and monitoring proof.")</f>
        <v>Data governance policy; data classification and handling records; data provenance documentation; dataset datasheets; data quality checks; privacy impact assessments; retention and deletion evidence.</v>
      </c>
      <c r="AH81" s="7" t="str">
        <f>IFERROR(VLOOKUP($C81,Evidence_Library!$A$2:$C$13,3,FALSE),"Inspect design, sample implementation evidence, interview owner, and verify operating effectiveness.")</f>
        <v>Sample datasets used by AI systems; verify source, provenance, consent/legal basis where applicable, quality criteria, preparation steps, access restrictions, and retention controls.</v>
      </c>
      <c r="AI81" s="7" t="s">
        <v>98</v>
      </c>
      <c r="AJ81" s="7"/>
      <c r="AK81" s="7"/>
      <c r="AL81" s="7"/>
      <c r="AM81" s="7" t="s">
        <v>96</v>
      </c>
      <c r="AN81" s="7"/>
    </row>
    <row r="82" spans="1:40" ht="409.6">
      <c r="A82" s="7" t="s">
        <v>707</v>
      </c>
      <c r="B82" s="7" t="s">
        <v>708</v>
      </c>
      <c r="C82" s="7" t="s">
        <v>709</v>
      </c>
      <c r="D82" s="7" t="s">
        <v>80</v>
      </c>
      <c r="E82" s="7" t="s">
        <v>710</v>
      </c>
      <c r="F82" s="7" t="s">
        <v>711</v>
      </c>
      <c r="G82" s="7" t="s">
        <v>83</v>
      </c>
      <c r="H82" s="7" t="s">
        <v>84</v>
      </c>
      <c r="I82" s="7" t="s">
        <v>712</v>
      </c>
      <c r="J82" s="7" t="s">
        <v>713</v>
      </c>
      <c r="K82" s="7" t="s">
        <v>714</v>
      </c>
      <c r="L82" s="7" t="s">
        <v>208</v>
      </c>
      <c r="M82" s="7" t="s">
        <v>715</v>
      </c>
      <c r="N82" s="7" t="s">
        <v>716</v>
      </c>
      <c r="O82" s="7" t="s">
        <v>107</v>
      </c>
      <c r="P82" s="7" t="s">
        <v>717</v>
      </c>
      <c r="Q82" s="7" t="s">
        <v>92</v>
      </c>
      <c r="R82" s="7" t="s">
        <v>718</v>
      </c>
      <c r="S82" s="7" t="s">
        <v>94</v>
      </c>
      <c r="T82" s="7" t="s">
        <v>95</v>
      </c>
      <c r="U82" s="7"/>
      <c r="V82" s="7"/>
      <c r="W82" s="7" t="s">
        <v>96</v>
      </c>
      <c r="X82" s="7">
        <v>0</v>
      </c>
      <c r="Y82" s="7">
        <v>3</v>
      </c>
      <c r="Z82" s="7">
        <f t="shared" si="10"/>
        <v>3</v>
      </c>
      <c r="AA82" s="7" t="str">
        <f t="shared" si="11"/>
        <v>Gap to CSA level</v>
      </c>
      <c r="AB82" s="7" t="str">
        <f t="shared" si="12"/>
        <v>Not Compliant</v>
      </c>
      <c r="AC82" s="7" t="str">
        <f t="shared" si="13"/>
        <v>Not Compliant</v>
      </c>
      <c r="AD82" s="7" t="str">
        <f t="shared" si="14"/>
        <v>No mapped framework fully compliant</v>
      </c>
      <c r="AE82" s="7" t="s">
        <v>97</v>
      </c>
      <c r="AF82" s="7"/>
      <c r="AG82" s="7" t="str">
        <f>IFERROR(VLOOKUP($C82,Evidence_Library!$A$2:$C$13,2,FALSE),"Control-specific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82" s="7" t="str">
        <f>IFERROR(VLOOKUP($C82,Evidence_Library!$A$2:$C$13,3,FALSE),"Inspect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82" s="7" t="s">
        <v>98</v>
      </c>
      <c r="AJ82" s="7"/>
      <c r="AK82" s="7"/>
      <c r="AL82" s="7"/>
      <c r="AM82" s="7" t="s">
        <v>96</v>
      </c>
      <c r="AN82" s="7"/>
    </row>
    <row r="83" spans="1:40" ht="409.6">
      <c r="A83" s="7" t="s">
        <v>707</v>
      </c>
      <c r="B83" s="7" t="s">
        <v>719</v>
      </c>
      <c r="C83" s="7" t="s">
        <v>709</v>
      </c>
      <c r="D83" s="7" t="s">
        <v>80</v>
      </c>
      <c r="E83" s="7" t="s">
        <v>720</v>
      </c>
      <c r="F83" s="7" t="s">
        <v>721</v>
      </c>
      <c r="G83" s="7" t="s">
        <v>83</v>
      </c>
      <c r="H83" s="7" t="s">
        <v>84</v>
      </c>
      <c r="I83" s="7" t="s">
        <v>722</v>
      </c>
      <c r="J83" s="7" t="s">
        <v>713</v>
      </c>
      <c r="K83" s="7" t="s">
        <v>714</v>
      </c>
      <c r="L83" s="7" t="s">
        <v>208</v>
      </c>
      <c r="M83" s="7" t="s">
        <v>723</v>
      </c>
      <c r="N83" s="7" t="s">
        <v>724</v>
      </c>
      <c r="O83" s="7" t="s">
        <v>107</v>
      </c>
      <c r="P83" s="7" t="s">
        <v>108</v>
      </c>
      <c r="Q83" s="7" t="s">
        <v>92</v>
      </c>
      <c r="R83" s="7" t="s">
        <v>725</v>
      </c>
      <c r="S83" s="7" t="s">
        <v>94</v>
      </c>
      <c r="T83" s="7" t="s">
        <v>95</v>
      </c>
      <c r="U83" s="7"/>
      <c r="V83" s="7"/>
      <c r="W83" s="7" t="s">
        <v>96</v>
      </c>
      <c r="X83" s="7">
        <v>0</v>
      </c>
      <c r="Y83" s="7">
        <v>3</v>
      </c>
      <c r="Z83" s="7">
        <f t="shared" si="10"/>
        <v>3</v>
      </c>
      <c r="AA83" s="7" t="str">
        <f t="shared" si="11"/>
        <v>Gap to CSA level</v>
      </c>
      <c r="AB83" s="7" t="str">
        <f t="shared" si="12"/>
        <v>Not Compliant</v>
      </c>
      <c r="AC83" s="7" t="str">
        <f t="shared" si="13"/>
        <v>Not Compliant</v>
      </c>
      <c r="AD83" s="7" t="str">
        <f t="shared" si="14"/>
        <v>No mapped framework fully compliant</v>
      </c>
      <c r="AE83" s="7" t="s">
        <v>97</v>
      </c>
      <c r="AF83" s="7"/>
      <c r="AG83" s="7" t="str">
        <f>IFERROR(VLOOKUP($C83,Evidence_Library!$A$2:$C$13,2,FALSE),"Control-specific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83" s="7" t="str">
        <f>IFERROR(VLOOKUP($C83,Evidence_Library!$A$2:$C$13,3,FALSE),"Inspect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83" s="7" t="s">
        <v>98</v>
      </c>
      <c r="AJ83" s="7"/>
      <c r="AK83" s="7"/>
      <c r="AL83" s="7"/>
      <c r="AM83" s="7" t="s">
        <v>96</v>
      </c>
      <c r="AN83" s="7"/>
    </row>
    <row r="84" spans="1:40" ht="409.6">
      <c r="A84" s="7" t="s">
        <v>707</v>
      </c>
      <c r="B84" s="7" t="s">
        <v>726</v>
      </c>
      <c r="C84" s="7" t="s">
        <v>709</v>
      </c>
      <c r="D84" s="7" t="s">
        <v>111</v>
      </c>
      <c r="E84" s="7" t="s">
        <v>727</v>
      </c>
      <c r="F84" s="7" t="s">
        <v>728</v>
      </c>
      <c r="G84" s="7" t="s">
        <v>83</v>
      </c>
      <c r="H84" s="7" t="s">
        <v>84</v>
      </c>
      <c r="I84" s="7" t="s">
        <v>729</v>
      </c>
      <c r="J84" s="7" t="s">
        <v>713</v>
      </c>
      <c r="K84" s="7" t="s">
        <v>714</v>
      </c>
      <c r="L84" s="7" t="s">
        <v>208</v>
      </c>
      <c r="M84" s="7" t="s">
        <v>730</v>
      </c>
      <c r="N84" s="7" t="s">
        <v>731</v>
      </c>
      <c r="O84" s="7" t="s">
        <v>88</v>
      </c>
      <c r="P84" s="7" t="s">
        <v>303</v>
      </c>
      <c r="Q84" s="7" t="s">
        <v>92</v>
      </c>
      <c r="R84" s="7" t="s">
        <v>732</v>
      </c>
      <c r="S84" s="7" t="s">
        <v>94</v>
      </c>
      <c r="T84" s="7" t="s">
        <v>95</v>
      </c>
      <c r="U84" s="7"/>
      <c r="V84" s="7"/>
      <c r="W84" s="7" t="s">
        <v>96</v>
      </c>
      <c r="X84" s="7">
        <v>0</v>
      </c>
      <c r="Y84" s="7">
        <v>3</v>
      </c>
      <c r="Z84" s="7">
        <f t="shared" si="10"/>
        <v>3</v>
      </c>
      <c r="AA84" s="7" t="str">
        <f t="shared" si="11"/>
        <v>Gap to CSA level</v>
      </c>
      <c r="AB84" s="7" t="str">
        <f t="shared" si="12"/>
        <v>Not Compliant</v>
      </c>
      <c r="AC84" s="7" t="str">
        <f t="shared" si="13"/>
        <v>Not Compliant</v>
      </c>
      <c r="AD84" s="7" t="str">
        <f t="shared" si="14"/>
        <v>No mapped framework fully compliant</v>
      </c>
      <c r="AE84" s="7" t="s">
        <v>97</v>
      </c>
      <c r="AF84" s="7"/>
      <c r="AG84" s="7" t="str">
        <f>IFERROR(VLOOKUP($C84,Evidence_Library!$A$2:$C$13,2,FALSE),"Control-specific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84" s="7" t="str">
        <f>IFERROR(VLOOKUP($C84,Evidence_Library!$A$2:$C$13,3,FALSE),"Inspect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84" s="7" t="s">
        <v>98</v>
      </c>
      <c r="AJ84" s="7"/>
      <c r="AK84" s="7"/>
      <c r="AL84" s="7"/>
      <c r="AM84" s="7" t="s">
        <v>96</v>
      </c>
      <c r="AN84" s="7"/>
    </row>
    <row r="85" spans="1:40" ht="105">
      <c r="A85" s="7" t="s">
        <v>707</v>
      </c>
      <c r="B85" s="7" t="s">
        <v>733</v>
      </c>
      <c r="C85" s="7" t="s">
        <v>709</v>
      </c>
      <c r="D85" s="7" t="s">
        <v>111</v>
      </c>
      <c r="E85" s="7" t="s">
        <v>734</v>
      </c>
      <c r="F85" s="7" t="s">
        <v>735</v>
      </c>
      <c r="G85" s="7" t="s">
        <v>83</v>
      </c>
      <c r="H85" s="7" t="s">
        <v>84</v>
      </c>
      <c r="I85" s="7" t="s">
        <v>736</v>
      </c>
      <c r="J85" s="7" t="s">
        <v>737</v>
      </c>
      <c r="K85" s="7" t="s">
        <v>738</v>
      </c>
      <c r="L85" s="7" t="s">
        <v>88</v>
      </c>
      <c r="M85" s="7" t="s">
        <v>364</v>
      </c>
      <c r="N85" s="7" t="s">
        <v>365</v>
      </c>
      <c r="O85" s="7" t="s">
        <v>107</v>
      </c>
      <c r="P85" s="7" t="s">
        <v>119</v>
      </c>
      <c r="Q85" s="7" t="s">
        <v>92</v>
      </c>
      <c r="R85" s="7" t="s">
        <v>739</v>
      </c>
      <c r="S85" s="7" t="s">
        <v>94</v>
      </c>
      <c r="T85" s="7" t="s">
        <v>95</v>
      </c>
      <c r="U85" s="7"/>
      <c r="V85" s="7"/>
      <c r="W85" s="7" t="s">
        <v>96</v>
      </c>
      <c r="X85" s="7">
        <v>0</v>
      </c>
      <c r="Y85" s="7">
        <v>3</v>
      </c>
      <c r="Z85" s="7">
        <f t="shared" si="10"/>
        <v>3</v>
      </c>
      <c r="AA85" s="7" t="str">
        <f t="shared" si="11"/>
        <v>Gap to CSA level</v>
      </c>
      <c r="AB85" s="7" t="str">
        <f t="shared" si="12"/>
        <v>Not Compliant</v>
      </c>
      <c r="AC85" s="7" t="str">
        <f t="shared" si="13"/>
        <v>Not Compliant</v>
      </c>
      <c r="AD85" s="7" t="str">
        <f t="shared" si="14"/>
        <v>No mapped framework fully compliant</v>
      </c>
      <c r="AE85" s="7" t="s">
        <v>97</v>
      </c>
      <c r="AF85" s="7"/>
      <c r="AG85" s="7" t="str">
        <f>IFERROR(VLOOKUP($C85,Evidence_Library!$A$2:$C$13,2,FALSE),"Control-specific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85" s="7" t="str">
        <f>IFERROR(VLOOKUP($C85,Evidence_Library!$A$2:$C$13,3,FALSE),"Inspect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85" s="7" t="s">
        <v>98</v>
      </c>
      <c r="AJ85" s="7"/>
      <c r="AK85" s="7"/>
      <c r="AL85" s="7"/>
      <c r="AM85" s="7" t="s">
        <v>96</v>
      </c>
      <c r="AN85" s="7"/>
    </row>
    <row r="86" spans="1:40" ht="240">
      <c r="A86" s="7" t="s">
        <v>707</v>
      </c>
      <c r="B86" s="7" t="s">
        <v>740</v>
      </c>
      <c r="C86" s="7" t="s">
        <v>709</v>
      </c>
      <c r="D86" s="7" t="s">
        <v>111</v>
      </c>
      <c r="E86" s="7" t="s">
        <v>741</v>
      </c>
      <c r="F86" s="7" t="s">
        <v>742</v>
      </c>
      <c r="G86" s="7" t="s">
        <v>83</v>
      </c>
      <c r="H86" s="7" t="s">
        <v>743</v>
      </c>
      <c r="I86" s="7" t="s">
        <v>744</v>
      </c>
      <c r="J86" s="7" t="s">
        <v>284</v>
      </c>
      <c r="K86" s="7" t="s">
        <v>285</v>
      </c>
      <c r="L86" s="7" t="s">
        <v>88</v>
      </c>
      <c r="M86" s="7" t="s">
        <v>745</v>
      </c>
      <c r="N86" s="7" t="s">
        <v>746</v>
      </c>
      <c r="O86" s="7" t="s">
        <v>107</v>
      </c>
      <c r="P86" s="7" t="s">
        <v>119</v>
      </c>
      <c r="Q86" s="7" t="s">
        <v>92</v>
      </c>
      <c r="R86" s="7" t="s">
        <v>747</v>
      </c>
      <c r="S86" s="7" t="s">
        <v>94</v>
      </c>
      <c r="T86" s="7" t="s">
        <v>95</v>
      </c>
      <c r="U86" s="7"/>
      <c r="V86" s="7"/>
      <c r="W86" s="7" t="s">
        <v>96</v>
      </c>
      <c r="X86" s="7">
        <v>0</v>
      </c>
      <c r="Y86" s="7">
        <v>3</v>
      </c>
      <c r="Z86" s="7">
        <f t="shared" si="10"/>
        <v>3</v>
      </c>
      <c r="AA86" s="7" t="str">
        <f t="shared" si="11"/>
        <v>Gap to CSA level</v>
      </c>
      <c r="AB86" s="7" t="str">
        <f t="shared" si="12"/>
        <v>Not Compliant</v>
      </c>
      <c r="AC86" s="7" t="str">
        <f t="shared" si="13"/>
        <v>Not Compliant</v>
      </c>
      <c r="AD86" s="7" t="str">
        <f t="shared" si="14"/>
        <v>No mapped framework fully compliant</v>
      </c>
      <c r="AE86" s="7" t="s">
        <v>97</v>
      </c>
      <c r="AF86" s="7"/>
      <c r="AG86" s="7" t="str">
        <f>IFERROR(VLOOKUP($C86,Evidence_Library!$A$2:$C$13,2,FALSE),"Control-specific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86" s="7" t="str">
        <f>IFERROR(VLOOKUP($C86,Evidence_Library!$A$2:$C$13,3,FALSE),"Inspect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86" s="7" t="s">
        <v>98</v>
      </c>
      <c r="AJ86" s="7"/>
      <c r="AK86" s="7"/>
      <c r="AL86" s="7"/>
      <c r="AM86" s="7" t="s">
        <v>96</v>
      </c>
      <c r="AN86" s="7"/>
    </row>
    <row r="87" spans="1:40" ht="195">
      <c r="A87" s="7" t="s">
        <v>707</v>
      </c>
      <c r="B87" s="7" t="s">
        <v>748</v>
      </c>
      <c r="C87" s="7" t="s">
        <v>709</v>
      </c>
      <c r="D87" s="7" t="s">
        <v>144</v>
      </c>
      <c r="E87" s="7" t="s">
        <v>749</v>
      </c>
      <c r="F87" s="7" t="s">
        <v>750</v>
      </c>
      <c r="G87" s="7" t="s">
        <v>124</v>
      </c>
      <c r="H87" s="7" t="s">
        <v>84</v>
      </c>
      <c r="I87" s="7" t="s">
        <v>751</v>
      </c>
      <c r="J87" s="7" t="s">
        <v>579</v>
      </c>
      <c r="K87" s="7" t="s">
        <v>580</v>
      </c>
      <c r="L87" s="7" t="s">
        <v>88</v>
      </c>
      <c r="M87" s="7" t="s">
        <v>752</v>
      </c>
      <c r="N87" s="7" t="s">
        <v>753</v>
      </c>
      <c r="O87" s="7" t="s">
        <v>107</v>
      </c>
      <c r="P87" s="7" t="s">
        <v>119</v>
      </c>
      <c r="Q87" s="7" t="s">
        <v>92</v>
      </c>
      <c r="R87" s="7" t="s">
        <v>754</v>
      </c>
      <c r="S87" s="7" t="s">
        <v>94</v>
      </c>
      <c r="T87" s="7" t="s">
        <v>95</v>
      </c>
      <c r="U87" s="7"/>
      <c r="V87" s="7"/>
      <c r="W87" s="7" t="s">
        <v>96</v>
      </c>
      <c r="X87" s="7">
        <v>0</v>
      </c>
      <c r="Y87" s="7">
        <v>3</v>
      </c>
      <c r="Z87" s="7">
        <f t="shared" si="10"/>
        <v>3</v>
      </c>
      <c r="AA87" s="7" t="str">
        <f t="shared" si="11"/>
        <v>Gap to CSA level</v>
      </c>
      <c r="AB87" s="7" t="str">
        <f t="shared" si="12"/>
        <v>Not Compliant</v>
      </c>
      <c r="AC87" s="7" t="str">
        <f t="shared" si="13"/>
        <v>Not Compliant</v>
      </c>
      <c r="AD87" s="7" t="str">
        <f t="shared" si="14"/>
        <v>No mapped framework fully compliant</v>
      </c>
      <c r="AE87" s="7" t="s">
        <v>97</v>
      </c>
      <c r="AF87" s="7"/>
      <c r="AG87" s="7" t="str">
        <f>IFERROR(VLOOKUP($C87,Evidence_Library!$A$2:$C$13,2,FALSE),"Control-specific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87" s="7" t="str">
        <f>IFERROR(VLOOKUP($C87,Evidence_Library!$A$2:$C$13,3,FALSE),"Inspect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87" s="7" t="s">
        <v>98</v>
      </c>
      <c r="AJ87" s="7"/>
      <c r="AK87" s="7"/>
      <c r="AL87" s="7"/>
      <c r="AM87" s="7" t="s">
        <v>96</v>
      </c>
      <c r="AN87" s="7"/>
    </row>
    <row r="88" spans="1:40" ht="135">
      <c r="A88" s="7" t="s">
        <v>707</v>
      </c>
      <c r="B88" s="7" t="s">
        <v>755</v>
      </c>
      <c r="C88" s="7" t="s">
        <v>709</v>
      </c>
      <c r="D88" s="7" t="s">
        <v>144</v>
      </c>
      <c r="E88" s="7" t="s">
        <v>756</v>
      </c>
      <c r="F88" s="7" t="s">
        <v>757</v>
      </c>
      <c r="G88" s="7" t="s">
        <v>124</v>
      </c>
      <c r="H88" s="7" t="s">
        <v>84</v>
      </c>
      <c r="I88" s="7" t="s">
        <v>758</v>
      </c>
      <c r="J88" s="7" t="s">
        <v>759</v>
      </c>
      <c r="K88" s="7" t="s">
        <v>760</v>
      </c>
      <c r="L88" s="7" t="s">
        <v>88</v>
      </c>
      <c r="M88" s="7" t="s">
        <v>571</v>
      </c>
      <c r="N88" s="7" t="s">
        <v>572</v>
      </c>
      <c r="O88" s="7" t="s">
        <v>88</v>
      </c>
      <c r="P88" s="7" t="s">
        <v>130</v>
      </c>
      <c r="Q88" s="7" t="s">
        <v>92</v>
      </c>
      <c r="R88" s="7" t="s">
        <v>761</v>
      </c>
      <c r="S88" s="7" t="s">
        <v>94</v>
      </c>
      <c r="T88" s="7" t="s">
        <v>95</v>
      </c>
      <c r="U88" s="7"/>
      <c r="V88" s="7"/>
      <c r="W88" s="7" t="s">
        <v>96</v>
      </c>
      <c r="X88" s="7">
        <v>0</v>
      </c>
      <c r="Y88" s="7">
        <v>3</v>
      </c>
      <c r="Z88" s="7">
        <f t="shared" si="10"/>
        <v>3</v>
      </c>
      <c r="AA88" s="7" t="str">
        <f t="shared" si="11"/>
        <v>Gap to CSA level</v>
      </c>
      <c r="AB88" s="7" t="str">
        <f t="shared" si="12"/>
        <v>Not Compliant</v>
      </c>
      <c r="AC88" s="7" t="str">
        <f t="shared" si="13"/>
        <v>Not Compliant</v>
      </c>
      <c r="AD88" s="7" t="str">
        <f t="shared" si="14"/>
        <v>No mapped framework fully compliant</v>
      </c>
      <c r="AE88" s="7" t="s">
        <v>97</v>
      </c>
      <c r="AF88" s="7"/>
      <c r="AG88" s="7" t="str">
        <f>IFERROR(VLOOKUP($C88,Evidence_Library!$A$2:$C$13,2,FALSE),"Control-specific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88" s="7" t="str">
        <f>IFERROR(VLOOKUP($C88,Evidence_Library!$A$2:$C$13,3,FALSE),"Inspect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88" s="7" t="s">
        <v>98</v>
      </c>
      <c r="AJ88" s="7"/>
      <c r="AK88" s="7"/>
      <c r="AL88" s="7"/>
      <c r="AM88" s="7" t="s">
        <v>96</v>
      </c>
      <c r="AN88" s="7"/>
    </row>
    <row r="89" spans="1:40" ht="409.6">
      <c r="A89" s="7" t="s">
        <v>707</v>
      </c>
      <c r="B89" s="7" t="s">
        <v>762</v>
      </c>
      <c r="C89" s="7" t="s">
        <v>709</v>
      </c>
      <c r="D89" s="7" t="s">
        <v>144</v>
      </c>
      <c r="E89" s="7" t="s">
        <v>763</v>
      </c>
      <c r="F89" s="7" t="s">
        <v>764</v>
      </c>
      <c r="G89" s="7" t="s">
        <v>83</v>
      </c>
      <c r="H89" s="7" t="s">
        <v>84</v>
      </c>
      <c r="I89" s="7" t="s">
        <v>765</v>
      </c>
      <c r="J89" s="7" t="s">
        <v>713</v>
      </c>
      <c r="K89" s="7" t="s">
        <v>714</v>
      </c>
      <c r="L89" s="7" t="s">
        <v>208</v>
      </c>
      <c r="M89" s="7" t="s">
        <v>766</v>
      </c>
      <c r="N89" s="7" t="s">
        <v>767</v>
      </c>
      <c r="O89" s="7" t="s">
        <v>208</v>
      </c>
      <c r="P89" s="7" t="s">
        <v>108</v>
      </c>
      <c r="Q89" s="7" t="s">
        <v>92</v>
      </c>
      <c r="R89" s="7" t="s">
        <v>768</v>
      </c>
      <c r="S89" s="7" t="s">
        <v>94</v>
      </c>
      <c r="T89" s="7" t="s">
        <v>95</v>
      </c>
      <c r="U89" s="7"/>
      <c r="V89" s="7"/>
      <c r="W89" s="7" t="s">
        <v>96</v>
      </c>
      <c r="X89" s="7">
        <v>0</v>
      </c>
      <c r="Y89" s="7">
        <v>3</v>
      </c>
      <c r="Z89" s="7">
        <f t="shared" si="10"/>
        <v>3</v>
      </c>
      <c r="AA89" s="7" t="str">
        <f t="shared" si="11"/>
        <v>Gap to CSA level</v>
      </c>
      <c r="AB89" s="7" t="str">
        <f t="shared" si="12"/>
        <v>Not Compliant</v>
      </c>
      <c r="AC89" s="7" t="str">
        <f t="shared" si="13"/>
        <v>Not Compliant</v>
      </c>
      <c r="AD89" s="7" t="str">
        <f t="shared" si="14"/>
        <v>No mapped framework fully compliant</v>
      </c>
      <c r="AE89" s="7" t="s">
        <v>97</v>
      </c>
      <c r="AF89" s="7"/>
      <c r="AG89" s="7" t="str">
        <f>IFERROR(VLOOKUP($C89,Evidence_Library!$A$2:$C$13,2,FALSE),"Control-specific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89" s="7" t="str">
        <f>IFERROR(VLOOKUP($C89,Evidence_Library!$A$2:$C$13,3,FALSE),"Inspect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89" s="7" t="s">
        <v>98</v>
      </c>
      <c r="AJ89" s="7"/>
      <c r="AK89" s="7"/>
      <c r="AL89" s="7"/>
      <c r="AM89" s="7" t="s">
        <v>96</v>
      </c>
      <c r="AN89" s="7"/>
    </row>
    <row r="90" spans="1:40" ht="195">
      <c r="A90" s="7" t="s">
        <v>707</v>
      </c>
      <c r="B90" s="7" t="s">
        <v>769</v>
      </c>
      <c r="C90" s="7" t="s">
        <v>709</v>
      </c>
      <c r="D90" s="7" t="s">
        <v>171</v>
      </c>
      <c r="E90" s="7" t="s">
        <v>770</v>
      </c>
      <c r="F90" s="7" t="s">
        <v>771</v>
      </c>
      <c r="G90" s="7" t="s">
        <v>135</v>
      </c>
      <c r="H90" s="7" t="s">
        <v>84</v>
      </c>
      <c r="I90" s="7" t="s">
        <v>772</v>
      </c>
      <c r="J90" s="7" t="s">
        <v>773</v>
      </c>
      <c r="K90" s="7" t="s">
        <v>774</v>
      </c>
      <c r="L90" s="7" t="s">
        <v>88</v>
      </c>
      <c r="M90" s="7" t="s">
        <v>775</v>
      </c>
      <c r="N90" s="7" t="s">
        <v>776</v>
      </c>
      <c r="O90" s="7" t="s">
        <v>107</v>
      </c>
      <c r="P90" s="7" t="s">
        <v>108</v>
      </c>
      <c r="Q90" s="7" t="s">
        <v>92</v>
      </c>
      <c r="R90" s="7" t="s">
        <v>777</v>
      </c>
      <c r="S90" s="7" t="s">
        <v>94</v>
      </c>
      <c r="T90" s="7" t="s">
        <v>95</v>
      </c>
      <c r="U90" s="7"/>
      <c r="V90" s="7"/>
      <c r="W90" s="7" t="s">
        <v>96</v>
      </c>
      <c r="X90" s="7">
        <v>0</v>
      </c>
      <c r="Y90" s="7">
        <v>3</v>
      </c>
      <c r="Z90" s="7">
        <f t="shared" si="10"/>
        <v>3</v>
      </c>
      <c r="AA90" s="7" t="str">
        <f t="shared" si="11"/>
        <v>Gap to CSA level</v>
      </c>
      <c r="AB90" s="7" t="str">
        <f t="shared" si="12"/>
        <v>Not Compliant</v>
      </c>
      <c r="AC90" s="7" t="str">
        <f t="shared" si="13"/>
        <v>Not Compliant</v>
      </c>
      <c r="AD90" s="7" t="str">
        <f t="shared" si="14"/>
        <v>No mapped framework fully compliant</v>
      </c>
      <c r="AE90" s="7" t="s">
        <v>97</v>
      </c>
      <c r="AF90" s="7"/>
      <c r="AG90" s="7" t="str">
        <f>IFERROR(VLOOKUP($C90,Evidence_Library!$A$2:$C$13,2,FALSE),"Control-specific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90" s="7" t="str">
        <f>IFERROR(VLOOKUP($C90,Evidence_Library!$A$2:$C$13,3,FALSE),"Inspect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90" s="7" t="s">
        <v>98</v>
      </c>
      <c r="AJ90" s="7"/>
      <c r="AK90" s="7"/>
      <c r="AL90" s="7"/>
      <c r="AM90" s="7" t="s">
        <v>96</v>
      </c>
      <c r="AN90" s="7"/>
    </row>
    <row r="91" spans="1:40" ht="195">
      <c r="A91" s="7" t="s">
        <v>707</v>
      </c>
      <c r="B91" s="7" t="s">
        <v>778</v>
      </c>
      <c r="C91" s="7" t="s">
        <v>709</v>
      </c>
      <c r="D91" s="7" t="s">
        <v>171</v>
      </c>
      <c r="E91" s="7" t="s">
        <v>779</v>
      </c>
      <c r="F91" s="7" t="s">
        <v>780</v>
      </c>
      <c r="G91" s="7" t="s">
        <v>124</v>
      </c>
      <c r="H91" s="7" t="s">
        <v>781</v>
      </c>
      <c r="I91" s="7" t="s">
        <v>782</v>
      </c>
      <c r="J91" s="7" t="s">
        <v>579</v>
      </c>
      <c r="K91" s="7" t="s">
        <v>580</v>
      </c>
      <c r="L91" s="7" t="s">
        <v>88</v>
      </c>
      <c r="M91" s="7" t="s">
        <v>186</v>
      </c>
      <c r="N91" s="7" t="s">
        <v>187</v>
      </c>
      <c r="O91" s="7" t="s">
        <v>107</v>
      </c>
      <c r="P91" s="7" t="s">
        <v>108</v>
      </c>
      <c r="Q91" s="7" t="s">
        <v>92</v>
      </c>
      <c r="R91" s="7" t="s">
        <v>754</v>
      </c>
      <c r="S91" s="7" t="s">
        <v>94</v>
      </c>
      <c r="T91" s="7" t="s">
        <v>95</v>
      </c>
      <c r="U91" s="7"/>
      <c r="V91" s="7"/>
      <c r="W91" s="7" t="s">
        <v>96</v>
      </c>
      <c r="X91" s="7">
        <v>0</v>
      </c>
      <c r="Y91" s="7">
        <v>3</v>
      </c>
      <c r="Z91" s="7">
        <f t="shared" si="10"/>
        <v>3</v>
      </c>
      <c r="AA91" s="7" t="str">
        <f t="shared" si="11"/>
        <v>Gap to CSA level</v>
      </c>
      <c r="AB91" s="7" t="str">
        <f t="shared" si="12"/>
        <v>Not Compliant</v>
      </c>
      <c r="AC91" s="7" t="str">
        <f t="shared" si="13"/>
        <v>Not Compliant</v>
      </c>
      <c r="AD91" s="7" t="str">
        <f t="shared" si="14"/>
        <v>No mapped framework fully compliant</v>
      </c>
      <c r="AE91" s="7" t="s">
        <v>97</v>
      </c>
      <c r="AF91" s="7"/>
      <c r="AG91" s="7" t="str">
        <f>IFERROR(VLOOKUP($C91,Evidence_Library!$A$2:$C$13,2,FALSE),"Control-specific policy/procedure, implementation record, sample evidence, and monitoring proof.")</f>
        <v>AI risk assessment methodology; AI impact assessment template; model/use-case risk ratings; treatment plans; risk acceptance approvals; residual risk logs; risk register extracts.</v>
      </c>
      <c r="AH91" s="7" t="str">
        <f>IFERROR(VLOOKUP($C91,Evidence_Library!$A$2:$C$13,3,FALSE),"Inspect design, sample implementation evidence, interview owner, and verify operating effectiveness.")</f>
        <v>Reperform a sample risk assessment; verify impact assessment completion; trace risks to treatment decisions and approvals; confirm residual risk is accepted by the right authority.</v>
      </c>
      <c r="AI91" s="7" t="s">
        <v>98</v>
      </c>
      <c r="AJ91" s="7"/>
      <c r="AK91" s="7"/>
      <c r="AL91" s="7"/>
      <c r="AM91" s="7" t="s">
        <v>96</v>
      </c>
      <c r="AN91" s="7"/>
    </row>
    <row r="92" spans="1:40" ht="409.6">
      <c r="A92" s="7" t="s">
        <v>783</v>
      </c>
      <c r="B92" s="7" t="s">
        <v>784</v>
      </c>
      <c r="C92" s="7" t="s">
        <v>785</v>
      </c>
      <c r="D92" s="7" t="s">
        <v>80</v>
      </c>
      <c r="E92" s="7" t="s">
        <v>786</v>
      </c>
      <c r="F92" s="7" t="s">
        <v>787</v>
      </c>
      <c r="G92" s="7" t="s">
        <v>83</v>
      </c>
      <c r="H92" s="7" t="s">
        <v>84</v>
      </c>
      <c r="I92" s="7" t="s">
        <v>788</v>
      </c>
      <c r="J92" s="7" t="s">
        <v>789</v>
      </c>
      <c r="K92" s="7" t="s">
        <v>790</v>
      </c>
      <c r="L92" s="7" t="s">
        <v>208</v>
      </c>
      <c r="M92" s="7" t="s">
        <v>327</v>
      </c>
      <c r="N92" s="7" t="s">
        <v>328</v>
      </c>
      <c r="O92" s="7" t="s">
        <v>107</v>
      </c>
      <c r="P92" s="7" t="s">
        <v>119</v>
      </c>
      <c r="Q92" s="7" t="s">
        <v>92</v>
      </c>
      <c r="R92" s="7" t="s">
        <v>791</v>
      </c>
      <c r="S92" s="7" t="s">
        <v>94</v>
      </c>
      <c r="T92" s="7" t="s">
        <v>95</v>
      </c>
      <c r="U92" s="7"/>
      <c r="V92" s="7"/>
      <c r="W92" s="7" t="s">
        <v>96</v>
      </c>
      <c r="X92" s="7">
        <v>0</v>
      </c>
      <c r="Y92" s="7">
        <v>3</v>
      </c>
      <c r="Z92" s="7">
        <f t="shared" si="10"/>
        <v>3</v>
      </c>
      <c r="AA92" s="7" t="str">
        <f t="shared" si="11"/>
        <v>Gap to CSA level</v>
      </c>
      <c r="AB92" s="7" t="str">
        <f t="shared" si="12"/>
        <v>Not Compliant</v>
      </c>
      <c r="AC92" s="7" t="str">
        <f t="shared" si="13"/>
        <v>Not Compliant</v>
      </c>
      <c r="AD92" s="7" t="str">
        <f t="shared" si="14"/>
        <v>No mapped framework fully compliant</v>
      </c>
      <c r="AE92" s="7" t="s">
        <v>97</v>
      </c>
      <c r="AF92" s="7"/>
      <c r="AG92" s="7" t="str">
        <f>IFERROR(VLOOKUP($C92,Evidence_Library!$A$2:$C$13,2,FALSE),"Control-specific policy/procedure, implementation record, sample evidence, and monitoring proof.")</f>
        <v>Secure SDLC/ML lifecycle procedures; design reviews; threat models; validation and verification plans; test results; code reviews; change approvals; release records; AI-BOM/SBOM where applicable.</v>
      </c>
      <c r="AH92" s="7" t="str">
        <f>IFERROR(VLOOKUP($C92,Evidence_Library!$A$2:$C$13,3,FALSE),"Inspect design, sample implementation evidence, interview owner, and verify operating effectiveness.")</f>
        <v>Trace a sample model/application release from requirements through testing and approval; verify validation gates, independent review, and documented acceptance criteria.</v>
      </c>
      <c r="AI92" s="7" t="s">
        <v>98</v>
      </c>
      <c r="AJ92" s="7"/>
      <c r="AK92" s="7"/>
      <c r="AL92" s="7"/>
      <c r="AM92" s="7" t="s">
        <v>96</v>
      </c>
      <c r="AN92" s="7"/>
    </row>
    <row r="93" spans="1:40" ht="409.6">
      <c r="A93" s="7" t="s">
        <v>783</v>
      </c>
      <c r="B93" s="7" t="s">
        <v>792</v>
      </c>
      <c r="C93" s="7" t="s">
        <v>785</v>
      </c>
      <c r="D93" s="7" t="s">
        <v>80</v>
      </c>
      <c r="E93" s="7" t="s">
        <v>793</v>
      </c>
      <c r="F93" s="7" t="s">
        <v>794</v>
      </c>
      <c r="G93" s="7" t="s">
        <v>83</v>
      </c>
      <c r="H93" s="7" t="s">
        <v>84</v>
      </c>
      <c r="I93" s="7" t="s">
        <v>795</v>
      </c>
      <c r="J93" s="7" t="s">
        <v>789</v>
      </c>
      <c r="K93" s="7" t="s">
        <v>790</v>
      </c>
      <c r="L93" s="7" t="s">
        <v>208</v>
      </c>
      <c r="M93" s="7" t="s">
        <v>247</v>
      </c>
      <c r="N93" s="7" t="s">
        <v>248</v>
      </c>
      <c r="O93" s="7" t="s">
        <v>107</v>
      </c>
      <c r="P93" s="7" t="s">
        <v>717</v>
      </c>
      <c r="Q93" s="7" t="s">
        <v>92</v>
      </c>
      <c r="R93" s="7" t="s">
        <v>796</v>
      </c>
      <c r="S93" s="7" t="s">
        <v>94</v>
      </c>
      <c r="T93" s="7" t="s">
        <v>95</v>
      </c>
      <c r="U93" s="7"/>
      <c r="V93" s="7"/>
      <c r="W93" s="7" t="s">
        <v>96</v>
      </c>
      <c r="X93" s="7">
        <v>0</v>
      </c>
      <c r="Y93" s="7">
        <v>3</v>
      </c>
      <c r="Z93" s="7">
        <f t="shared" si="10"/>
        <v>3</v>
      </c>
      <c r="AA93" s="7" t="str">
        <f t="shared" si="11"/>
        <v>Gap to CSA level</v>
      </c>
      <c r="AB93" s="7" t="str">
        <f t="shared" si="12"/>
        <v>Not Compliant</v>
      </c>
      <c r="AC93" s="7" t="str">
        <f t="shared" si="13"/>
        <v>Not Compliant</v>
      </c>
      <c r="AD93" s="7" t="str">
        <f t="shared" si="14"/>
        <v>No mapped framework fully compliant</v>
      </c>
      <c r="AE93" s="7" t="s">
        <v>97</v>
      </c>
      <c r="AF93" s="7"/>
      <c r="AG93" s="7" t="str">
        <f>IFERROR(VLOOKUP($C93,Evidence_Library!$A$2:$C$13,2,FALSE),"Control-specific policy/procedure, implementation record, sample evidence, and monitoring proof.")</f>
        <v>Secure SDLC/ML lifecycle procedures; design reviews; threat models; validation and verification plans; test results; code reviews; change approvals; release records; AI-BOM/SBOM where applicable.</v>
      </c>
      <c r="AH93" s="7" t="str">
        <f>IFERROR(VLOOKUP($C93,Evidence_Library!$A$2:$C$13,3,FALSE),"Inspect design, sample implementation evidence, interview owner, and verify operating effectiveness.")</f>
        <v>Trace a sample model/application release from requirements through testing and approval; verify validation gates, independent review, and documented acceptance criteria.</v>
      </c>
      <c r="AI93" s="7" t="s">
        <v>98</v>
      </c>
      <c r="AJ93" s="7"/>
      <c r="AK93" s="7"/>
      <c r="AL93" s="7"/>
      <c r="AM93" s="7" t="s">
        <v>96</v>
      </c>
      <c r="AN93" s="7"/>
    </row>
    <row r="94" spans="1:40" ht="409.6">
      <c r="A94" s="7" t="s">
        <v>783</v>
      </c>
      <c r="B94" s="7" t="s">
        <v>797</v>
      </c>
      <c r="C94" s="7" t="s">
        <v>785</v>
      </c>
      <c r="D94" s="7" t="s">
        <v>111</v>
      </c>
      <c r="E94" s="7" t="s">
        <v>798</v>
      </c>
      <c r="F94" s="7" t="s">
        <v>799</v>
      </c>
      <c r="G94" s="7" t="s">
        <v>124</v>
      </c>
      <c r="H94" s="7" t="s">
        <v>84</v>
      </c>
      <c r="I94" s="7" t="s">
        <v>800</v>
      </c>
      <c r="J94" s="7" t="s">
        <v>789</v>
      </c>
      <c r="K94" s="7" t="s">
        <v>790</v>
      </c>
      <c r="L94" s="7" t="s">
        <v>208</v>
      </c>
      <c r="M94" s="7" t="s">
        <v>801</v>
      </c>
      <c r="N94" s="7" t="s">
        <v>802</v>
      </c>
      <c r="O94" s="7" t="s">
        <v>107</v>
      </c>
      <c r="P94" s="7" t="s">
        <v>119</v>
      </c>
      <c r="Q94" s="7" t="s">
        <v>92</v>
      </c>
      <c r="R94" s="7" t="s">
        <v>803</v>
      </c>
      <c r="S94" s="7" t="s">
        <v>94</v>
      </c>
      <c r="T94" s="7" t="s">
        <v>95</v>
      </c>
      <c r="U94" s="7"/>
      <c r="V94" s="7"/>
      <c r="W94" s="7" t="s">
        <v>96</v>
      </c>
      <c r="X94" s="7">
        <v>0</v>
      </c>
      <c r="Y94" s="7">
        <v>3</v>
      </c>
      <c r="Z94" s="7">
        <f t="shared" si="10"/>
        <v>3</v>
      </c>
      <c r="AA94" s="7" t="str">
        <f t="shared" si="11"/>
        <v>Gap to CSA level</v>
      </c>
      <c r="AB94" s="7" t="str">
        <f t="shared" si="12"/>
        <v>Not Compliant</v>
      </c>
      <c r="AC94" s="7" t="str">
        <f t="shared" si="13"/>
        <v>Not Compliant</v>
      </c>
      <c r="AD94" s="7" t="str">
        <f t="shared" si="14"/>
        <v>No mapped framework fully compliant</v>
      </c>
      <c r="AE94" s="7" t="s">
        <v>97</v>
      </c>
      <c r="AF94" s="7"/>
      <c r="AG94" s="7" t="str">
        <f>IFERROR(VLOOKUP($C94,Evidence_Library!$A$2:$C$13,2,FALSE),"Control-specific policy/procedure, implementation record, sample evidence, and monitoring proof.")</f>
        <v>Secure SDLC/ML lifecycle procedures; design reviews; threat models; validation and verification plans; test results; code reviews; change approvals; release records; AI-BOM/SBOM where applicable.</v>
      </c>
      <c r="AH94" s="7" t="str">
        <f>IFERROR(VLOOKUP($C94,Evidence_Library!$A$2:$C$13,3,FALSE),"Inspect design, sample implementation evidence, interview owner, and verify operating effectiveness.")</f>
        <v>Trace a sample model/application release from requirements through testing and approval; verify validation gates, independent review, and documented acceptance criteria.</v>
      </c>
      <c r="AI94" s="7" t="s">
        <v>98</v>
      </c>
      <c r="AJ94" s="7"/>
      <c r="AK94" s="7"/>
      <c r="AL94" s="7"/>
      <c r="AM94" s="7" t="s">
        <v>96</v>
      </c>
      <c r="AN94" s="7"/>
    </row>
    <row r="95" spans="1:40" ht="409.6">
      <c r="A95" s="7" t="s">
        <v>783</v>
      </c>
      <c r="B95" s="7" t="s">
        <v>804</v>
      </c>
      <c r="C95" s="7" t="s">
        <v>785</v>
      </c>
      <c r="D95" s="7" t="s">
        <v>111</v>
      </c>
      <c r="E95" s="7" t="s">
        <v>805</v>
      </c>
      <c r="F95" s="7" t="s">
        <v>806</v>
      </c>
      <c r="G95" s="7" t="s">
        <v>124</v>
      </c>
      <c r="H95" s="7" t="s">
        <v>84</v>
      </c>
      <c r="I95" s="7" t="s">
        <v>807</v>
      </c>
      <c r="J95" s="7" t="s">
        <v>789</v>
      </c>
      <c r="K95" s="7" t="s">
        <v>790</v>
      </c>
      <c r="L95" s="7" t="s">
        <v>208</v>
      </c>
      <c r="M95" s="7" t="s">
        <v>247</v>
      </c>
      <c r="N95" s="7" t="s">
        <v>248</v>
      </c>
      <c r="O95" s="7" t="s">
        <v>107</v>
      </c>
      <c r="P95" s="7" t="s">
        <v>717</v>
      </c>
      <c r="Q95" s="7" t="s">
        <v>92</v>
      </c>
      <c r="R95" s="7" t="s">
        <v>808</v>
      </c>
      <c r="S95" s="7" t="s">
        <v>94</v>
      </c>
      <c r="T95" s="7" t="s">
        <v>95</v>
      </c>
      <c r="U95" s="7"/>
      <c r="V95" s="7"/>
      <c r="W95" s="7" t="s">
        <v>96</v>
      </c>
      <c r="X95" s="7">
        <v>0</v>
      </c>
      <c r="Y95" s="7">
        <v>3</v>
      </c>
      <c r="Z95" s="7">
        <f t="shared" si="10"/>
        <v>3</v>
      </c>
      <c r="AA95" s="7" t="str">
        <f t="shared" si="11"/>
        <v>Gap to CSA level</v>
      </c>
      <c r="AB95" s="7" t="str">
        <f t="shared" si="12"/>
        <v>Not Compliant</v>
      </c>
      <c r="AC95" s="7" t="str">
        <f t="shared" si="13"/>
        <v>Not Compliant</v>
      </c>
      <c r="AD95" s="7" t="str">
        <f t="shared" si="14"/>
        <v>No mapped framework fully compliant</v>
      </c>
      <c r="AE95" s="7" t="s">
        <v>97</v>
      </c>
      <c r="AF95" s="7"/>
      <c r="AG95" s="7" t="str">
        <f>IFERROR(VLOOKUP($C95,Evidence_Library!$A$2:$C$13,2,FALSE),"Control-specific policy/procedure, implementation record, sample evidence, and monitoring proof.")</f>
        <v>Secure SDLC/ML lifecycle procedures; design reviews; threat models; validation and verification plans; test results; code reviews; change approvals; release records; AI-BOM/SBOM where applicable.</v>
      </c>
      <c r="AH95" s="7" t="str">
        <f>IFERROR(VLOOKUP($C95,Evidence_Library!$A$2:$C$13,3,FALSE),"Inspect design, sample implementation evidence, interview owner, and verify operating effectiveness.")</f>
        <v>Trace a sample model/application release from requirements through testing and approval; verify validation gates, independent review, and documented acceptance criteria.</v>
      </c>
      <c r="AI95" s="7" t="s">
        <v>98</v>
      </c>
      <c r="AJ95" s="7"/>
      <c r="AK95" s="7"/>
      <c r="AL95" s="7"/>
      <c r="AM95" s="7" t="s">
        <v>96</v>
      </c>
      <c r="AN95" s="7"/>
    </row>
    <row r="96" spans="1:40" ht="409.6">
      <c r="A96" s="7" t="s">
        <v>783</v>
      </c>
      <c r="B96" s="7" t="s">
        <v>809</v>
      </c>
      <c r="C96" s="7" t="s">
        <v>785</v>
      </c>
      <c r="D96" s="7" t="s">
        <v>111</v>
      </c>
      <c r="E96" s="7" t="s">
        <v>810</v>
      </c>
      <c r="F96" s="7" t="s">
        <v>811</v>
      </c>
      <c r="G96" s="7" t="s">
        <v>135</v>
      </c>
      <c r="H96" s="7" t="s">
        <v>84</v>
      </c>
      <c r="I96" s="7" t="s">
        <v>812</v>
      </c>
      <c r="J96" s="7" t="s">
        <v>789</v>
      </c>
      <c r="K96" s="7" t="s">
        <v>790</v>
      </c>
      <c r="L96" s="7" t="s">
        <v>208</v>
      </c>
      <c r="M96" s="7" t="s">
        <v>599</v>
      </c>
      <c r="N96" s="7" t="s">
        <v>600</v>
      </c>
      <c r="O96" s="7" t="s">
        <v>107</v>
      </c>
      <c r="P96" s="7" t="s">
        <v>119</v>
      </c>
      <c r="Q96" s="7" t="s">
        <v>92</v>
      </c>
      <c r="R96" s="7" t="s">
        <v>813</v>
      </c>
      <c r="S96" s="7" t="s">
        <v>94</v>
      </c>
      <c r="T96" s="7" t="s">
        <v>95</v>
      </c>
      <c r="U96" s="7"/>
      <c r="V96" s="7"/>
      <c r="W96" s="7" t="s">
        <v>96</v>
      </c>
      <c r="X96" s="7">
        <v>0</v>
      </c>
      <c r="Y96" s="7">
        <v>3</v>
      </c>
      <c r="Z96" s="7">
        <f t="shared" si="10"/>
        <v>3</v>
      </c>
      <c r="AA96" s="7" t="str">
        <f t="shared" si="11"/>
        <v>Gap to CSA level</v>
      </c>
      <c r="AB96" s="7" t="str">
        <f t="shared" si="12"/>
        <v>Not Compliant</v>
      </c>
      <c r="AC96" s="7" t="str">
        <f t="shared" si="13"/>
        <v>Not Compliant</v>
      </c>
      <c r="AD96" s="7" t="str">
        <f t="shared" si="14"/>
        <v>No mapped framework fully compliant</v>
      </c>
      <c r="AE96" s="7" t="s">
        <v>97</v>
      </c>
      <c r="AF96" s="7"/>
      <c r="AG96" s="7" t="str">
        <f>IFERROR(VLOOKUP($C96,Evidence_Library!$A$2:$C$13,2,FALSE),"Control-specific policy/procedure, implementation record, sample evidence, and monitoring proof.")</f>
        <v>Secure SDLC/ML lifecycle procedures; design reviews; threat models; validation and verification plans; test results; code reviews; change approvals; release records; AI-BOM/SBOM where applicable.</v>
      </c>
      <c r="AH96" s="7" t="str">
        <f>IFERROR(VLOOKUP($C96,Evidence_Library!$A$2:$C$13,3,FALSE),"Inspect design, sample implementation evidence, interview owner, and verify operating effectiveness.")</f>
        <v>Trace a sample model/application release from requirements through testing and approval; verify validation gates, independent review, and documented acceptance criteria.</v>
      </c>
      <c r="AI96" s="7" t="s">
        <v>98</v>
      </c>
      <c r="AJ96" s="7"/>
      <c r="AK96" s="7"/>
      <c r="AL96" s="7"/>
      <c r="AM96" s="7" t="s">
        <v>96</v>
      </c>
      <c r="AN96" s="7"/>
    </row>
    <row r="97" spans="1:40" ht="409.6">
      <c r="A97" s="7" t="s">
        <v>783</v>
      </c>
      <c r="B97" s="7" t="s">
        <v>814</v>
      </c>
      <c r="C97" s="7" t="s">
        <v>785</v>
      </c>
      <c r="D97" s="7" t="s">
        <v>144</v>
      </c>
      <c r="E97" s="7" t="s">
        <v>815</v>
      </c>
      <c r="F97" s="7" t="s">
        <v>816</v>
      </c>
      <c r="G97" s="7" t="s">
        <v>135</v>
      </c>
      <c r="H97" s="7" t="s">
        <v>84</v>
      </c>
      <c r="I97" s="7" t="s">
        <v>817</v>
      </c>
      <c r="J97" s="7" t="s">
        <v>789</v>
      </c>
      <c r="K97" s="7" t="s">
        <v>790</v>
      </c>
      <c r="L97" s="7" t="s">
        <v>208</v>
      </c>
      <c r="M97" s="7" t="s">
        <v>611</v>
      </c>
      <c r="N97" s="7" t="s">
        <v>612</v>
      </c>
      <c r="O97" s="7" t="s">
        <v>107</v>
      </c>
      <c r="P97" s="7" t="s">
        <v>119</v>
      </c>
      <c r="Q97" s="7" t="s">
        <v>92</v>
      </c>
      <c r="R97" s="7" t="s">
        <v>818</v>
      </c>
      <c r="S97" s="7" t="s">
        <v>94</v>
      </c>
      <c r="T97" s="7" t="s">
        <v>95</v>
      </c>
      <c r="U97" s="7"/>
      <c r="V97" s="7"/>
      <c r="W97" s="7" t="s">
        <v>96</v>
      </c>
      <c r="X97" s="7">
        <v>0</v>
      </c>
      <c r="Y97" s="7">
        <v>3</v>
      </c>
      <c r="Z97" s="7">
        <f t="shared" si="10"/>
        <v>3</v>
      </c>
      <c r="AA97" s="7" t="str">
        <f t="shared" si="11"/>
        <v>Gap to CSA level</v>
      </c>
      <c r="AB97" s="7" t="str">
        <f t="shared" si="12"/>
        <v>Not Compliant</v>
      </c>
      <c r="AC97" s="7" t="str">
        <f t="shared" si="13"/>
        <v>Not Compliant</v>
      </c>
      <c r="AD97" s="7" t="str">
        <f t="shared" si="14"/>
        <v>No mapped framework fully compliant</v>
      </c>
      <c r="AE97" s="7" t="s">
        <v>97</v>
      </c>
      <c r="AF97" s="7"/>
      <c r="AG97" s="7" t="str">
        <f>IFERROR(VLOOKUP($C97,Evidence_Library!$A$2:$C$13,2,FALSE),"Control-specific policy/procedure, implementation record, sample evidence, and monitoring proof.")</f>
        <v>Secure SDLC/ML lifecycle procedures; design reviews; threat models; validation and verification plans; test results; code reviews; change approvals; release records; AI-BOM/SBOM where applicable.</v>
      </c>
      <c r="AH97" s="7" t="str">
        <f>IFERROR(VLOOKUP($C97,Evidence_Library!$A$2:$C$13,3,FALSE),"Inspect design, sample implementation evidence, interview owner, and verify operating effectiveness.")</f>
        <v>Trace a sample model/application release from requirements through testing and approval; verify validation gates, independent review, and documented acceptance criteria.</v>
      </c>
      <c r="AI97" s="7" t="s">
        <v>98</v>
      </c>
      <c r="AJ97" s="7"/>
      <c r="AK97" s="7"/>
      <c r="AL97" s="7"/>
      <c r="AM97" s="7" t="s">
        <v>96</v>
      </c>
      <c r="AN97" s="7"/>
    </row>
    <row r="98" spans="1:40" ht="409.6">
      <c r="A98" s="7" t="s">
        <v>783</v>
      </c>
      <c r="B98" s="7" t="s">
        <v>819</v>
      </c>
      <c r="C98" s="7" t="s">
        <v>785</v>
      </c>
      <c r="D98" s="7" t="s">
        <v>144</v>
      </c>
      <c r="E98" s="7" t="s">
        <v>820</v>
      </c>
      <c r="F98" s="7" t="s">
        <v>821</v>
      </c>
      <c r="G98" s="7" t="s">
        <v>135</v>
      </c>
      <c r="H98" s="7" t="s">
        <v>84</v>
      </c>
      <c r="I98" s="7" t="s">
        <v>795</v>
      </c>
      <c r="J98" s="7" t="s">
        <v>789</v>
      </c>
      <c r="K98" s="7" t="s">
        <v>790</v>
      </c>
      <c r="L98" s="7" t="s">
        <v>208</v>
      </c>
      <c r="M98" s="7" t="s">
        <v>822</v>
      </c>
      <c r="N98" s="7" t="s">
        <v>823</v>
      </c>
      <c r="O98" s="7" t="s">
        <v>107</v>
      </c>
      <c r="P98" s="7" t="s">
        <v>717</v>
      </c>
      <c r="Q98" s="7" t="s">
        <v>92</v>
      </c>
      <c r="R98" s="7" t="s">
        <v>824</v>
      </c>
      <c r="S98" s="7" t="s">
        <v>94</v>
      </c>
      <c r="T98" s="7" t="s">
        <v>95</v>
      </c>
      <c r="U98" s="7"/>
      <c r="V98" s="7"/>
      <c r="W98" s="7" t="s">
        <v>96</v>
      </c>
      <c r="X98" s="7">
        <v>0</v>
      </c>
      <c r="Y98" s="7">
        <v>3</v>
      </c>
      <c r="Z98" s="7">
        <f t="shared" ref="Z98:Z121" si="15">IF($S98="No","N/A",MAX(0,$Y98-$X98))</f>
        <v>3</v>
      </c>
      <c r="AA98" s="7" t="str">
        <f t="shared" ref="AA98:AA121" si="16">IF($S98="No","N/A",IF($X98&gt;=VALUE($D98),"Meets CSA maturity","Gap to CSA level"))</f>
        <v>Gap to CSA level</v>
      </c>
      <c r="AB98" s="7" t="str">
        <f t="shared" ref="AB98:AB121" si="17">IF($S98="No","N/A",IF($J98="","Not Mapped",IF(AND($X98&gt;=3,$AE98="Validated"),"Compliant",IF($X98&gt;=1,"Partial","Not Compliant"))))</f>
        <v>Not Compliant</v>
      </c>
      <c r="AC98" s="7" t="str">
        <f t="shared" ref="AC98:AC121" si="18">IF($S98="No","N/A",IF($M98="","Not Mapped",IF(AND($X98&gt;=3,$AE98="Validated"),"Compliant",IF($X98&gt;=1,"Partial","Not Compliant"))))</f>
        <v>Not Compliant</v>
      </c>
      <c r="AD98" s="7" t="str">
        <f t="shared" ref="AD98:AD121" si="19">IF($S98="No","N/A",IF(AND($AA98="Meets CSA maturity",$AB98="Compliant",$AC98="Compliant"),"CSA + NIST + ISO",IF(AND($AA98="Meets CSA maturity",$AB98="Compliant"),"CSA + NIST",IF(AND($AA98="Meets CSA maturity",$AC98="Compliant"),"CSA + ISO",IF(AND($AB98="Compliant",$AC98="Compliant"),"NIST + ISO",IF($AA98="Meets CSA maturity","CSA only",IF($AB98="Compliant","NIST only",IF($AC98="Compliant","ISO only","No mapped framework fully compliant"))))))))</f>
        <v>No mapped framework fully compliant</v>
      </c>
      <c r="AE98" s="7" t="s">
        <v>97</v>
      </c>
      <c r="AF98" s="7"/>
      <c r="AG98" s="7" t="str">
        <f>IFERROR(VLOOKUP($C98,Evidence_Library!$A$2:$C$13,2,FALSE),"Control-specific policy/procedure, implementation record, sample evidence, and monitoring proof.")</f>
        <v>Secure SDLC/ML lifecycle procedures; design reviews; threat models; validation and verification plans; test results; code reviews; change approvals; release records; AI-BOM/SBOM where applicable.</v>
      </c>
      <c r="AH98" s="7" t="str">
        <f>IFERROR(VLOOKUP($C98,Evidence_Library!$A$2:$C$13,3,FALSE),"Inspect design, sample implementation evidence, interview owner, and verify operating effectiveness.")</f>
        <v>Trace a sample model/application release from requirements through testing and approval; verify validation gates, independent review, and documented acceptance criteria.</v>
      </c>
      <c r="AI98" s="7" t="s">
        <v>98</v>
      </c>
      <c r="AJ98" s="7"/>
      <c r="AK98" s="7"/>
      <c r="AL98" s="7"/>
      <c r="AM98" s="7" t="s">
        <v>96</v>
      </c>
      <c r="AN98" s="7"/>
    </row>
    <row r="99" spans="1:40" ht="409.6">
      <c r="A99" s="7" t="s">
        <v>783</v>
      </c>
      <c r="B99" s="7" t="s">
        <v>825</v>
      </c>
      <c r="C99" s="7" t="s">
        <v>785</v>
      </c>
      <c r="D99" s="7" t="s">
        <v>171</v>
      </c>
      <c r="E99" s="7" t="s">
        <v>826</v>
      </c>
      <c r="F99" s="7" t="s">
        <v>827</v>
      </c>
      <c r="G99" s="7" t="s">
        <v>135</v>
      </c>
      <c r="H99" s="7" t="s">
        <v>84</v>
      </c>
      <c r="I99" s="7" t="s">
        <v>828</v>
      </c>
      <c r="J99" s="7" t="s">
        <v>789</v>
      </c>
      <c r="K99" s="7" t="s">
        <v>790</v>
      </c>
      <c r="L99" s="7" t="s">
        <v>208</v>
      </c>
      <c r="M99" s="7" t="s">
        <v>149</v>
      </c>
      <c r="N99" s="7" t="s">
        <v>150</v>
      </c>
      <c r="O99" s="7" t="s">
        <v>107</v>
      </c>
      <c r="P99" s="7" t="s">
        <v>119</v>
      </c>
      <c r="Q99" s="7" t="s">
        <v>92</v>
      </c>
      <c r="R99" s="7" t="s">
        <v>829</v>
      </c>
      <c r="S99" s="7" t="s">
        <v>94</v>
      </c>
      <c r="T99" s="7" t="s">
        <v>95</v>
      </c>
      <c r="U99" s="7"/>
      <c r="V99" s="7"/>
      <c r="W99" s="7" t="s">
        <v>96</v>
      </c>
      <c r="X99" s="7">
        <v>0</v>
      </c>
      <c r="Y99" s="7">
        <v>3</v>
      </c>
      <c r="Z99" s="7">
        <f t="shared" si="15"/>
        <v>3</v>
      </c>
      <c r="AA99" s="7" t="str">
        <f t="shared" si="16"/>
        <v>Gap to CSA level</v>
      </c>
      <c r="AB99" s="7" t="str">
        <f t="shared" si="17"/>
        <v>Not Compliant</v>
      </c>
      <c r="AC99" s="7" t="str">
        <f t="shared" si="18"/>
        <v>Not Compliant</v>
      </c>
      <c r="AD99" s="7" t="str">
        <f t="shared" si="19"/>
        <v>No mapped framework fully compliant</v>
      </c>
      <c r="AE99" s="7" t="s">
        <v>97</v>
      </c>
      <c r="AF99" s="7"/>
      <c r="AG99" s="7" t="str">
        <f>IFERROR(VLOOKUP($C99,Evidence_Library!$A$2:$C$13,2,FALSE),"Control-specific policy/procedure, implementation record, sample evidence, and monitoring proof.")</f>
        <v>Secure SDLC/ML lifecycle procedures; design reviews; threat models; validation and verification plans; test results; code reviews; change approvals; release records; AI-BOM/SBOM where applicable.</v>
      </c>
      <c r="AH99" s="7" t="str">
        <f>IFERROR(VLOOKUP($C99,Evidence_Library!$A$2:$C$13,3,FALSE),"Inspect design, sample implementation evidence, interview owner, and verify operating effectiveness.")</f>
        <v>Trace a sample model/application release from requirements through testing and approval; verify validation gates, independent review, and documented acceptance criteria.</v>
      </c>
      <c r="AI99" s="7" t="s">
        <v>98</v>
      </c>
      <c r="AJ99" s="7"/>
      <c r="AK99" s="7"/>
      <c r="AL99" s="7"/>
      <c r="AM99" s="7" t="s">
        <v>96</v>
      </c>
      <c r="AN99" s="7"/>
    </row>
    <row r="100" spans="1:40" ht="409.6">
      <c r="A100" s="7" t="s">
        <v>783</v>
      </c>
      <c r="B100" s="7" t="s">
        <v>830</v>
      </c>
      <c r="C100" s="7" t="s">
        <v>785</v>
      </c>
      <c r="D100" s="7" t="s">
        <v>171</v>
      </c>
      <c r="E100" s="7" t="s">
        <v>831</v>
      </c>
      <c r="F100" s="7" t="s">
        <v>832</v>
      </c>
      <c r="G100" s="7" t="s">
        <v>135</v>
      </c>
      <c r="H100" s="7" t="s">
        <v>84</v>
      </c>
      <c r="I100" s="7" t="s">
        <v>833</v>
      </c>
      <c r="J100" s="7" t="s">
        <v>789</v>
      </c>
      <c r="K100" s="7" t="s">
        <v>790</v>
      </c>
      <c r="L100" s="7" t="s">
        <v>208</v>
      </c>
      <c r="M100" s="7" t="s">
        <v>834</v>
      </c>
      <c r="N100" s="7" t="s">
        <v>835</v>
      </c>
      <c r="O100" s="7" t="s">
        <v>107</v>
      </c>
      <c r="P100" s="7" t="s">
        <v>119</v>
      </c>
      <c r="Q100" s="7" t="s">
        <v>92</v>
      </c>
      <c r="R100" s="7" t="s">
        <v>836</v>
      </c>
      <c r="S100" s="7" t="s">
        <v>94</v>
      </c>
      <c r="T100" s="7" t="s">
        <v>95</v>
      </c>
      <c r="U100" s="7"/>
      <c r="V100" s="7"/>
      <c r="W100" s="7" t="s">
        <v>96</v>
      </c>
      <c r="X100" s="7">
        <v>0</v>
      </c>
      <c r="Y100" s="7">
        <v>3</v>
      </c>
      <c r="Z100" s="7">
        <f t="shared" si="15"/>
        <v>3</v>
      </c>
      <c r="AA100" s="7" t="str">
        <f t="shared" si="16"/>
        <v>Gap to CSA level</v>
      </c>
      <c r="AB100" s="7" t="str">
        <f t="shared" si="17"/>
        <v>Not Compliant</v>
      </c>
      <c r="AC100" s="7" t="str">
        <f t="shared" si="18"/>
        <v>Not Compliant</v>
      </c>
      <c r="AD100" s="7" t="str">
        <f t="shared" si="19"/>
        <v>No mapped framework fully compliant</v>
      </c>
      <c r="AE100" s="7" t="s">
        <v>97</v>
      </c>
      <c r="AF100" s="7"/>
      <c r="AG100" s="7" t="str">
        <f>IFERROR(VLOOKUP($C100,Evidence_Library!$A$2:$C$13,2,FALSE),"Control-specific policy/procedure, implementation record, sample evidence, and monitoring proof.")</f>
        <v>Secure SDLC/ML lifecycle procedures; design reviews; threat models; validation and verification plans; test results; code reviews; change approvals; release records; AI-BOM/SBOM where applicable.</v>
      </c>
      <c r="AH100" s="7" t="str">
        <f>IFERROR(VLOOKUP($C100,Evidence_Library!$A$2:$C$13,3,FALSE),"Inspect design, sample implementation evidence, interview owner, and verify operating effectiveness.")</f>
        <v>Trace a sample model/application release from requirements through testing and approval; verify validation gates, independent review, and documented acceptance criteria.</v>
      </c>
      <c r="AI100" s="7" t="s">
        <v>98</v>
      </c>
      <c r="AJ100" s="7"/>
      <c r="AK100" s="7"/>
      <c r="AL100" s="7"/>
      <c r="AM100" s="7" t="s">
        <v>96</v>
      </c>
      <c r="AN100" s="7"/>
    </row>
    <row r="101" spans="1:40" ht="120">
      <c r="A101" s="7" t="s">
        <v>837</v>
      </c>
      <c r="B101" s="7" t="s">
        <v>838</v>
      </c>
      <c r="C101" s="7" t="s">
        <v>839</v>
      </c>
      <c r="D101" s="7" t="s">
        <v>80</v>
      </c>
      <c r="E101" s="7" t="s">
        <v>840</v>
      </c>
      <c r="F101" s="7" t="s">
        <v>841</v>
      </c>
      <c r="G101" s="7" t="s">
        <v>83</v>
      </c>
      <c r="H101" s="7" t="s">
        <v>84</v>
      </c>
      <c r="I101" s="7" t="s">
        <v>842</v>
      </c>
      <c r="J101" s="7" t="s">
        <v>86</v>
      </c>
      <c r="K101" s="7" t="s">
        <v>87</v>
      </c>
      <c r="L101" s="7" t="s">
        <v>88</v>
      </c>
      <c r="M101" s="7" t="s">
        <v>843</v>
      </c>
      <c r="N101" s="7" t="s">
        <v>844</v>
      </c>
      <c r="O101" s="7" t="s">
        <v>107</v>
      </c>
      <c r="P101" s="7" t="s">
        <v>845</v>
      </c>
      <c r="Q101" s="7" t="s">
        <v>92</v>
      </c>
      <c r="R101" s="7" t="s">
        <v>846</v>
      </c>
      <c r="S101" s="7" t="s">
        <v>94</v>
      </c>
      <c r="T101" s="7" t="s">
        <v>95</v>
      </c>
      <c r="U101" s="7"/>
      <c r="V101" s="7"/>
      <c r="W101" s="7" t="s">
        <v>96</v>
      </c>
      <c r="X101" s="7">
        <v>0</v>
      </c>
      <c r="Y101" s="7">
        <v>3</v>
      </c>
      <c r="Z101" s="7">
        <f t="shared" si="15"/>
        <v>3</v>
      </c>
      <c r="AA101" s="7" t="str">
        <f t="shared" si="16"/>
        <v>Gap to CSA level</v>
      </c>
      <c r="AB101" s="7" t="str">
        <f t="shared" si="17"/>
        <v>Not Compliant</v>
      </c>
      <c r="AC101" s="7" t="str">
        <f t="shared" si="18"/>
        <v>Not Compliant</v>
      </c>
      <c r="AD101" s="7" t="str">
        <f t="shared" si="19"/>
        <v>No mapped framework fully compliant</v>
      </c>
      <c r="AE101" s="7" t="s">
        <v>97</v>
      </c>
      <c r="AF101" s="7"/>
      <c r="AG101" s="7" t="str">
        <f>IFERROR(VLOOKUP($C101,Evidence_Library!$A$2:$C$13,2,FALSE),"Control-specific policy/procedure, implementation record, sample evidence, and monitoring proof.")</f>
        <v>Control-specific policy/procedure, implementation record, sample evidence, and monitoring proof.</v>
      </c>
      <c r="AH101" s="7" t="str">
        <f>IFERROR(VLOOKUP($C101,Evidence_Library!$A$2:$C$13,3,FALSE),"Inspect design, sample implementation evidence, interview owner, and verify operating effectiveness.")</f>
        <v>Inspect design, sample implementation evidence, interview owner, and verify operating effectiveness.</v>
      </c>
      <c r="AI101" s="7" t="s">
        <v>98</v>
      </c>
      <c r="AJ101" s="7"/>
      <c r="AK101" s="7"/>
      <c r="AL101" s="7"/>
      <c r="AM101" s="7" t="s">
        <v>96</v>
      </c>
      <c r="AN101" s="7"/>
    </row>
    <row r="102" spans="1:40" ht="409.6">
      <c r="A102" s="7" t="s">
        <v>837</v>
      </c>
      <c r="B102" s="7" t="s">
        <v>847</v>
      </c>
      <c r="C102" s="7" t="s">
        <v>839</v>
      </c>
      <c r="D102" s="7" t="s">
        <v>80</v>
      </c>
      <c r="E102" s="7" t="s">
        <v>848</v>
      </c>
      <c r="F102" s="7" t="s">
        <v>849</v>
      </c>
      <c r="G102" s="7" t="s">
        <v>83</v>
      </c>
      <c r="H102" s="7" t="s">
        <v>84</v>
      </c>
      <c r="I102" s="7" t="s">
        <v>850</v>
      </c>
      <c r="J102" s="7" t="s">
        <v>851</v>
      </c>
      <c r="K102" s="7" t="s">
        <v>852</v>
      </c>
      <c r="L102" s="7" t="s">
        <v>208</v>
      </c>
      <c r="M102" s="7" t="s">
        <v>853</v>
      </c>
      <c r="N102" s="7" t="s">
        <v>854</v>
      </c>
      <c r="O102" s="7" t="s">
        <v>107</v>
      </c>
      <c r="P102" s="7" t="s">
        <v>855</v>
      </c>
      <c r="Q102" s="7" t="s">
        <v>92</v>
      </c>
      <c r="R102" s="7" t="s">
        <v>856</v>
      </c>
      <c r="S102" s="7" t="s">
        <v>94</v>
      </c>
      <c r="T102" s="7" t="s">
        <v>95</v>
      </c>
      <c r="U102" s="7"/>
      <c r="V102" s="7"/>
      <c r="W102" s="7" t="s">
        <v>96</v>
      </c>
      <c r="X102" s="7">
        <v>0</v>
      </c>
      <c r="Y102" s="7">
        <v>3</v>
      </c>
      <c r="Z102" s="7">
        <f t="shared" si="15"/>
        <v>3</v>
      </c>
      <c r="AA102" s="7" t="str">
        <f t="shared" si="16"/>
        <v>Gap to CSA level</v>
      </c>
      <c r="AB102" s="7" t="str">
        <f t="shared" si="17"/>
        <v>Not Compliant</v>
      </c>
      <c r="AC102" s="7" t="str">
        <f t="shared" si="18"/>
        <v>Not Compliant</v>
      </c>
      <c r="AD102" s="7" t="str">
        <f t="shared" si="19"/>
        <v>No mapped framework fully compliant</v>
      </c>
      <c r="AE102" s="7" t="s">
        <v>97</v>
      </c>
      <c r="AF102" s="7"/>
      <c r="AG102" s="7" t="str">
        <f>IFERROR(VLOOKUP($C102,Evidence_Library!$A$2:$C$13,2,FALSE),"Control-specific policy/procedure, implementation record, sample evidence, and monitoring proof.")</f>
        <v>Control-specific policy/procedure, implementation record, sample evidence, and monitoring proof.</v>
      </c>
      <c r="AH102" s="7" t="str">
        <f>IFERROR(VLOOKUP($C102,Evidence_Library!$A$2:$C$13,3,FALSE),"Inspect design, sample implementation evidence, interview owner, and verify operating effectiveness.")</f>
        <v>Inspect design, sample implementation evidence, interview owner, and verify operating effectiveness.</v>
      </c>
      <c r="AI102" s="7" t="s">
        <v>98</v>
      </c>
      <c r="AJ102" s="7"/>
      <c r="AK102" s="7"/>
      <c r="AL102" s="7"/>
      <c r="AM102" s="7" t="s">
        <v>96</v>
      </c>
      <c r="AN102" s="7"/>
    </row>
    <row r="103" spans="1:40" ht="75">
      <c r="A103" s="7" t="s">
        <v>837</v>
      </c>
      <c r="B103" s="7" t="s">
        <v>857</v>
      </c>
      <c r="C103" s="7" t="s">
        <v>839</v>
      </c>
      <c r="D103" s="7" t="s">
        <v>111</v>
      </c>
      <c r="E103" s="7" t="s">
        <v>858</v>
      </c>
      <c r="F103" s="7" t="s">
        <v>859</v>
      </c>
      <c r="G103" s="7" t="s">
        <v>83</v>
      </c>
      <c r="H103" s="7" t="s">
        <v>84</v>
      </c>
      <c r="I103" s="7" t="s">
        <v>860</v>
      </c>
      <c r="J103" s="7" t="s">
        <v>861</v>
      </c>
      <c r="K103" s="7" t="s">
        <v>862</v>
      </c>
      <c r="L103" s="7" t="s">
        <v>88</v>
      </c>
      <c r="M103" s="7" t="s">
        <v>863</v>
      </c>
      <c r="N103" s="7" t="s">
        <v>864</v>
      </c>
      <c r="O103" s="7" t="s">
        <v>88</v>
      </c>
      <c r="P103" s="7" t="s">
        <v>845</v>
      </c>
      <c r="Q103" s="7" t="s">
        <v>92</v>
      </c>
      <c r="R103" s="7" t="s">
        <v>865</v>
      </c>
      <c r="S103" s="7" t="s">
        <v>94</v>
      </c>
      <c r="T103" s="7" t="s">
        <v>95</v>
      </c>
      <c r="U103" s="7"/>
      <c r="V103" s="7"/>
      <c r="W103" s="7" t="s">
        <v>96</v>
      </c>
      <c r="X103" s="7">
        <v>0</v>
      </c>
      <c r="Y103" s="7">
        <v>3</v>
      </c>
      <c r="Z103" s="7">
        <f t="shared" si="15"/>
        <v>3</v>
      </c>
      <c r="AA103" s="7" t="str">
        <f t="shared" si="16"/>
        <v>Gap to CSA level</v>
      </c>
      <c r="AB103" s="7" t="str">
        <f t="shared" si="17"/>
        <v>Not Compliant</v>
      </c>
      <c r="AC103" s="7" t="str">
        <f t="shared" si="18"/>
        <v>Not Compliant</v>
      </c>
      <c r="AD103" s="7" t="str">
        <f t="shared" si="19"/>
        <v>No mapped framework fully compliant</v>
      </c>
      <c r="AE103" s="7" t="s">
        <v>97</v>
      </c>
      <c r="AF103" s="7"/>
      <c r="AG103" s="7" t="str">
        <f>IFERROR(VLOOKUP($C103,Evidence_Library!$A$2:$C$13,2,FALSE),"Control-specific policy/procedure, implementation record, sample evidence, and monitoring proof.")</f>
        <v>Control-specific policy/procedure, implementation record, sample evidence, and monitoring proof.</v>
      </c>
      <c r="AH103" s="7" t="str">
        <f>IFERROR(VLOOKUP($C103,Evidence_Library!$A$2:$C$13,3,FALSE),"Inspect design, sample implementation evidence, interview owner, and verify operating effectiveness.")</f>
        <v>Inspect design, sample implementation evidence, interview owner, and verify operating effectiveness.</v>
      </c>
      <c r="AI103" s="7" t="s">
        <v>98</v>
      </c>
      <c r="AJ103" s="7"/>
      <c r="AK103" s="7"/>
      <c r="AL103" s="7"/>
      <c r="AM103" s="7" t="s">
        <v>96</v>
      </c>
      <c r="AN103" s="7"/>
    </row>
    <row r="104" spans="1:40" ht="409.6">
      <c r="A104" s="7" t="s">
        <v>837</v>
      </c>
      <c r="B104" s="7" t="s">
        <v>866</v>
      </c>
      <c r="C104" s="7" t="s">
        <v>839</v>
      </c>
      <c r="D104" s="7" t="s">
        <v>111</v>
      </c>
      <c r="E104" s="7" t="s">
        <v>867</v>
      </c>
      <c r="F104" s="7" t="s">
        <v>868</v>
      </c>
      <c r="G104" s="7" t="s">
        <v>83</v>
      </c>
      <c r="H104" s="7" t="s">
        <v>84</v>
      </c>
      <c r="I104" s="7" t="s">
        <v>869</v>
      </c>
      <c r="J104" s="7" t="s">
        <v>851</v>
      </c>
      <c r="K104" s="7" t="s">
        <v>852</v>
      </c>
      <c r="L104" s="7" t="s">
        <v>208</v>
      </c>
      <c r="M104" s="7" t="s">
        <v>723</v>
      </c>
      <c r="N104" s="7" t="s">
        <v>724</v>
      </c>
      <c r="O104" s="7" t="s">
        <v>107</v>
      </c>
      <c r="P104" s="7" t="s">
        <v>845</v>
      </c>
      <c r="Q104" s="7" t="s">
        <v>92</v>
      </c>
      <c r="R104" s="7" t="s">
        <v>870</v>
      </c>
      <c r="S104" s="7" t="s">
        <v>94</v>
      </c>
      <c r="T104" s="7" t="s">
        <v>95</v>
      </c>
      <c r="U104" s="7"/>
      <c r="V104" s="7"/>
      <c r="W104" s="7" t="s">
        <v>96</v>
      </c>
      <c r="X104" s="7">
        <v>0</v>
      </c>
      <c r="Y104" s="7">
        <v>3</v>
      </c>
      <c r="Z104" s="7">
        <f t="shared" si="15"/>
        <v>3</v>
      </c>
      <c r="AA104" s="7" t="str">
        <f t="shared" si="16"/>
        <v>Gap to CSA level</v>
      </c>
      <c r="AB104" s="7" t="str">
        <f t="shared" si="17"/>
        <v>Not Compliant</v>
      </c>
      <c r="AC104" s="7" t="str">
        <f t="shared" si="18"/>
        <v>Not Compliant</v>
      </c>
      <c r="AD104" s="7" t="str">
        <f t="shared" si="19"/>
        <v>No mapped framework fully compliant</v>
      </c>
      <c r="AE104" s="7" t="s">
        <v>97</v>
      </c>
      <c r="AF104" s="7"/>
      <c r="AG104" s="7" t="str">
        <f>IFERROR(VLOOKUP($C104,Evidence_Library!$A$2:$C$13,2,FALSE),"Control-specific policy/procedure, implementation record, sample evidence, and monitoring proof.")</f>
        <v>Control-specific policy/procedure, implementation record, sample evidence, and monitoring proof.</v>
      </c>
      <c r="AH104" s="7" t="str">
        <f>IFERROR(VLOOKUP($C104,Evidence_Library!$A$2:$C$13,3,FALSE),"Inspect design, sample implementation evidence, interview owner, and verify operating effectiveness.")</f>
        <v>Inspect design, sample implementation evidence, interview owner, and verify operating effectiveness.</v>
      </c>
      <c r="AI104" s="7" t="s">
        <v>98</v>
      </c>
      <c r="AJ104" s="7"/>
      <c r="AK104" s="7"/>
      <c r="AL104" s="7"/>
      <c r="AM104" s="7" t="s">
        <v>96</v>
      </c>
      <c r="AN104" s="7"/>
    </row>
    <row r="105" spans="1:40" ht="409.6">
      <c r="A105" s="7" t="s">
        <v>837</v>
      </c>
      <c r="B105" s="7" t="s">
        <v>871</v>
      </c>
      <c r="C105" s="7" t="s">
        <v>839</v>
      </c>
      <c r="D105" s="7" t="s">
        <v>111</v>
      </c>
      <c r="E105" s="7" t="s">
        <v>872</v>
      </c>
      <c r="F105" s="7" t="s">
        <v>873</v>
      </c>
      <c r="G105" s="7" t="s">
        <v>83</v>
      </c>
      <c r="H105" s="7" t="s">
        <v>874</v>
      </c>
      <c r="I105" s="7" t="s">
        <v>875</v>
      </c>
      <c r="J105" s="7" t="s">
        <v>851</v>
      </c>
      <c r="K105" s="7" t="s">
        <v>852</v>
      </c>
      <c r="L105" s="7" t="s">
        <v>208</v>
      </c>
      <c r="M105" s="7" t="s">
        <v>752</v>
      </c>
      <c r="N105" s="7" t="s">
        <v>753</v>
      </c>
      <c r="O105" s="7" t="s">
        <v>107</v>
      </c>
      <c r="P105" s="7" t="s">
        <v>876</v>
      </c>
      <c r="Q105" s="7" t="s">
        <v>92</v>
      </c>
      <c r="R105" s="7" t="s">
        <v>877</v>
      </c>
      <c r="S105" s="7" t="s">
        <v>94</v>
      </c>
      <c r="T105" s="7" t="s">
        <v>95</v>
      </c>
      <c r="U105" s="7"/>
      <c r="V105" s="7"/>
      <c r="W105" s="7" t="s">
        <v>96</v>
      </c>
      <c r="X105" s="7">
        <v>0</v>
      </c>
      <c r="Y105" s="7">
        <v>3</v>
      </c>
      <c r="Z105" s="7">
        <f t="shared" si="15"/>
        <v>3</v>
      </c>
      <c r="AA105" s="7" t="str">
        <f t="shared" si="16"/>
        <v>Gap to CSA level</v>
      </c>
      <c r="AB105" s="7" t="str">
        <f t="shared" si="17"/>
        <v>Not Compliant</v>
      </c>
      <c r="AC105" s="7" t="str">
        <f t="shared" si="18"/>
        <v>Not Compliant</v>
      </c>
      <c r="AD105" s="7" t="str">
        <f t="shared" si="19"/>
        <v>No mapped framework fully compliant</v>
      </c>
      <c r="AE105" s="7" t="s">
        <v>97</v>
      </c>
      <c r="AF105" s="7"/>
      <c r="AG105" s="7" t="str">
        <f>IFERROR(VLOOKUP($C105,Evidence_Library!$A$2:$C$13,2,FALSE),"Control-specific policy/procedure, implementation record, sample evidence, and monitoring proof.")</f>
        <v>Control-specific policy/procedure, implementation record, sample evidence, and monitoring proof.</v>
      </c>
      <c r="AH105" s="7" t="str">
        <f>IFERROR(VLOOKUP($C105,Evidence_Library!$A$2:$C$13,3,FALSE),"Inspect design, sample implementation evidence, interview owner, and verify operating effectiveness.")</f>
        <v>Inspect design, sample implementation evidence, interview owner, and verify operating effectiveness.</v>
      </c>
      <c r="AI105" s="7" t="s">
        <v>98</v>
      </c>
      <c r="AJ105" s="7"/>
      <c r="AK105" s="7"/>
      <c r="AL105" s="7"/>
      <c r="AM105" s="7" t="s">
        <v>96</v>
      </c>
      <c r="AN105" s="7"/>
    </row>
    <row r="106" spans="1:40" ht="180">
      <c r="A106" s="7" t="s">
        <v>837</v>
      </c>
      <c r="B106" s="7" t="s">
        <v>878</v>
      </c>
      <c r="C106" s="7" t="s">
        <v>839</v>
      </c>
      <c r="D106" s="7" t="s">
        <v>144</v>
      </c>
      <c r="E106" s="7" t="s">
        <v>879</v>
      </c>
      <c r="F106" s="7" t="s">
        <v>880</v>
      </c>
      <c r="G106" s="7" t="s">
        <v>135</v>
      </c>
      <c r="H106" s="7" t="s">
        <v>84</v>
      </c>
      <c r="I106" s="7" t="s">
        <v>881</v>
      </c>
      <c r="J106" s="7" t="s">
        <v>882</v>
      </c>
      <c r="K106" s="7" t="s">
        <v>883</v>
      </c>
      <c r="L106" s="7" t="s">
        <v>88</v>
      </c>
      <c r="M106" s="7" t="s">
        <v>402</v>
      </c>
      <c r="N106" s="7" t="s">
        <v>403</v>
      </c>
      <c r="O106" s="7" t="s">
        <v>88</v>
      </c>
      <c r="P106" s="7" t="s">
        <v>884</v>
      </c>
      <c r="Q106" s="7" t="s">
        <v>92</v>
      </c>
      <c r="R106" s="7" t="s">
        <v>885</v>
      </c>
      <c r="S106" s="7" t="s">
        <v>94</v>
      </c>
      <c r="T106" s="7" t="s">
        <v>95</v>
      </c>
      <c r="U106" s="7"/>
      <c r="V106" s="7"/>
      <c r="W106" s="7" t="s">
        <v>96</v>
      </c>
      <c r="X106" s="7">
        <v>0</v>
      </c>
      <c r="Y106" s="7">
        <v>3</v>
      </c>
      <c r="Z106" s="7">
        <f t="shared" si="15"/>
        <v>3</v>
      </c>
      <c r="AA106" s="7" t="str">
        <f t="shared" si="16"/>
        <v>Gap to CSA level</v>
      </c>
      <c r="AB106" s="7" t="str">
        <f t="shared" si="17"/>
        <v>Not Compliant</v>
      </c>
      <c r="AC106" s="7" t="str">
        <f t="shared" si="18"/>
        <v>Not Compliant</v>
      </c>
      <c r="AD106" s="7" t="str">
        <f t="shared" si="19"/>
        <v>No mapped framework fully compliant</v>
      </c>
      <c r="AE106" s="7" t="s">
        <v>97</v>
      </c>
      <c r="AF106" s="7"/>
      <c r="AG106" s="7" t="str">
        <f>IFERROR(VLOOKUP($C106,Evidence_Library!$A$2:$C$13,2,FALSE),"Control-specific policy/procedure, implementation record, sample evidence, and monitoring proof.")</f>
        <v>Control-specific policy/procedure, implementation record, sample evidence, and monitoring proof.</v>
      </c>
      <c r="AH106" s="7" t="str">
        <f>IFERROR(VLOOKUP($C106,Evidence_Library!$A$2:$C$13,3,FALSE),"Inspect design, sample implementation evidence, interview owner, and verify operating effectiveness.")</f>
        <v>Inspect design, sample implementation evidence, interview owner, and verify operating effectiveness.</v>
      </c>
      <c r="AI106" s="7" t="s">
        <v>98</v>
      </c>
      <c r="AJ106" s="7"/>
      <c r="AK106" s="7"/>
      <c r="AL106" s="7"/>
      <c r="AM106" s="7" t="s">
        <v>96</v>
      </c>
      <c r="AN106" s="7"/>
    </row>
    <row r="107" spans="1:40" ht="225">
      <c r="A107" s="7" t="s">
        <v>837</v>
      </c>
      <c r="B107" s="7" t="s">
        <v>886</v>
      </c>
      <c r="C107" s="7" t="s">
        <v>839</v>
      </c>
      <c r="D107" s="7" t="s">
        <v>144</v>
      </c>
      <c r="E107" s="7" t="s">
        <v>887</v>
      </c>
      <c r="F107" s="7" t="s">
        <v>888</v>
      </c>
      <c r="G107" s="7" t="s">
        <v>124</v>
      </c>
      <c r="H107" s="7" t="s">
        <v>84</v>
      </c>
      <c r="I107" s="7" t="s">
        <v>889</v>
      </c>
      <c r="J107" s="7" t="s">
        <v>458</v>
      </c>
      <c r="K107" s="7" t="s">
        <v>459</v>
      </c>
      <c r="L107" s="7" t="s">
        <v>88</v>
      </c>
      <c r="M107" s="7" t="s">
        <v>890</v>
      </c>
      <c r="N107" s="7" t="s">
        <v>891</v>
      </c>
      <c r="O107" s="7" t="s">
        <v>107</v>
      </c>
      <c r="P107" s="7" t="s">
        <v>845</v>
      </c>
      <c r="Q107" s="7" t="s">
        <v>92</v>
      </c>
      <c r="R107" s="7" t="s">
        <v>892</v>
      </c>
      <c r="S107" s="7" t="s">
        <v>94</v>
      </c>
      <c r="T107" s="7" t="s">
        <v>95</v>
      </c>
      <c r="U107" s="7"/>
      <c r="V107" s="7"/>
      <c r="W107" s="7" t="s">
        <v>96</v>
      </c>
      <c r="X107" s="7">
        <v>0</v>
      </c>
      <c r="Y107" s="7">
        <v>3</v>
      </c>
      <c r="Z107" s="7">
        <f t="shared" si="15"/>
        <v>3</v>
      </c>
      <c r="AA107" s="7" t="str">
        <f t="shared" si="16"/>
        <v>Gap to CSA level</v>
      </c>
      <c r="AB107" s="7" t="str">
        <f t="shared" si="17"/>
        <v>Not Compliant</v>
      </c>
      <c r="AC107" s="7" t="str">
        <f t="shared" si="18"/>
        <v>Not Compliant</v>
      </c>
      <c r="AD107" s="7" t="str">
        <f t="shared" si="19"/>
        <v>No mapped framework fully compliant</v>
      </c>
      <c r="AE107" s="7" t="s">
        <v>97</v>
      </c>
      <c r="AF107" s="7"/>
      <c r="AG107" s="7" t="str">
        <f>IFERROR(VLOOKUP($C107,Evidence_Library!$A$2:$C$13,2,FALSE),"Control-specific policy/procedure, implementation record, sample evidence, and monitoring proof.")</f>
        <v>Control-specific policy/procedure, implementation record, sample evidence, and monitoring proof.</v>
      </c>
      <c r="AH107" s="7" t="str">
        <f>IFERROR(VLOOKUP($C107,Evidence_Library!$A$2:$C$13,3,FALSE),"Inspect design, sample implementation evidence, interview owner, and verify operating effectiveness.")</f>
        <v>Inspect design, sample implementation evidence, interview owner, and verify operating effectiveness.</v>
      </c>
      <c r="AI107" s="7" t="s">
        <v>98</v>
      </c>
      <c r="AJ107" s="7"/>
      <c r="AK107" s="7"/>
      <c r="AL107" s="7"/>
      <c r="AM107" s="7" t="s">
        <v>96</v>
      </c>
      <c r="AN107" s="7"/>
    </row>
    <row r="108" spans="1:40" ht="409.6">
      <c r="A108" s="7" t="s">
        <v>837</v>
      </c>
      <c r="B108" s="7" t="s">
        <v>893</v>
      </c>
      <c r="C108" s="7" t="s">
        <v>839</v>
      </c>
      <c r="D108" s="7" t="s">
        <v>144</v>
      </c>
      <c r="E108" s="7" t="s">
        <v>894</v>
      </c>
      <c r="F108" s="7" t="s">
        <v>895</v>
      </c>
      <c r="G108" s="7" t="s">
        <v>135</v>
      </c>
      <c r="H108" s="7" t="s">
        <v>84</v>
      </c>
      <c r="I108" s="7" t="s">
        <v>896</v>
      </c>
      <c r="J108" s="7" t="s">
        <v>851</v>
      </c>
      <c r="K108" s="7" t="s">
        <v>852</v>
      </c>
      <c r="L108" s="7" t="s">
        <v>208</v>
      </c>
      <c r="M108" s="7" t="s">
        <v>186</v>
      </c>
      <c r="N108" s="7" t="s">
        <v>187</v>
      </c>
      <c r="O108" s="7" t="s">
        <v>107</v>
      </c>
      <c r="P108" s="7" t="s">
        <v>876</v>
      </c>
      <c r="Q108" s="7" t="s">
        <v>92</v>
      </c>
      <c r="R108" s="7" t="s">
        <v>897</v>
      </c>
      <c r="S108" s="7" t="s">
        <v>94</v>
      </c>
      <c r="T108" s="7" t="s">
        <v>95</v>
      </c>
      <c r="U108" s="7"/>
      <c r="V108" s="7"/>
      <c r="W108" s="7" t="s">
        <v>96</v>
      </c>
      <c r="X108" s="7">
        <v>0</v>
      </c>
      <c r="Y108" s="7">
        <v>3</v>
      </c>
      <c r="Z108" s="7">
        <f t="shared" si="15"/>
        <v>3</v>
      </c>
      <c r="AA108" s="7" t="str">
        <f t="shared" si="16"/>
        <v>Gap to CSA level</v>
      </c>
      <c r="AB108" s="7" t="str">
        <f t="shared" si="17"/>
        <v>Not Compliant</v>
      </c>
      <c r="AC108" s="7" t="str">
        <f t="shared" si="18"/>
        <v>Not Compliant</v>
      </c>
      <c r="AD108" s="7" t="str">
        <f t="shared" si="19"/>
        <v>No mapped framework fully compliant</v>
      </c>
      <c r="AE108" s="7" t="s">
        <v>97</v>
      </c>
      <c r="AF108" s="7"/>
      <c r="AG108" s="7" t="str">
        <f>IFERROR(VLOOKUP($C108,Evidence_Library!$A$2:$C$13,2,FALSE),"Control-specific policy/procedure, implementation record, sample evidence, and monitoring proof.")</f>
        <v>Control-specific policy/procedure, implementation record, sample evidence, and monitoring proof.</v>
      </c>
      <c r="AH108" s="7" t="str">
        <f>IFERROR(VLOOKUP($C108,Evidence_Library!$A$2:$C$13,3,FALSE),"Inspect design, sample implementation evidence, interview owner, and verify operating effectiveness.")</f>
        <v>Inspect design, sample implementation evidence, interview owner, and verify operating effectiveness.</v>
      </c>
      <c r="AI108" s="7" t="s">
        <v>98</v>
      </c>
      <c r="AJ108" s="7"/>
      <c r="AK108" s="7"/>
      <c r="AL108" s="7"/>
      <c r="AM108" s="7" t="s">
        <v>96</v>
      </c>
      <c r="AN108" s="7"/>
    </row>
    <row r="109" spans="1:40" ht="75">
      <c r="A109" s="7" t="s">
        <v>837</v>
      </c>
      <c r="B109" s="7" t="s">
        <v>898</v>
      </c>
      <c r="C109" s="7" t="s">
        <v>839</v>
      </c>
      <c r="D109" s="7" t="s">
        <v>171</v>
      </c>
      <c r="E109" s="7" t="s">
        <v>899</v>
      </c>
      <c r="F109" s="7" t="s">
        <v>900</v>
      </c>
      <c r="G109" s="7" t="s">
        <v>135</v>
      </c>
      <c r="H109" s="7" t="s">
        <v>84</v>
      </c>
      <c r="I109" s="7" t="s">
        <v>901</v>
      </c>
      <c r="J109" s="7" t="s">
        <v>260</v>
      </c>
      <c r="K109" s="7" t="s">
        <v>261</v>
      </c>
      <c r="L109" s="7" t="s">
        <v>88</v>
      </c>
      <c r="M109" s="7" t="s">
        <v>902</v>
      </c>
      <c r="N109" s="7" t="s">
        <v>903</v>
      </c>
      <c r="O109" s="7" t="s">
        <v>88</v>
      </c>
      <c r="P109" s="7" t="s">
        <v>904</v>
      </c>
      <c r="Q109" s="7" t="s">
        <v>92</v>
      </c>
      <c r="R109" s="7" t="s">
        <v>905</v>
      </c>
      <c r="S109" s="7" t="s">
        <v>94</v>
      </c>
      <c r="T109" s="7" t="s">
        <v>95</v>
      </c>
      <c r="U109" s="7"/>
      <c r="V109" s="7"/>
      <c r="W109" s="7" t="s">
        <v>96</v>
      </c>
      <c r="X109" s="7">
        <v>0</v>
      </c>
      <c r="Y109" s="7">
        <v>3</v>
      </c>
      <c r="Z109" s="7">
        <f t="shared" si="15"/>
        <v>3</v>
      </c>
      <c r="AA109" s="7" t="str">
        <f t="shared" si="16"/>
        <v>Gap to CSA level</v>
      </c>
      <c r="AB109" s="7" t="str">
        <f t="shared" si="17"/>
        <v>Not Compliant</v>
      </c>
      <c r="AC109" s="7" t="str">
        <f t="shared" si="18"/>
        <v>Not Compliant</v>
      </c>
      <c r="AD109" s="7" t="str">
        <f t="shared" si="19"/>
        <v>No mapped framework fully compliant</v>
      </c>
      <c r="AE109" s="7" t="s">
        <v>97</v>
      </c>
      <c r="AF109" s="7"/>
      <c r="AG109" s="7" t="str">
        <f>IFERROR(VLOOKUP($C109,Evidence_Library!$A$2:$C$13,2,FALSE),"Control-specific policy/procedure, implementation record, sample evidence, and monitoring proof.")</f>
        <v>Control-specific policy/procedure, implementation record, sample evidence, and monitoring proof.</v>
      </c>
      <c r="AH109" s="7" t="str">
        <f>IFERROR(VLOOKUP($C109,Evidence_Library!$A$2:$C$13,3,FALSE),"Inspect design, sample implementation evidence, interview owner, and verify operating effectiveness.")</f>
        <v>Inspect design, sample implementation evidence, interview owner, and verify operating effectiveness.</v>
      </c>
      <c r="AI109" s="7" t="s">
        <v>98</v>
      </c>
      <c r="AJ109" s="7"/>
      <c r="AK109" s="7"/>
      <c r="AL109" s="7"/>
      <c r="AM109" s="7" t="s">
        <v>96</v>
      </c>
      <c r="AN109" s="7"/>
    </row>
    <row r="110" spans="1:40" ht="75">
      <c r="A110" s="7" t="s">
        <v>837</v>
      </c>
      <c r="B110" s="7" t="s">
        <v>906</v>
      </c>
      <c r="C110" s="7" t="s">
        <v>839</v>
      </c>
      <c r="D110" s="7" t="s">
        <v>171</v>
      </c>
      <c r="E110" s="7" t="s">
        <v>907</v>
      </c>
      <c r="F110" s="7" t="s">
        <v>908</v>
      </c>
      <c r="G110" s="7" t="s">
        <v>135</v>
      </c>
      <c r="H110" s="7" t="s">
        <v>84</v>
      </c>
      <c r="I110" s="7" t="s">
        <v>909</v>
      </c>
      <c r="J110" s="7" t="s">
        <v>260</v>
      </c>
      <c r="K110" s="7" t="s">
        <v>261</v>
      </c>
      <c r="L110" s="7" t="s">
        <v>88</v>
      </c>
      <c r="M110" s="7" t="s">
        <v>177</v>
      </c>
      <c r="N110" s="7" t="s">
        <v>178</v>
      </c>
      <c r="O110" s="7" t="s">
        <v>88</v>
      </c>
      <c r="P110" s="7" t="s">
        <v>845</v>
      </c>
      <c r="Q110" s="7" t="s">
        <v>92</v>
      </c>
      <c r="R110" s="7" t="s">
        <v>910</v>
      </c>
      <c r="S110" s="7" t="s">
        <v>94</v>
      </c>
      <c r="T110" s="7" t="s">
        <v>95</v>
      </c>
      <c r="U110" s="7"/>
      <c r="V110" s="7"/>
      <c r="W110" s="7" t="s">
        <v>96</v>
      </c>
      <c r="X110" s="7">
        <v>0</v>
      </c>
      <c r="Y110" s="7">
        <v>3</v>
      </c>
      <c r="Z110" s="7">
        <f t="shared" si="15"/>
        <v>3</v>
      </c>
      <c r="AA110" s="7" t="str">
        <f t="shared" si="16"/>
        <v>Gap to CSA level</v>
      </c>
      <c r="AB110" s="7" t="str">
        <f t="shared" si="17"/>
        <v>Not Compliant</v>
      </c>
      <c r="AC110" s="7" t="str">
        <f t="shared" si="18"/>
        <v>Not Compliant</v>
      </c>
      <c r="AD110" s="7" t="str">
        <f t="shared" si="19"/>
        <v>No mapped framework fully compliant</v>
      </c>
      <c r="AE110" s="7" t="s">
        <v>97</v>
      </c>
      <c r="AF110" s="7"/>
      <c r="AG110" s="7" t="str">
        <f>IFERROR(VLOOKUP($C110,Evidence_Library!$A$2:$C$13,2,FALSE),"Control-specific policy/procedure, implementation record, sample evidence, and monitoring proof.")</f>
        <v>Control-specific policy/procedure, implementation record, sample evidence, and monitoring proof.</v>
      </c>
      <c r="AH110" s="7" t="str">
        <f>IFERROR(VLOOKUP($C110,Evidence_Library!$A$2:$C$13,3,FALSE),"Inspect design, sample implementation evidence, interview owner, and verify operating effectiveness.")</f>
        <v>Inspect design, sample implementation evidence, interview owner, and verify operating effectiveness.</v>
      </c>
      <c r="AI110" s="7" t="s">
        <v>98</v>
      </c>
      <c r="AJ110" s="7"/>
      <c r="AK110" s="7"/>
      <c r="AL110" s="7"/>
      <c r="AM110" s="7" t="s">
        <v>96</v>
      </c>
      <c r="AN110" s="7"/>
    </row>
    <row r="111" spans="1:40" ht="409.6">
      <c r="A111" s="7" t="s">
        <v>837</v>
      </c>
      <c r="B111" s="7" t="s">
        <v>911</v>
      </c>
      <c r="C111" s="7" t="s">
        <v>839</v>
      </c>
      <c r="D111" s="7" t="s">
        <v>171</v>
      </c>
      <c r="E111" s="7" t="s">
        <v>912</v>
      </c>
      <c r="F111" s="7" t="s">
        <v>913</v>
      </c>
      <c r="G111" s="7" t="s">
        <v>135</v>
      </c>
      <c r="H111" s="7" t="s">
        <v>84</v>
      </c>
      <c r="I111" s="7" t="s">
        <v>914</v>
      </c>
      <c r="J111" s="7" t="s">
        <v>851</v>
      </c>
      <c r="K111" s="7" t="s">
        <v>852</v>
      </c>
      <c r="L111" s="7" t="s">
        <v>208</v>
      </c>
      <c r="M111" s="7" t="s">
        <v>158</v>
      </c>
      <c r="N111" s="7" t="s">
        <v>159</v>
      </c>
      <c r="O111" s="7" t="s">
        <v>107</v>
      </c>
      <c r="P111" s="7" t="s">
        <v>845</v>
      </c>
      <c r="Q111" s="7" t="s">
        <v>92</v>
      </c>
      <c r="R111" s="7" t="s">
        <v>915</v>
      </c>
      <c r="S111" s="7" t="s">
        <v>94</v>
      </c>
      <c r="T111" s="7" t="s">
        <v>95</v>
      </c>
      <c r="U111" s="7"/>
      <c r="V111" s="7"/>
      <c r="W111" s="7" t="s">
        <v>96</v>
      </c>
      <c r="X111" s="7">
        <v>0</v>
      </c>
      <c r="Y111" s="7">
        <v>3</v>
      </c>
      <c r="Z111" s="7">
        <f t="shared" si="15"/>
        <v>3</v>
      </c>
      <c r="AA111" s="7" t="str">
        <f t="shared" si="16"/>
        <v>Gap to CSA level</v>
      </c>
      <c r="AB111" s="7" t="str">
        <f t="shared" si="17"/>
        <v>Not Compliant</v>
      </c>
      <c r="AC111" s="7" t="str">
        <f t="shared" si="18"/>
        <v>Not Compliant</v>
      </c>
      <c r="AD111" s="7" t="str">
        <f t="shared" si="19"/>
        <v>No mapped framework fully compliant</v>
      </c>
      <c r="AE111" s="7" t="s">
        <v>97</v>
      </c>
      <c r="AF111" s="7"/>
      <c r="AG111" s="7" t="str">
        <f>IFERROR(VLOOKUP($C111,Evidence_Library!$A$2:$C$13,2,FALSE),"Control-specific policy/procedure, implementation record, sample evidence, and monitoring proof.")</f>
        <v>Control-specific policy/procedure, implementation record, sample evidence, and monitoring proof.</v>
      </c>
      <c r="AH111" s="7" t="str">
        <f>IFERROR(VLOOKUP($C111,Evidence_Library!$A$2:$C$13,3,FALSE),"Inspect design, sample implementation evidence, interview owner, and verify operating effectiveness.")</f>
        <v>Inspect design, sample implementation evidence, interview owner, and verify operating effectiveness.</v>
      </c>
      <c r="AI111" s="7" t="s">
        <v>98</v>
      </c>
      <c r="AJ111" s="7"/>
      <c r="AK111" s="7"/>
      <c r="AL111" s="7"/>
      <c r="AM111" s="7" t="s">
        <v>96</v>
      </c>
      <c r="AN111" s="7"/>
    </row>
    <row r="112" spans="1:40" ht="135">
      <c r="A112" s="7" t="s">
        <v>916</v>
      </c>
      <c r="B112" s="7" t="s">
        <v>917</v>
      </c>
      <c r="C112" s="7" t="s">
        <v>918</v>
      </c>
      <c r="D112" s="7" t="s">
        <v>80</v>
      </c>
      <c r="E112" s="7" t="s">
        <v>919</v>
      </c>
      <c r="F112" s="7" t="s">
        <v>920</v>
      </c>
      <c r="G112" s="7" t="s">
        <v>83</v>
      </c>
      <c r="H112" s="7" t="s">
        <v>84</v>
      </c>
      <c r="I112" s="7" t="s">
        <v>921</v>
      </c>
      <c r="J112" s="7" t="s">
        <v>260</v>
      </c>
      <c r="K112" s="7" t="s">
        <v>261</v>
      </c>
      <c r="L112" s="7" t="s">
        <v>88</v>
      </c>
      <c r="M112" s="7" t="s">
        <v>922</v>
      </c>
      <c r="N112" s="7" t="s">
        <v>923</v>
      </c>
      <c r="O112" s="7" t="s">
        <v>107</v>
      </c>
      <c r="P112" s="7" t="s">
        <v>924</v>
      </c>
      <c r="Q112" s="7" t="s">
        <v>92</v>
      </c>
      <c r="R112" s="7" t="s">
        <v>925</v>
      </c>
      <c r="S112" s="7" t="s">
        <v>94</v>
      </c>
      <c r="T112" s="7" t="s">
        <v>95</v>
      </c>
      <c r="U112" s="7"/>
      <c r="V112" s="7"/>
      <c r="W112" s="7" t="s">
        <v>96</v>
      </c>
      <c r="X112" s="7">
        <v>0</v>
      </c>
      <c r="Y112" s="7">
        <v>3</v>
      </c>
      <c r="Z112" s="7">
        <f t="shared" si="15"/>
        <v>3</v>
      </c>
      <c r="AA112" s="7" t="str">
        <f t="shared" si="16"/>
        <v>Gap to CSA level</v>
      </c>
      <c r="AB112" s="7" t="str">
        <f t="shared" si="17"/>
        <v>Not Compliant</v>
      </c>
      <c r="AC112" s="7" t="str">
        <f t="shared" si="18"/>
        <v>Not Compliant</v>
      </c>
      <c r="AD112" s="7" t="str">
        <f t="shared" si="19"/>
        <v>No mapped framework fully compliant</v>
      </c>
      <c r="AE112" s="7" t="s">
        <v>97</v>
      </c>
      <c r="AF112" s="7"/>
      <c r="AG112" s="7" t="str">
        <f>IFERROR(VLOOKUP($C112,Evidence_Library!$A$2:$C$13,2,FALSE),"Control-specific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12" s="7" t="str">
        <f>IFERROR(VLOOKUP($C112,Evidence_Library!$A$2:$C$13,3,FALSE),"Inspect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12" s="7" t="s">
        <v>98</v>
      </c>
      <c r="AJ112" s="7"/>
      <c r="AK112" s="7"/>
      <c r="AL112" s="7"/>
      <c r="AM112" s="7" t="s">
        <v>96</v>
      </c>
      <c r="AN112" s="7"/>
    </row>
    <row r="113" spans="1:40" ht="409.6">
      <c r="A113" s="7" t="s">
        <v>916</v>
      </c>
      <c r="B113" s="7" t="s">
        <v>926</v>
      </c>
      <c r="C113" s="7" t="s">
        <v>918</v>
      </c>
      <c r="D113" s="7" t="s">
        <v>80</v>
      </c>
      <c r="E113" s="7" t="s">
        <v>927</v>
      </c>
      <c r="F113" s="7" t="s">
        <v>928</v>
      </c>
      <c r="G113" s="7" t="s">
        <v>124</v>
      </c>
      <c r="H113" s="7" t="s">
        <v>84</v>
      </c>
      <c r="I113" s="7" t="s">
        <v>929</v>
      </c>
      <c r="J113" s="7" t="s">
        <v>930</v>
      </c>
      <c r="K113" s="7" t="s">
        <v>931</v>
      </c>
      <c r="L113" s="7" t="s">
        <v>208</v>
      </c>
      <c r="M113" s="7" t="s">
        <v>932</v>
      </c>
      <c r="N113" s="7" t="s">
        <v>933</v>
      </c>
      <c r="O113" s="7" t="s">
        <v>107</v>
      </c>
      <c r="P113" s="7" t="s">
        <v>934</v>
      </c>
      <c r="Q113" s="7" t="s">
        <v>92</v>
      </c>
      <c r="R113" s="7" t="s">
        <v>935</v>
      </c>
      <c r="S113" s="7" t="s">
        <v>94</v>
      </c>
      <c r="T113" s="7" t="s">
        <v>95</v>
      </c>
      <c r="U113" s="7"/>
      <c r="V113" s="7"/>
      <c r="W113" s="7" t="s">
        <v>96</v>
      </c>
      <c r="X113" s="7">
        <v>0</v>
      </c>
      <c r="Y113" s="7">
        <v>3</v>
      </c>
      <c r="Z113" s="7">
        <f t="shared" si="15"/>
        <v>3</v>
      </c>
      <c r="AA113" s="7" t="str">
        <f t="shared" si="16"/>
        <v>Gap to CSA level</v>
      </c>
      <c r="AB113" s="7" t="str">
        <f t="shared" si="17"/>
        <v>Not Compliant</v>
      </c>
      <c r="AC113" s="7" t="str">
        <f t="shared" si="18"/>
        <v>Not Compliant</v>
      </c>
      <c r="AD113" s="7" t="str">
        <f t="shared" si="19"/>
        <v>No mapped framework fully compliant</v>
      </c>
      <c r="AE113" s="7" t="s">
        <v>97</v>
      </c>
      <c r="AF113" s="7"/>
      <c r="AG113" s="7" t="str">
        <f>IFERROR(VLOOKUP($C113,Evidence_Library!$A$2:$C$13,2,FALSE),"Control-specific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13" s="7" t="str">
        <f>IFERROR(VLOOKUP($C113,Evidence_Library!$A$2:$C$13,3,FALSE),"Inspect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13" s="7" t="s">
        <v>98</v>
      </c>
      <c r="AJ113" s="7"/>
      <c r="AK113" s="7"/>
      <c r="AL113" s="7"/>
      <c r="AM113" s="7" t="s">
        <v>96</v>
      </c>
      <c r="AN113" s="7"/>
    </row>
    <row r="114" spans="1:40" ht="150">
      <c r="A114" s="7" t="s">
        <v>916</v>
      </c>
      <c r="B114" s="7" t="s">
        <v>936</v>
      </c>
      <c r="C114" s="7" t="s">
        <v>918</v>
      </c>
      <c r="D114" s="7" t="s">
        <v>111</v>
      </c>
      <c r="E114" s="7" t="s">
        <v>937</v>
      </c>
      <c r="F114" s="7" t="s">
        <v>938</v>
      </c>
      <c r="G114" s="7" t="s">
        <v>83</v>
      </c>
      <c r="H114" s="7" t="s">
        <v>84</v>
      </c>
      <c r="I114" s="7" t="s">
        <v>939</v>
      </c>
      <c r="J114" s="7" t="s">
        <v>260</v>
      </c>
      <c r="K114" s="7" t="s">
        <v>261</v>
      </c>
      <c r="L114" s="7" t="s">
        <v>88</v>
      </c>
      <c r="M114" s="7" t="s">
        <v>381</v>
      </c>
      <c r="N114" s="7" t="s">
        <v>382</v>
      </c>
      <c r="O114" s="7" t="s">
        <v>107</v>
      </c>
      <c r="P114" s="7" t="s">
        <v>924</v>
      </c>
      <c r="Q114" s="7" t="s">
        <v>92</v>
      </c>
      <c r="R114" s="7" t="s">
        <v>940</v>
      </c>
      <c r="S114" s="7" t="s">
        <v>94</v>
      </c>
      <c r="T114" s="7" t="s">
        <v>95</v>
      </c>
      <c r="U114" s="7"/>
      <c r="V114" s="7"/>
      <c r="W114" s="7" t="s">
        <v>96</v>
      </c>
      <c r="X114" s="7">
        <v>0</v>
      </c>
      <c r="Y114" s="7">
        <v>3</v>
      </c>
      <c r="Z114" s="7">
        <f t="shared" si="15"/>
        <v>3</v>
      </c>
      <c r="AA114" s="7" t="str">
        <f t="shared" si="16"/>
        <v>Gap to CSA level</v>
      </c>
      <c r="AB114" s="7" t="str">
        <f t="shared" si="17"/>
        <v>Not Compliant</v>
      </c>
      <c r="AC114" s="7" t="str">
        <f t="shared" si="18"/>
        <v>Not Compliant</v>
      </c>
      <c r="AD114" s="7" t="str">
        <f t="shared" si="19"/>
        <v>No mapped framework fully compliant</v>
      </c>
      <c r="AE114" s="7" t="s">
        <v>97</v>
      </c>
      <c r="AF114" s="7"/>
      <c r="AG114" s="7" t="str">
        <f>IFERROR(VLOOKUP($C114,Evidence_Library!$A$2:$C$13,2,FALSE),"Control-specific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14" s="7" t="str">
        <f>IFERROR(VLOOKUP($C114,Evidence_Library!$A$2:$C$13,3,FALSE),"Inspect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14" s="7" t="s">
        <v>98</v>
      </c>
      <c r="AJ114" s="7"/>
      <c r="AK114" s="7"/>
      <c r="AL114" s="7"/>
      <c r="AM114" s="7" t="s">
        <v>96</v>
      </c>
      <c r="AN114" s="7"/>
    </row>
    <row r="115" spans="1:40" ht="135">
      <c r="A115" s="7" t="s">
        <v>916</v>
      </c>
      <c r="B115" s="7" t="s">
        <v>941</v>
      </c>
      <c r="C115" s="7" t="s">
        <v>918</v>
      </c>
      <c r="D115" s="7" t="s">
        <v>111</v>
      </c>
      <c r="E115" s="7" t="s">
        <v>942</v>
      </c>
      <c r="F115" s="7" t="s">
        <v>943</v>
      </c>
      <c r="G115" s="7" t="s">
        <v>83</v>
      </c>
      <c r="H115" s="7" t="s">
        <v>84</v>
      </c>
      <c r="I115" s="7" t="s">
        <v>944</v>
      </c>
      <c r="J115" s="7" t="s">
        <v>945</v>
      </c>
      <c r="K115" s="7" t="s">
        <v>946</v>
      </c>
      <c r="L115" s="7" t="s">
        <v>88</v>
      </c>
      <c r="M115" s="7" t="s">
        <v>947</v>
      </c>
      <c r="N115" s="7" t="s">
        <v>948</v>
      </c>
      <c r="O115" s="7" t="s">
        <v>107</v>
      </c>
      <c r="P115" s="7" t="s">
        <v>949</v>
      </c>
      <c r="Q115" s="7" t="s">
        <v>92</v>
      </c>
      <c r="R115" s="7" t="s">
        <v>950</v>
      </c>
      <c r="S115" s="7" t="s">
        <v>94</v>
      </c>
      <c r="T115" s="7" t="s">
        <v>95</v>
      </c>
      <c r="U115" s="7"/>
      <c r="V115" s="7"/>
      <c r="W115" s="7" t="s">
        <v>96</v>
      </c>
      <c r="X115" s="7">
        <v>0</v>
      </c>
      <c r="Y115" s="7">
        <v>3</v>
      </c>
      <c r="Z115" s="7">
        <f t="shared" si="15"/>
        <v>3</v>
      </c>
      <c r="AA115" s="7" t="str">
        <f t="shared" si="16"/>
        <v>Gap to CSA level</v>
      </c>
      <c r="AB115" s="7" t="str">
        <f t="shared" si="17"/>
        <v>Not Compliant</v>
      </c>
      <c r="AC115" s="7" t="str">
        <f t="shared" si="18"/>
        <v>Not Compliant</v>
      </c>
      <c r="AD115" s="7" t="str">
        <f t="shared" si="19"/>
        <v>No mapped framework fully compliant</v>
      </c>
      <c r="AE115" s="7" t="s">
        <v>97</v>
      </c>
      <c r="AF115" s="7"/>
      <c r="AG115" s="7" t="str">
        <f>IFERROR(VLOOKUP($C115,Evidence_Library!$A$2:$C$13,2,FALSE),"Control-specific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15" s="7" t="str">
        <f>IFERROR(VLOOKUP($C115,Evidence_Library!$A$2:$C$13,3,FALSE),"Inspect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15" s="7" t="s">
        <v>98</v>
      </c>
      <c r="AJ115" s="7"/>
      <c r="AK115" s="7"/>
      <c r="AL115" s="7"/>
      <c r="AM115" s="7" t="s">
        <v>96</v>
      </c>
      <c r="AN115" s="7"/>
    </row>
    <row r="116" spans="1:40" ht="195">
      <c r="A116" s="7" t="s">
        <v>916</v>
      </c>
      <c r="B116" s="7" t="s">
        <v>951</v>
      </c>
      <c r="C116" s="7" t="s">
        <v>918</v>
      </c>
      <c r="D116" s="7" t="s">
        <v>144</v>
      </c>
      <c r="E116" s="7" t="s">
        <v>952</v>
      </c>
      <c r="F116" s="7" t="s">
        <v>953</v>
      </c>
      <c r="G116" s="7" t="s">
        <v>124</v>
      </c>
      <c r="H116" s="7" t="s">
        <v>84</v>
      </c>
      <c r="I116" s="7" t="s">
        <v>939</v>
      </c>
      <c r="J116" s="7" t="s">
        <v>579</v>
      </c>
      <c r="K116" s="7" t="s">
        <v>580</v>
      </c>
      <c r="L116" s="7" t="s">
        <v>88</v>
      </c>
      <c r="M116" s="7" t="s">
        <v>327</v>
      </c>
      <c r="N116" s="7" t="s">
        <v>328</v>
      </c>
      <c r="O116" s="7" t="s">
        <v>107</v>
      </c>
      <c r="P116" s="7" t="s">
        <v>924</v>
      </c>
      <c r="Q116" s="7" t="s">
        <v>92</v>
      </c>
      <c r="R116" s="7" t="s">
        <v>954</v>
      </c>
      <c r="S116" s="7" t="s">
        <v>94</v>
      </c>
      <c r="T116" s="7" t="s">
        <v>95</v>
      </c>
      <c r="U116" s="7"/>
      <c r="V116" s="7"/>
      <c r="W116" s="7" t="s">
        <v>96</v>
      </c>
      <c r="X116" s="7">
        <v>0</v>
      </c>
      <c r="Y116" s="7">
        <v>3</v>
      </c>
      <c r="Z116" s="7">
        <f t="shared" si="15"/>
        <v>3</v>
      </c>
      <c r="AA116" s="7" t="str">
        <f t="shared" si="16"/>
        <v>Gap to CSA level</v>
      </c>
      <c r="AB116" s="7" t="str">
        <f t="shared" si="17"/>
        <v>Not Compliant</v>
      </c>
      <c r="AC116" s="7" t="str">
        <f t="shared" si="18"/>
        <v>Not Compliant</v>
      </c>
      <c r="AD116" s="7" t="str">
        <f t="shared" si="19"/>
        <v>No mapped framework fully compliant</v>
      </c>
      <c r="AE116" s="7" t="s">
        <v>97</v>
      </c>
      <c r="AF116" s="7"/>
      <c r="AG116" s="7" t="str">
        <f>IFERROR(VLOOKUP($C116,Evidence_Library!$A$2:$C$13,2,FALSE),"Control-specific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16" s="7" t="str">
        <f>IFERROR(VLOOKUP($C116,Evidence_Library!$A$2:$C$13,3,FALSE),"Inspect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16" s="7" t="s">
        <v>98</v>
      </c>
      <c r="AJ116" s="7"/>
      <c r="AK116" s="7"/>
      <c r="AL116" s="7"/>
      <c r="AM116" s="7" t="s">
        <v>96</v>
      </c>
      <c r="AN116" s="7"/>
    </row>
    <row r="117" spans="1:40" ht="150">
      <c r="A117" s="7" t="s">
        <v>916</v>
      </c>
      <c r="B117" s="7" t="s">
        <v>955</v>
      </c>
      <c r="C117" s="7" t="s">
        <v>918</v>
      </c>
      <c r="D117" s="7" t="s">
        <v>144</v>
      </c>
      <c r="E117" s="7" t="s">
        <v>956</v>
      </c>
      <c r="F117" s="7" t="s">
        <v>957</v>
      </c>
      <c r="G117" s="7" t="s">
        <v>135</v>
      </c>
      <c r="H117" s="7" t="s">
        <v>958</v>
      </c>
      <c r="I117" s="7" t="s">
        <v>959</v>
      </c>
      <c r="J117" s="7" t="s">
        <v>260</v>
      </c>
      <c r="K117" s="7" t="s">
        <v>261</v>
      </c>
      <c r="L117" s="7" t="s">
        <v>88</v>
      </c>
      <c r="M117" s="7" t="s">
        <v>611</v>
      </c>
      <c r="N117" s="7" t="s">
        <v>612</v>
      </c>
      <c r="O117" s="7" t="s">
        <v>107</v>
      </c>
      <c r="P117" s="7" t="s">
        <v>924</v>
      </c>
      <c r="Q117" s="7" t="s">
        <v>92</v>
      </c>
      <c r="R117" s="7" t="s">
        <v>960</v>
      </c>
      <c r="S117" s="7" t="s">
        <v>94</v>
      </c>
      <c r="T117" s="7" t="s">
        <v>95</v>
      </c>
      <c r="U117" s="7"/>
      <c r="V117" s="7"/>
      <c r="W117" s="7" t="s">
        <v>96</v>
      </c>
      <c r="X117" s="7">
        <v>0</v>
      </c>
      <c r="Y117" s="7">
        <v>3</v>
      </c>
      <c r="Z117" s="7">
        <f t="shared" si="15"/>
        <v>3</v>
      </c>
      <c r="AA117" s="7" t="str">
        <f t="shared" si="16"/>
        <v>Gap to CSA level</v>
      </c>
      <c r="AB117" s="7" t="str">
        <f t="shared" si="17"/>
        <v>Not Compliant</v>
      </c>
      <c r="AC117" s="7" t="str">
        <f t="shared" si="18"/>
        <v>Not Compliant</v>
      </c>
      <c r="AD117" s="7" t="str">
        <f t="shared" si="19"/>
        <v>No mapped framework fully compliant</v>
      </c>
      <c r="AE117" s="7" t="s">
        <v>97</v>
      </c>
      <c r="AF117" s="7"/>
      <c r="AG117" s="7" t="str">
        <f>IFERROR(VLOOKUP($C117,Evidence_Library!$A$2:$C$13,2,FALSE),"Control-specific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17" s="7" t="str">
        <f>IFERROR(VLOOKUP($C117,Evidence_Library!$A$2:$C$13,3,FALSE),"Inspect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17" s="7" t="s">
        <v>98</v>
      </c>
      <c r="AJ117" s="7"/>
      <c r="AK117" s="7"/>
      <c r="AL117" s="7"/>
      <c r="AM117" s="7" t="s">
        <v>96</v>
      </c>
      <c r="AN117" s="7"/>
    </row>
    <row r="118" spans="1:40" ht="120">
      <c r="A118" s="7" t="s">
        <v>916</v>
      </c>
      <c r="B118" s="7" t="s">
        <v>961</v>
      </c>
      <c r="C118" s="7" t="s">
        <v>918</v>
      </c>
      <c r="D118" s="7" t="s">
        <v>144</v>
      </c>
      <c r="E118" s="7" t="s">
        <v>962</v>
      </c>
      <c r="F118" s="7" t="s">
        <v>963</v>
      </c>
      <c r="G118" s="7" t="s">
        <v>124</v>
      </c>
      <c r="H118" s="7" t="s">
        <v>84</v>
      </c>
      <c r="I118" s="7" t="s">
        <v>929</v>
      </c>
      <c r="J118" s="7" t="s">
        <v>945</v>
      </c>
      <c r="K118" s="7" t="s">
        <v>946</v>
      </c>
      <c r="L118" s="7" t="s">
        <v>88</v>
      </c>
      <c r="M118" s="7" t="s">
        <v>964</v>
      </c>
      <c r="N118" s="7" t="s">
        <v>965</v>
      </c>
      <c r="O118" s="7" t="s">
        <v>208</v>
      </c>
      <c r="P118" s="7" t="s">
        <v>924</v>
      </c>
      <c r="Q118" s="7" t="s">
        <v>92</v>
      </c>
      <c r="R118" s="7" t="s">
        <v>966</v>
      </c>
      <c r="S118" s="7" t="s">
        <v>94</v>
      </c>
      <c r="T118" s="7" t="s">
        <v>95</v>
      </c>
      <c r="U118" s="7"/>
      <c r="V118" s="7"/>
      <c r="W118" s="7" t="s">
        <v>96</v>
      </c>
      <c r="X118" s="7">
        <v>0</v>
      </c>
      <c r="Y118" s="7">
        <v>3</v>
      </c>
      <c r="Z118" s="7">
        <f t="shared" si="15"/>
        <v>3</v>
      </c>
      <c r="AA118" s="7" t="str">
        <f t="shared" si="16"/>
        <v>Gap to CSA level</v>
      </c>
      <c r="AB118" s="7" t="str">
        <f t="shared" si="17"/>
        <v>Not Compliant</v>
      </c>
      <c r="AC118" s="7" t="str">
        <f t="shared" si="18"/>
        <v>Not Compliant</v>
      </c>
      <c r="AD118" s="7" t="str">
        <f t="shared" si="19"/>
        <v>No mapped framework fully compliant</v>
      </c>
      <c r="AE118" s="7" t="s">
        <v>97</v>
      </c>
      <c r="AF118" s="7"/>
      <c r="AG118" s="7" t="str">
        <f>IFERROR(VLOOKUP($C118,Evidence_Library!$A$2:$C$13,2,FALSE),"Control-specific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18" s="7" t="str">
        <f>IFERROR(VLOOKUP($C118,Evidence_Library!$A$2:$C$13,3,FALSE),"Inspect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18" s="7" t="s">
        <v>98</v>
      </c>
      <c r="AJ118" s="7"/>
      <c r="AK118" s="7"/>
      <c r="AL118" s="7"/>
      <c r="AM118" s="7" t="s">
        <v>96</v>
      </c>
      <c r="AN118" s="7"/>
    </row>
    <row r="119" spans="1:40" ht="120">
      <c r="A119" s="7" t="s">
        <v>916</v>
      </c>
      <c r="B119" s="7" t="s">
        <v>967</v>
      </c>
      <c r="C119" s="7" t="s">
        <v>918</v>
      </c>
      <c r="D119" s="7" t="s">
        <v>171</v>
      </c>
      <c r="E119" s="7" t="s">
        <v>968</v>
      </c>
      <c r="F119" s="7" t="s">
        <v>969</v>
      </c>
      <c r="G119" s="7" t="s">
        <v>135</v>
      </c>
      <c r="H119" s="7" t="s">
        <v>970</v>
      </c>
      <c r="I119" s="7" t="s">
        <v>971</v>
      </c>
      <c r="J119" s="7" t="s">
        <v>260</v>
      </c>
      <c r="K119" s="7" t="s">
        <v>261</v>
      </c>
      <c r="L119" s="7" t="s">
        <v>88</v>
      </c>
      <c r="M119" s="7" t="s">
        <v>149</v>
      </c>
      <c r="N119" s="7" t="s">
        <v>150</v>
      </c>
      <c r="O119" s="7" t="s">
        <v>107</v>
      </c>
      <c r="P119" s="7" t="s">
        <v>924</v>
      </c>
      <c r="Q119" s="7" t="s">
        <v>92</v>
      </c>
      <c r="R119" s="7" t="s">
        <v>972</v>
      </c>
      <c r="S119" s="7" t="s">
        <v>94</v>
      </c>
      <c r="T119" s="7" t="s">
        <v>95</v>
      </c>
      <c r="U119" s="7"/>
      <c r="V119" s="7"/>
      <c r="W119" s="7" t="s">
        <v>96</v>
      </c>
      <c r="X119" s="7">
        <v>0</v>
      </c>
      <c r="Y119" s="7">
        <v>3</v>
      </c>
      <c r="Z119" s="7">
        <f t="shared" si="15"/>
        <v>3</v>
      </c>
      <c r="AA119" s="7" t="str">
        <f t="shared" si="16"/>
        <v>Gap to CSA level</v>
      </c>
      <c r="AB119" s="7" t="str">
        <f t="shared" si="17"/>
        <v>Not Compliant</v>
      </c>
      <c r="AC119" s="7" t="str">
        <f t="shared" si="18"/>
        <v>Not Compliant</v>
      </c>
      <c r="AD119" s="7" t="str">
        <f t="shared" si="19"/>
        <v>No mapped framework fully compliant</v>
      </c>
      <c r="AE119" s="7" t="s">
        <v>97</v>
      </c>
      <c r="AF119" s="7"/>
      <c r="AG119" s="7" t="str">
        <f>IFERROR(VLOOKUP($C119,Evidence_Library!$A$2:$C$13,2,FALSE),"Control-specific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19" s="7" t="str">
        <f>IFERROR(VLOOKUP($C119,Evidence_Library!$A$2:$C$13,3,FALSE),"Inspect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19" s="7" t="s">
        <v>98</v>
      </c>
      <c r="AJ119" s="7"/>
      <c r="AK119" s="7"/>
      <c r="AL119" s="7"/>
      <c r="AM119" s="7" t="s">
        <v>96</v>
      </c>
      <c r="AN119" s="7"/>
    </row>
    <row r="120" spans="1:40" ht="255">
      <c r="A120" s="7" t="s">
        <v>916</v>
      </c>
      <c r="B120" s="7" t="s">
        <v>973</v>
      </c>
      <c r="C120" s="7" t="s">
        <v>918</v>
      </c>
      <c r="D120" s="7" t="s">
        <v>171</v>
      </c>
      <c r="E120" s="7" t="s">
        <v>974</v>
      </c>
      <c r="F120" s="7" t="s">
        <v>975</v>
      </c>
      <c r="G120" s="7" t="s">
        <v>135</v>
      </c>
      <c r="H120" s="7" t="s">
        <v>976</v>
      </c>
      <c r="I120" s="7" t="s">
        <v>929</v>
      </c>
      <c r="J120" s="7" t="s">
        <v>260</v>
      </c>
      <c r="K120" s="7" t="s">
        <v>261</v>
      </c>
      <c r="L120" s="7" t="s">
        <v>88</v>
      </c>
      <c r="M120" s="7" t="s">
        <v>149</v>
      </c>
      <c r="N120" s="7" t="s">
        <v>150</v>
      </c>
      <c r="O120" s="7" t="s">
        <v>107</v>
      </c>
      <c r="P120" s="7" t="s">
        <v>934</v>
      </c>
      <c r="Q120" s="7" t="s">
        <v>92</v>
      </c>
      <c r="R120" s="7" t="s">
        <v>977</v>
      </c>
      <c r="S120" s="7" t="s">
        <v>94</v>
      </c>
      <c r="T120" s="7" t="s">
        <v>95</v>
      </c>
      <c r="U120" s="7"/>
      <c r="V120" s="7"/>
      <c r="W120" s="7" t="s">
        <v>96</v>
      </c>
      <c r="X120" s="7">
        <v>0</v>
      </c>
      <c r="Y120" s="7">
        <v>3</v>
      </c>
      <c r="Z120" s="7">
        <f t="shared" si="15"/>
        <v>3</v>
      </c>
      <c r="AA120" s="7" t="str">
        <f t="shared" si="16"/>
        <v>Gap to CSA level</v>
      </c>
      <c r="AB120" s="7" t="str">
        <f t="shared" si="17"/>
        <v>Not Compliant</v>
      </c>
      <c r="AC120" s="7" t="str">
        <f t="shared" si="18"/>
        <v>Not Compliant</v>
      </c>
      <c r="AD120" s="7" t="str">
        <f t="shared" si="19"/>
        <v>No mapped framework fully compliant</v>
      </c>
      <c r="AE120" s="7" t="s">
        <v>97</v>
      </c>
      <c r="AF120" s="7"/>
      <c r="AG120" s="7" t="str">
        <f>IFERROR(VLOOKUP($C120,Evidence_Library!$A$2:$C$13,2,FALSE),"Control-specific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20" s="7" t="str">
        <f>IFERROR(VLOOKUP($C120,Evidence_Library!$A$2:$C$13,3,FALSE),"Inspect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20" s="7" t="s">
        <v>98</v>
      </c>
      <c r="AJ120" s="7"/>
      <c r="AK120" s="7"/>
      <c r="AL120" s="7"/>
      <c r="AM120" s="7" t="s">
        <v>96</v>
      </c>
      <c r="AN120" s="7"/>
    </row>
    <row r="121" spans="1:40" ht="195">
      <c r="A121" s="7" t="s">
        <v>916</v>
      </c>
      <c r="B121" s="7" t="s">
        <v>978</v>
      </c>
      <c r="C121" s="7" t="s">
        <v>918</v>
      </c>
      <c r="D121" s="7" t="s">
        <v>171</v>
      </c>
      <c r="E121" s="7" t="s">
        <v>979</v>
      </c>
      <c r="F121" s="7" t="s">
        <v>980</v>
      </c>
      <c r="G121" s="7" t="s">
        <v>135</v>
      </c>
      <c r="H121" s="7" t="s">
        <v>84</v>
      </c>
      <c r="I121" s="7" t="s">
        <v>981</v>
      </c>
      <c r="J121" s="7" t="s">
        <v>579</v>
      </c>
      <c r="K121" s="7" t="s">
        <v>580</v>
      </c>
      <c r="L121" s="7" t="s">
        <v>88</v>
      </c>
      <c r="M121" s="7" t="s">
        <v>982</v>
      </c>
      <c r="N121" s="7" t="s">
        <v>983</v>
      </c>
      <c r="O121" s="7" t="s">
        <v>107</v>
      </c>
      <c r="P121" s="7" t="s">
        <v>924</v>
      </c>
      <c r="Q121" s="7" t="s">
        <v>92</v>
      </c>
      <c r="R121" s="7" t="s">
        <v>984</v>
      </c>
      <c r="S121" s="7" t="s">
        <v>94</v>
      </c>
      <c r="T121" s="7" t="s">
        <v>95</v>
      </c>
      <c r="U121" s="7"/>
      <c r="V121" s="7"/>
      <c r="W121" s="7" t="s">
        <v>96</v>
      </c>
      <c r="X121" s="7">
        <v>0</v>
      </c>
      <c r="Y121" s="7">
        <v>3</v>
      </c>
      <c r="Z121" s="7">
        <f t="shared" si="15"/>
        <v>3</v>
      </c>
      <c r="AA121" s="7" t="str">
        <f t="shared" si="16"/>
        <v>Gap to CSA level</v>
      </c>
      <c r="AB121" s="7" t="str">
        <f t="shared" si="17"/>
        <v>Not Compliant</v>
      </c>
      <c r="AC121" s="7" t="str">
        <f t="shared" si="18"/>
        <v>Not Compliant</v>
      </c>
      <c r="AD121" s="7" t="str">
        <f t="shared" si="19"/>
        <v>No mapped framework fully compliant</v>
      </c>
      <c r="AE121" s="7" t="s">
        <v>97</v>
      </c>
      <c r="AF121" s="7"/>
      <c r="AG121" s="7" t="str">
        <f>IFERROR(VLOOKUP($C121,Evidence_Library!$A$2:$C$13,2,FALSE),"Control-specific policy/procedure, implementation record, sample evidence, and monitoring proof.")</f>
        <v>AI incident response plan; AI incident taxonomy; escalation matrix; tabletop exercises; incident tickets; post-incident reviews; regulatory/customer notification procedures; lessons-learned actions.</v>
      </c>
      <c r="AH121" s="7" t="str">
        <f>IFERROR(VLOOKUP($C121,Evidence_Library!$A$2:$C$13,3,FALSE),"Inspect design, sample implementation evidence, interview owner, and verify operating effectiveness.")</f>
        <v>Inspect AI-specific IR procedures; sample incident/tabletop records; verify triage, escalation, notification, root-cause analysis, and corrective action closure.</v>
      </c>
      <c r="AI121" s="7" t="s">
        <v>98</v>
      </c>
      <c r="AJ121" s="7"/>
      <c r="AK121" s="7"/>
      <c r="AL121" s="7"/>
      <c r="AM121" s="7" t="s">
        <v>96</v>
      </c>
      <c r="AN121" s="7"/>
    </row>
  </sheetData>
  <conditionalFormatting sqref="D2:D121">
    <cfRule type="colorScale" priority="1">
      <colorScale>
        <cfvo type="min"/>
        <cfvo type="percentile" val="50"/>
        <cfvo type="max"/>
        <color rgb="FFE0F2FE"/>
        <color rgb="FFFEF3C7"/>
        <color rgb="FFDCFCE7"/>
      </colorScale>
    </cfRule>
  </conditionalFormatting>
  <conditionalFormatting sqref="Z2:Z121">
    <cfRule type="cellIs" dxfId="20" priority="2" operator="greaterThan">
      <formula>0</formula>
    </cfRule>
  </conditionalFormatting>
  <conditionalFormatting sqref="AA2:AC121">
    <cfRule type="expression" dxfId="19" priority="3">
      <formula>AA2="Compliant"</formula>
    </cfRule>
    <cfRule type="expression" dxfId="18" priority="4">
      <formula>AA2="Meets CSA maturity"</formula>
    </cfRule>
    <cfRule type="expression" dxfId="17" priority="5">
      <formula>AA2="Not Compliant"</formula>
    </cfRule>
    <cfRule type="expression" dxfId="16" priority="6">
      <formula>AA2="Gap to CSA level"</formula>
    </cfRule>
  </conditionalFormatting>
  <conditionalFormatting sqref="AE2:AE121">
    <cfRule type="expression" dxfId="15" priority="7">
      <formula>AE2="Validated"</formula>
    </cfRule>
    <cfRule type="expression" dxfId="14" priority="8">
      <formula>OR(AE2="Not Provided",AE2="Expired")</formula>
    </cfRule>
  </conditionalFormatting>
  <dataValidations count="6">
    <dataValidation type="list" sqref="S2:S121" xr:uid="{00000000-0002-0000-0100-000000000000}">
      <formula1>"Yes,No"</formula1>
    </dataValidation>
    <dataValidation type="list" sqref="W2:W121" xr:uid="{00000000-0002-0000-0100-000001000000}">
      <formula1>"Not Assessed,Not Implemented,Planned,Partially Implemented,Implemented,Optimized,N/A"</formula1>
    </dataValidation>
    <dataValidation type="list" sqref="X2:Y121" xr:uid="{00000000-0002-0000-0100-000002000000}">
      <formula1>"0,1,2,3,4,5"</formula1>
    </dataValidation>
    <dataValidation type="list" sqref="AE2:AE121" xr:uid="{00000000-0002-0000-0100-000003000000}">
      <formula1>"Not Provided,Requested,Collected,Validated,Expired"</formula1>
    </dataValidation>
    <dataValidation type="list" sqref="AI2:AI121" xr:uid="{00000000-0002-0000-0100-000004000000}">
      <formula1>"Not Tested,Pass,Fail,Partial,N/A"</formula1>
    </dataValidation>
    <dataValidation type="list" sqref="AM2:AM121" xr:uid="{00000000-0002-0000-0100-000005000000}">
      <formula1>"Not Assessed,Low,Medium,High,Critical"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0"/>
  <sheetViews>
    <sheetView workbookViewId="0"/>
  </sheetViews>
  <sheetFormatPr baseColWidth="10" defaultColWidth="8.83203125" defaultRowHeight="14"/>
  <cols>
    <col min="1" max="1" width="35" customWidth="1"/>
    <col min="2" max="2" width="18" customWidth="1"/>
  </cols>
  <sheetData>
    <row r="1" spans="1:2" ht="15">
      <c r="A1" s="5" t="s">
        <v>985</v>
      </c>
      <c r="B1" s="5" t="s">
        <v>986</v>
      </c>
    </row>
    <row r="2" spans="1:2">
      <c r="A2" t="s">
        <v>987</v>
      </c>
      <c r="B2">
        <v>120</v>
      </c>
    </row>
    <row r="3" spans="1:2">
      <c r="A3" t="s">
        <v>988</v>
      </c>
      <c r="B3">
        <v>12</v>
      </c>
    </row>
    <row r="4" spans="1:2">
      <c r="A4" t="s">
        <v>989</v>
      </c>
      <c r="B4">
        <v>4</v>
      </c>
    </row>
    <row r="5" spans="1:2">
      <c r="A5" t="s">
        <v>990</v>
      </c>
      <c r="B5">
        <v>15</v>
      </c>
    </row>
    <row r="6" spans="1:2">
      <c r="A6" t="s">
        <v>991</v>
      </c>
      <c r="B6">
        <v>68</v>
      </c>
    </row>
    <row r="7" spans="1:2">
      <c r="A7" t="s">
        <v>992</v>
      </c>
      <c r="B7">
        <v>15</v>
      </c>
    </row>
    <row r="9" spans="1:2" ht="15">
      <c r="A9" s="4" t="s">
        <v>37</v>
      </c>
      <c r="B9" s="4" t="s">
        <v>993</v>
      </c>
    </row>
    <row r="10" spans="1:2">
      <c r="A10" t="s">
        <v>77</v>
      </c>
      <c r="B10">
        <v>10</v>
      </c>
    </row>
    <row r="11" spans="1:2">
      <c r="A11" t="s">
        <v>189</v>
      </c>
      <c r="B11">
        <v>10</v>
      </c>
    </row>
    <row r="12" spans="1:2">
      <c r="A12" t="s">
        <v>272</v>
      </c>
      <c r="B12">
        <v>11</v>
      </c>
    </row>
    <row r="13" spans="1:2">
      <c r="A13" t="s">
        <v>356</v>
      </c>
      <c r="B13">
        <v>9</v>
      </c>
    </row>
    <row r="14" spans="1:2">
      <c r="A14" t="s">
        <v>425</v>
      </c>
      <c r="B14">
        <v>11</v>
      </c>
    </row>
    <row r="15" spans="1:2">
      <c r="A15" t="s">
        <v>510</v>
      </c>
      <c r="B15">
        <v>10</v>
      </c>
    </row>
    <row r="16" spans="1:2">
      <c r="A16" t="s">
        <v>584</v>
      </c>
      <c r="B16">
        <v>10</v>
      </c>
    </row>
    <row r="17" spans="1:2">
      <c r="A17" t="s">
        <v>644</v>
      </c>
      <c r="B17">
        <v>9</v>
      </c>
    </row>
    <row r="18" spans="1:2">
      <c r="A18" t="s">
        <v>707</v>
      </c>
      <c r="B18">
        <v>10</v>
      </c>
    </row>
    <row r="19" spans="1:2">
      <c r="A19" t="s">
        <v>783</v>
      </c>
      <c r="B19">
        <v>9</v>
      </c>
    </row>
    <row r="20" spans="1:2">
      <c r="A20" t="s">
        <v>837</v>
      </c>
      <c r="B20">
        <v>11</v>
      </c>
    </row>
    <row r="21" spans="1:2">
      <c r="A21" t="s">
        <v>916</v>
      </c>
      <c r="B21">
        <v>10</v>
      </c>
    </row>
    <row r="23" spans="1:2" ht="15">
      <c r="A23" s="4" t="s">
        <v>40</v>
      </c>
      <c r="B23" s="4" t="s">
        <v>993</v>
      </c>
    </row>
    <row r="24" spans="1:2">
      <c r="A24" t="s">
        <v>80</v>
      </c>
      <c r="B24">
        <v>24</v>
      </c>
    </row>
    <row r="25" spans="1:2">
      <c r="A25" t="s">
        <v>111</v>
      </c>
      <c r="B25">
        <v>34</v>
      </c>
    </row>
    <row r="26" spans="1:2">
      <c r="A26" t="s">
        <v>144</v>
      </c>
      <c r="B26">
        <v>35</v>
      </c>
    </row>
    <row r="27" spans="1:2">
      <c r="A27" t="s">
        <v>171</v>
      </c>
      <c r="B27">
        <v>27</v>
      </c>
    </row>
    <row r="29" spans="1:2" ht="15">
      <c r="A29" s="4" t="s">
        <v>994</v>
      </c>
      <c r="B29" s="4" t="s">
        <v>993</v>
      </c>
    </row>
    <row r="30" spans="1:2">
      <c r="A30" t="s">
        <v>995</v>
      </c>
      <c r="B30">
        <v>49</v>
      </c>
    </row>
    <row r="31" spans="1:2">
      <c r="A31" t="s">
        <v>996</v>
      </c>
      <c r="B31">
        <v>53</v>
      </c>
    </row>
    <row r="32" spans="1:2">
      <c r="A32" t="s">
        <v>997</v>
      </c>
      <c r="B32">
        <v>53</v>
      </c>
    </row>
    <row r="33" spans="1:2">
      <c r="A33" t="s">
        <v>998</v>
      </c>
      <c r="B33">
        <v>77</v>
      </c>
    </row>
    <row r="35" spans="1:2" ht="15">
      <c r="A35" s="4" t="s">
        <v>999</v>
      </c>
      <c r="B35" s="4" t="s">
        <v>993</v>
      </c>
    </row>
    <row r="36" spans="1:2">
      <c r="A36" t="s">
        <v>1000</v>
      </c>
      <c r="B36">
        <v>1</v>
      </c>
    </row>
    <row r="37" spans="1:2">
      <c r="A37" t="s">
        <v>1001</v>
      </c>
      <c r="B37">
        <v>2</v>
      </c>
    </row>
    <row r="38" spans="1:2">
      <c r="A38" t="s">
        <v>1002</v>
      </c>
      <c r="B38">
        <v>1</v>
      </c>
    </row>
    <row r="39" spans="1:2">
      <c r="A39" t="s">
        <v>139</v>
      </c>
      <c r="B39">
        <v>1</v>
      </c>
    </row>
    <row r="40" spans="1:2">
      <c r="A40" t="s">
        <v>902</v>
      </c>
      <c r="B40">
        <v>3</v>
      </c>
    </row>
    <row r="41" spans="1:2">
      <c r="A41" t="s">
        <v>177</v>
      </c>
      <c r="B41">
        <v>4</v>
      </c>
    </row>
    <row r="42" spans="1:2">
      <c r="A42" t="s">
        <v>186</v>
      </c>
      <c r="B42">
        <v>52</v>
      </c>
    </row>
    <row r="43" spans="1:2">
      <c r="A43" t="s">
        <v>843</v>
      </c>
      <c r="B43">
        <v>18</v>
      </c>
    </row>
    <row r="44" spans="1:2">
      <c r="A44" t="s">
        <v>1003</v>
      </c>
      <c r="B44">
        <v>20</v>
      </c>
    </row>
    <row r="45" spans="1:2">
      <c r="A45" t="s">
        <v>1004</v>
      </c>
      <c r="B45">
        <v>43</v>
      </c>
    </row>
    <row r="46" spans="1:2">
      <c r="A46" t="s">
        <v>158</v>
      </c>
      <c r="B46">
        <v>9</v>
      </c>
    </row>
    <row r="47" spans="1:2">
      <c r="A47" t="s">
        <v>128</v>
      </c>
      <c r="B47">
        <v>92</v>
      </c>
    </row>
    <row r="48" spans="1:2">
      <c r="A48" t="s">
        <v>863</v>
      </c>
      <c r="B48">
        <v>35</v>
      </c>
    </row>
    <row r="49" spans="1:2">
      <c r="A49" t="s">
        <v>224</v>
      </c>
      <c r="B49">
        <v>21</v>
      </c>
    </row>
    <row r="50" spans="1:2">
      <c r="A50" t="s">
        <v>1005</v>
      </c>
      <c r="B50">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3"/>
  <sheetViews>
    <sheetView workbookViewId="0"/>
  </sheetViews>
  <sheetFormatPr baseColWidth="10" defaultColWidth="8.83203125" defaultRowHeight="14"/>
  <cols>
    <col min="1" max="1" width="18" customWidth="1"/>
    <col min="2" max="2" width="14" customWidth="1"/>
    <col min="3" max="3" width="80" customWidth="1"/>
    <col min="4" max="4" width="36" customWidth="1"/>
  </cols>
  <sheetData>
    <row r="1" spans="1:4" ht="16">
      <c r="A1" s="6" t="s">
        <v>1006</v>
      </c>
      <c r="B1" s="6" t="s">
        <v>1007</v>
      </c>
      <c r="C1" s="6" t="s">
        <v>1008</v>
      </c>
      <c r="D1" s="6" t="s">
        <v>1009</v>
      </c>
    </row>
    <row r="2" spans="1:4" ht="90">
      <c r="A2" s="3" t="s">
        <v>1010</v>
      </c>
      <c r="B2" s="3" t="s">
        <v>995</v>
      </c>
      <c r="C2" s="3" t="s">
        <v>87</v>
      </c>
      <c r="D2" s="3" t="s">
        <v>1011</v>
      </c>
    </row>
    <row r="3" spans="1:4" ht="135">
      <c r="A3" s="3" t="s">
        <v>1012</v>
      </c>
      <c r="B3" s="3" t="s">
        <v>995</v>
      </c>
      <c r="C3" s="3" t="s">
        <v>1013</v>
      </c>
      <c r="D3" s="3" t="s">
        <v>1011</v>
      </c>
    </row>
    <row r="4" spans="1:4" ht="135">
      <c r="A4" s="3" t="s">
        <v>1014</v>
      </c>
      <c r="B4" s="3" t="s">
        <v>995</v>
      </c>
      <c r="C4" s="3" t="s">
        <v>1015</v>
      </c>
      <c r="D4" s="3" t="s">
        <v>1011</v>
      </c>
    </row>
    <row r="5" spans="1:4" ht="150">
      <c r="A5" s="3" t="s">
        <v>1016</v>
      </c>
      <c r="B5" s="3" t="s">
        <v>995</v>
      </c>
      <c r="C5" s="3" t="s">
        <v>278</v>
      </c>
      <c r="D5" s="3" t="s">
        <v>1011</v>
      </c>
    </row>
    <row r="6" spans="1:4" ht="150">
      <c r="A6" s="3" t="s">
        <v>1017</v>
      </c>
      <c r="B6" s="3" t="s">
        <v>995</v>
      </c>
      <c r="C6" s="3" t="s">
        <v>433</v>
      </c>
      <c r="D6" s="3" t="s">
        <v>1011</v>
      </c>
    </row>
    <row r="7" spans="1:4" ht="105">
      <c r="A7" s="3" t="s">
        <v>1018</v>
      </c>
      <c r="B7" s="3" t="s">
        <v>995</v>
      </c>
      <c r="C7" s="3" t="s">
        <v>774</v>
      </c>
      <c r="D7" s="3" t="s">
        <v>1011</v>
      </c>
    </row>
    <row r="8" spans="1:4" ht="120">
      <c r="A8" s="3" t="s">
        <v>1019</v>
      </c>
      <c r="B8" s="3" t="s">
        <v>995</v>
      </c>
      <c r="C8" s="3" t="s">
        <v>1020</v>
      </c>
      <c r="D8" s="3" t="s">
        <v>1011</v>
      </c>
    </row>
    <row r="9" spans="1:4" ht="150">
      <c r="A9" s="3" t="s">
        <v>1021</v>
      </c>
      <c r="B9" s="3" t="s">
        <v>995</v>
      </c>
      <c r="C9" s="3" t="s">
        <v>104</v>
      </c>
      <c r="D9" s="3" t="s">
        <v>1011</v>
      </c>
    </row>
    <row r="10" spans="1:4" ht="150">
      <c r="A10" s="3" t="s">
        <v>1022</v>
      </c>
      <c r="B10" s="3" t="s">
        <v>995</v>
      </c>
      <c r="C10" s="3" t="s">
        <v>1023</v>
      </c>
      <c r="D10" s="3" t="s">
        <v>1011</v>
      </c>
    </row>
    <row r="11" spans="1:4" ht="120">
      <c r="A11" s="3" t="s">
        <v>1024</v>
      </c>
      <c r="B11" s="3" t="s">
        <v>995</v>
      </c>
      <c r="C11" s="3" t="s">
        <v>1025</v>
      </c>
      <c r="D11" s="3" t="s">
        <v>1011</v>
      </c>
    </row>
    <row r="12" spans="1:4" ht="105">
      <c r="A12" s="3" t="s">
        <v>1026</v>
      </c>
      <c r="B12" s="3" t="s">
        <v>995</v>
      </c>
      <c r="C12" s="3" t="s">
        <v>1027</v>
      </c>
      <c r="D12" s="3" t="s">
        <v>1011</v>
      </c>
    </row>
    <row r="13" spans="1:4" ht="120">
      <c r="A13" s="3" t="s">
        <v>1028</v>
      </c>
      <c r="B13" s="3" t="s">
        <v>995</v>
      </c>
      <c r="C13" s="3" t="s">
        <v>1029</v>
      </c>
      <c r="D13" s="3" t="s">
        <v>1011</v>
      </c>
    </row>
    <row r="14" spans="1:4" ht="120">
      <c r="A14" s="3" t="s">
        <v>1030</v>
      </c>
      <c r="B14" s="3" t="s">
        <v>995</v>
      </c>
      <c r="C14" s="3" t="s">
        <v>1031</v>
      </c>
      <c r="D14" s="3" t="s">
        <v>1011</v>
      </c>
    </row>
    <row r="15" spans="1:4" ht="75">
      <c r="A15" s="3" t="s">
        <v>1032</v>
      </c>
      <c r="B15" s="3" t="s">
        <v>995</v>
      </c>
      <c r="C15" s="3" t="s">
        <v>1033</v>
      </c>
      <c r="D15" s="3" t="s">
        <v>1011</v>
      </c>
    </row>
    <row r="16" spans="1:4" ht="90">
      <c r="A16" s="3" t="s">
        <v>1034</v>
      </c>
      <c r="B16" s="3" t="s">
        <v>995</v>
      </c>
      <c r="C16" s="3" t="s">
        <v>1035</v>
      </c>
      <c r="D16" s="3" t="s">
        <v>1011</v>
      </c>
    </row>
    <row r="17" spans="1:4" ht="120">
      <c r="A17" s="3" t="s">
        <v>1036</v>
      </c>
      <c r="B17" s="3" t="s">
        <v>995</v>
      </c>
      <c r="C17" s="3" t="s">
        <v>1037</v>
      </c>
      <c r="D17" s="3" t="s">
        <v>1011</v>
      </c>
    </row>
    <row r="18" spans="1:4" ht="135">
      <c r="A18" s="3" t="s">
        <v>1038</v>
      </c>
      <c r="B18" s="3" t="s">
        <v>995</v>
      </c>
      <c r="C18" s="3" t="s">
        <v>1039</v>
      </c>
      <c r="D18" s="3" t="s">
        <v>1011</v>
      </c>
    </row>
    <row r="19" spans="1:4" ht="120">
      <c r="A19" s="3" t="s">
        <v>1040</v>
      </c>
      <c r="B19" s="3" t="s">
        <v>995</v>
      </c>
      <c r="C19" s="3" t="s">
        <v>1041</v>
      </c>
      <c r="D19" s="3" t="s">
        <v>1011</v>
      </c>
    </row>
    <row r="20" spans="1:4" ht="45">
      <c r="A20" s="3" t="s">
        <v>1042</v>
      </c>
      <c r="B20" s="3" t="s">
        <v>995</v>
      </c>
      <c r="C20" s="3" t="s">
        <v>1043</v>
      </c>
      <c r="D20" s="3" t="s">
        <v>1011</v>
      </c>
    </row>
    <row r="21" spans="1:4" ht="105">
      <c r="A21" s="3" t="s">
        <v>1044</v>
      </c>
      <c r="B21" s="3" t="s">
        <v>998</v>
      </c>
      <c r="C21" s="3" t="s">
        <v>1045</v>
      </c>
      <c r="D21" s="3" t="s">
        <v>1011</v>
      </c>
    </row>
    <row r="22" spans="1:4" ht="75">
      <c r="A22" s="3" t="s">
        <v>1046</v>
      </c>
      <c r="B22" s="3" t="s">
        <v>998</v>
      </c>
      <c r="C22" s="3" t="s">
        <v>1047</v>
      </c>
      <c r="D22" s="3" t="s">
        <v>1011</v>
      </c>
    </row>
    <row r="23" spans="1:4" ht="120">
      <c r="A23" s="3" t="s">
        <v>1048</v>
      </c>
      <c r="B23" s="3" t="s">
        <v>998</v>
      </c>
      <c r="C23" s="3" t="s">
        <v>1049</v>
      </c>
      <c r="D23" s="3" t="s">
        <v>1011</v>
      </c>
    </row>
    <row r="24" spans="1:4" ht="75">
      <c r="A24" s="3" t="s">
        <v>1050</v>
      </c>
      <c r="B24" s="3" t="s">
        <v>998</v>
      </c>
      <c r="C24" s="3" t="s">
        <v>1051</v>
      </c>
      <c r="D24" s="3" t="s">
        <v>1011</v>
      </c>
    </row>
    <row r="25" spans="1:4" ht="135">
      <c r="A25" s="3" t="s">
        <v>1052</v>
      </c>
      <c r="B25" s="3" t="s">
        <v>998</v>
      </c>
      <c r="C25" s="3" t="s">
        <v>1053</v>
      </c>
      <c r="D25" s="3" t="s">
        <v>1011</v>
      </c>
    </row>
    <row r="26" spans="1:4" ht="150">
      <c r="A26" s="3" t="s">
        <v>1054</v>
      </c>
      <c r="B26" s="3" t="s">
        <v>998</v>
      </c>
      <c r="C26" s="3" t="s">
        <v>1055</v>
      </c>
      <c r="D26" s="3" t="s">
        <v>1011</v>
      </c>
    </row>
    <row r="27" spans="1:4" ht="135">
      <c r="A27" s="3" t="s">
        <v>1056</v>
      </c>
      <c r="B27" s="3" t="s">
        <v>998</v>
      </c>
      <c r="C27" s="3" t="s">
        <v>1057</v>
      </c>
      <c r="D27" s="3" t="s">
        <v>1011</v>
      </c>
    </row>
    <row r="28" spans="1:4" ht="135">
      <c r="A28" s="3" t="s">
        <v>1058</v>
      </c>
      <c r="B28" s="3" t="s">
        <v>998</v>
      </c>
      <c r="C28" s="3" t="s">
        <v>1059</v>
      </c>
      <c r="D28" s="3" t="s">
        <v>1011</v>
      </c>
    </row>
    <row r="29" spans="1:4" ht="135">
      <c r="A29" s="3" t="s">
        <v>1060</v>
      </c>
      <c r="B29" s="3" t="s">
        <v>998</v>
      </c>
      <c r="C29" s="3" t="s">
        <v>1061</v>
      </c>
      <c r="D29" s="3" t="s">
        <v>1011</v>
      </c>
    </row>
    <row r="30" spans="1:4" ht="120">
      <c r="A30" s="3" t="s">
        <v>1062</v>
      </c>
      <c r="B30" s="3" t="s">
        <v>998</v>
      </c>
      <c r="C30" s="3" t="s">
        <v>1063</v>
      </c>
      <c r="D30" s="3" t="s">
        <v>1011</v>
      </c>
    </row>
    <row r="31" spans="1:4" ht="135">
      <c r="A31" s="3" t="s">
        <v>1064</v>
      </c>
      <c r="B31" s="3" t="s">
        <v>998</v>
      </c>
      <c r="C31" s="3" t="s">
        <v>580</v>
      </c>
      <c r="D31" s="3" t="s">
        <v>1011</v>
      </c>
    </row>
    <row r="32" spans="1:4" ht="105">
      <c r="A32" s="3" t="s">
        <v>1065</v>
      </c>
      <c r="B32" s="3" t="s">
        <v>998</v>
      </c>
      <c r="C32" s="3" t="s">
        <v>1066</v>
      </c>
      <c r="D32" s="3" t="s">
        <v>1011</v>
      </c>
    </row>
    <row r="33" spans="1:4" ht="120">
      <c r="A33" s="3" t="s">
        <v>1067</v>
      </c>
      <c r="B33" s="3" t="s">
        <v>998</v>
      </c>
      <c r="C33" s="3" t="s">
        <v>1068</v>
      </c>
      <c r="D33" s="3" t="s">
        <v>1011</v>
      </c>
    </row>
    <row r="34" spans="1:4" ht="135">
      <c r="A34" s="3" t="s">
        <v>1069</v>
      </c>
      <c r="B34" s="3" t="s">
        <v>996</v>
      </c>
      <c r="C34" s="3" t="s">
        <v>127</v>
      </c>
      <c r="D34" s="3" t="s">
        <v>1011</v>
      </c>
    </row>
    <row r="35" spans="1:4" ht="90">
      <c r="A35" s="3" t="s">
        <v>1070</v>
      </c>
      <c r="B35" s="3" t="s">
        <v>996</v>
      </c>
      <c r="C35" s="3" t="s">
        <v>1071</v>
      </c>
      <c r="D35" s="3" t="s">
        <v>1011</v>
      </c>
    </row>
    <row r="36" spans="1:4" ht="90">
      <c r="A36" s="3" t="s">
        <v>1072</v>
      </c>
      <c r="B36" s="3" t="s">
        <v>996</v>
      </c>
      <c r="C36" s="3" t="s">
        <v>1073</v>
      </c>
      <c r="D36" s="3" t="s">
        <v>1011</v>
      </c>
    </row>
    <row r="37" spans="1:4" ht="75">
      <c r="A37" s="3" t="s">
        <v>1074</v>
      </c>
      <c r="B37" s="3" t="s">
        <v>996</v>
      </c>
      <c r="C37" s="3" t="s">
        <v>1075</v>
      </c>
      <c r="D37" s="3" t="s">
        <v>1011</v>
      </c>
    </row>
    <row r="38" spans="1:4" ht="135">
      <c r="A38" s="3" t="s">
        <v>1076</v>
      </c>
      <c r="B38" s="3" t="s">
        <v>996</v>
      </c>
      <c r="C38" s="3" t="s">
        <v>1077</v>
      </c>
      <c r="D38" s="3" t="s">
        <v>1011</v>
      </c>
    </row>
    <row r="39" spans="1:4" ht="135">
      <c r="A39" s="3" t="s">
        <v>1078</v>
      </c>
      <c r="B39" s="3" t="s">
        <v>996</v>
      </c>
      <c r="C39" s="3" t="s">
        <v>1079</v>
      </c>
      <c r="D39" s="3" t="s">
        <v>1011</v>
      </c>
    </row>
    <row r="40" spans="1:4" ht="30">
      <c r="A40" s="3" t="s">
        <v>1080</v>
      </c>
      <c r="B40" s="3" t="s">
        <v>996</v>
      </c>
      <c r="C40" s="3" t="s">
        <v>1081</v>
      </c>
      <c r="D40" s="3" t="s">
        <v>1011</v>
      </c>
    </row>
    <row r="41" spans="1:4" ht="135">
      <c r="A41" s="3" t="s">
        <v>1082</v>
      </c>
      <c r="B41" s="3" t="s">
        <v>996</v>
      </c>
      <c r="C41" s="3" t="s">
        <v>1083</v>
      </c>
      <c r="D41" s="3" t="s">
        <v>1011</v>
      </c>
    </row>
    <row r="42" spans="1:4" ht="135">
      <c r="A42" s="3" t="s">
        <v>1084</v>
      </c>
      <c r="B42" s="3" t="s">
        <v>996</v>
      </c>
      <c r="C42" s="3" t="s">
        <v>1085</v>
      </c>
      <c r="D42" s="3" t="s">
        <v>1011</v>
      </c>
    </row>
    <row r="43" spans="1:4" ht="135">
      <c r="A43" s="3" t="s">
        <v>1086</v>
      </c>
      <c r="B43" s="3" t="s">
        <v>996</v>
      </c>
      <c r="C43" s="3" t="s">
        <v>1087</v>
      </c>
      <c r="D43" s="3" t="s">
        <v>1011</v>
      </c>
    </row>
    <row r="44" spans="1:4" ht="135">
      <c r="A44" s="3" t="s">
        <v>1088</v>
      </c>
      <c r="B44" s="3" t="s">
        <v>996</v>
      </c>
      <c r="C44" s="3" t="s">
        <v>1089</v>
      </c>
      <c r="D44" s="3" t="s">
        <v>1011</v>
      </c>
    </row>
    <row r="45" spans="1:4" ht="105">
      <c r="A45" s="3" t="s">
        <v>1090</v>
      </c>
      <c r="B45" s="3" t="s">
        <v>996</v>
      </c>
      <c r="C45" s="3" t="s">
        <v>1091</v>
      </c>
      <c r="D45" s="3" t="s">
        <v>1011</v>
      </c>
    </row>
    <row r="46" spans="1:4" ht="135">
      <c r="A46" s="3" t="s">
        <v>1092</v>
      </c>
      <c r="B46" s="3" t="s">
        <v>996</v>
      </c>
      <c r="C46" s="3" t="s">
        <v>1093</v>
      </c>
      <c r="D46" s="3" t="s">
        <v>1011</v>
      </c>
    </row>
    <row r="47" spans="1:4" ht="135">
      <c r="A47" s="3" t="s">
        <v>1094</v>
      </c>
      <c r="B47" s="3" t="s">
        <v>996</v>
      </c>
      <c r="C47" s="3" t="s">
        <v>1095</v>
      </c>
      <c r="D47" s="3" t="s">
        <v>1011</v>
      </c>
    </row>
    <row r="48" spans="1:4" ht="135">
      <c r="A48" s="3" t="s">
        <v>1096</v>
      </c>
      <c r="B48" s="3" t="s">
        <v>996</v>
      </c>
      <c r="C48" s="3" t="s">
        <v>1097</v>
      </c>
      <c r="D48" s="3" t="s">
        <v>1011</v>
      </c>
    </row>
    <row r="49" spans="1:4" ht="90">
      <c r="A49" s="3" t="s">
        <v>1098</v>
      </c>
      <c r="B49" s="3" t="s">
        <v>996</v>
      </c>
      <c r="C49" s="3" t="s">
        <v>1099</v>
      </c>
      <c r="D49" s="3" t="s">
        <v>1011</v>
      </c>
    </row>
    <row r="50" spans="1:4" ht="105">
      <c r="A50" s="3" t="s">
        <v>1100</v>
      </c>
      <c r="B50" s="3" t="s">
        <v>996</v>
      </c>
      <c r="C50" s="3" t="s">
        <v>1101</v>
      </c>
      <c r="D50" s="3" t="s">
        <v>1011</v>
      </c>
    </row>
    <row r="51" spans="1:4" ht="135">
      <c r="A51" s="3" t="s">
        <v>1102</v>
      </c>
      <c r="B51" s="3" t="s">
        <v>996</v>
      </c>
      <c r="C51" s="3" t="s">
        <v>1103</v>
      </c>
      <c r="D51" s="3" t="s">
        <v>1011</v>
      </c>
    </row>
    <row r="52" spans="1:4" ht="135">
      <c r="A52" s="3" t="s">
        <v>1104</v>
      </c>
      <c r="B52" s="3" t="s">
        <v>997</v>
      </c>
      <c r="C52" s="3" t="s">
        <v>1105</v>
      </c>
      <c r="D52" s="3" t="s">
        <v>1011</v>
      </c>
    </row>
    <row r="53" spans="1:4" ht="120">
      <c r="A53" s="3" t="s">
        <v>1106</v>
      </c>
      <c r="B53" s="3" t="s">
        <v>997</v>
      </c>
      <c r="C53" s="3" t="s">
        <v>1107</v>
      </c>
      <c r="D53" s="3" t="s">
        <v>1011</v>
      </c>
    </row>
    <row r="54" spans="1:4" ht="135">
      <c r="A54" s="3" t="s">
        <v>1108</v>
      </c>
      <c r="B54" s="3" t="s">
        <v>997</v>
      </c>
      <c r="C54" s="3" t="s">
        <v>1109</v>
      </c>
      <c r="D54" s="3" t="s">
        <v>1011</v>
      </c>
    </row>
    <row r="55" spans="1:4" ht="60">
      <c r="A55" s="3" t="s">
        <v>1110</v>
      </c>
      <c r="B55" s="3" t="s">
        <v>997</v>
      </c>
      <c r="C55" s="3" t="s">
        <v>1111</v>
      </c>
      <c r="D55" s="3" t="s">
        <v>1011</v>
      </c>
    </row>
    <row r="56" spans="1:4" ht="150">
      <c r="A56" s="3" t="s">
        <v>1112</v>
      </c>
      <c r="B56" s="3" t="s">
        <v>997</v>
      </c>
      <c r="C56" s="3" t="s">
        <v>1113</v>
      </c>
      <c r="D56" s="3" t="s">
        <v>1011</v>
      </c>
    </row>
    <row r="57" spans="1:4" ht="120">
      <c r="A57" s="3" t="s">
        <v>1114</v>
      </c>
      <c r="B57" s="3" t="s">
        <v>997</v>
      </c>
      <c r="C57" s="3" t="s">
        <v>1115</v>
      </c>
      <c r="D57" s="3" t="s">
        <v>1011</v>
      </c>
    </row>
    <row r="58" spans="1:4" ht="135">
      <c r="A58" s="3" t="s">
        <v>1116</v>
      </c>
      <c r="B58" s="3" t="s">
        <v>997</v>
      </c>
      <c r="C58" s="3" t="s">
        <v>1117</v>
      </c>
      <c r="D58" s="3" t="s">
        <v>1011</v>
      </c>
    </row>
    <row r="59" spans="1:4" ht="135">
      <c r="A59" s="3" t="s">
        <v>1118</v>
      </c>
      <c r="B59" s="3" t="s">
        <v>997</v>
      </c>
      <c r="C59" s="3" t="s">
        <v>1119</v>
      </c>
      <c r="D59" s="3" t="s">
        <v>1011</v>
      </c>
    </row>
    <row r="60" spans="1:4" ht="150">
      <c r="A60" s="3" t="s">
        <v>1120</v>
      </c>
      <c r="B60" s="3" t="s">
        <v>997</v>
      </c>
      <c r="C60" s="3" t="s">
        <v>410</v>
      </c>
      <c r="D60" s="3" t="s">
        <v>1011</v>
      </c>
    </row>
    <row r="61" spans="1:4" ht="150">
      <c r="A61" s="3" t="s">
        <v>1121</v>
      </c>
      <c r="B61" s="3" t="s">
        <v>997</v>
      </c>
      <c r="C61" s="3" t="s">
        <v>363</v>
      </c>
      <c r="D61" s="3" t="s">
        <v>1011</v>
      </c>
    </row>
    <row r="62" spans="1:4" ht="135">
      <c r="A62" s="3" t="s">
        <v>1122</v>
      </c>
      <c r="B62" s="3" t="s">
        <v>997</v>
      </c>
      <c r="C62" s="3" t="s">
        <v>401</v>
      </c>
      <c r="D62" s="3" t="s">
        <v>1011</v>
      </c>
    </row>
    <row r="63" spans="1:4" ht="120">
      <c r="A63" s="3" t="s">
        <v>1123</v>
      </c>
      <c r="B63" s="3" t="s">
        <v>997</v>
      </c>
      <c r="C63" s="3" t="s">
        <v>1124</v>
      </c>
      <c r="D63" s="3" t="s">
        <v>1011</v>
      </c>
    </row>
    <row r="64" spans="1:4" ht="135">
      <c r="A64" s="3" t="s">
        <v>1125</v>
      </c>
      <c r="B64" s="3" t="s">
        <v>997</v>
      </c>
      <c r="C64" s="3" t="s">
        <v>1126</v>
      </c>
      <c r="D64" s="3" t="s">
        <v>1011</v>
      </c>
    </row>
    <row r="65" spans="1:4" ht="150">
      <c r="A65" s="3" t="s">
        <v>1127</v>
      </c>
      <c r="B65" s="3" t="s">
        <v>997</v>
      </c>
      <c r="C65" s="3" t="s">
        <v>1128</v>
      </c>
      <c r="D65" s="3" t="s">
        <v>1011</v>
      </c>
    </row>
    <row r="66" spans="1:4" ht="150">
      <c r="A66" s="3" t="s">
        <v>1129</v>
      </c>
      <c r="B66" s="3" t="s">
        <v>997</v>
      </c>
      <c r="C66" s="3" t="s">
        <v>1130</v>
      </c>
      <c r="D66" s="3" t="s">
        <v>1011</v>
      </c>
    </row>
    <row r="67" spans="1:4" ht="90">
      <c r="A67" s="3" t="s">
        <v>1131</v>
      </c>
      <c r="B67" s="3" t="s">
        <v>997</v>
      </c>
      <c r="C67" s="3" t="s">
        <v>1132</v>
      </c>
      <c r="D67" s="3" t="s">
        <v>1011</v>
      </c>
    </row>
    <row r="68" spans="1:4" ht="135">
      <c r="A68" s="3" t="s">
        <v>1133</v>
      </c>
      <c r="B68" s="3" t="s">
        <v>997</v>
      </c>
      <c r="C68" s="3" t="s">
        <v>1134</v>
      </c>
      <c r="D68" s="3" t="s">
        <v>1011</v>
      </c>
    </row>
    <row r="69" spans="1:4" ht="135">
      <c r="A69" s="3" t="s">
        <v>1135</v>
      </c>
      <c r="B69" s="3" t="s">
        <v>997</v>
      </c>
      <c r="C69" s="3" t="s">
        <v>1136</v>
      </c>
      <c r="D69" s="3" t="s">
        <v>1011</v>
      </c>
    </row>
    <row r="70" spans="1:4" ht="90">
      <c r="A70" s="3" t="s">
        <v>1137</v>
      </c>
      <c r="B70" s="3" t="s">
        <v>997</v>
      </c>
      <c r="C70" s="3" t="s">
        <v>1138</v>
      </c>
      <c r="D70" s="3" t="s">
        <v>1011</v>
      </c>
    </row>
    <row r="71" spans="1:4" ht="150">
      <c r="A71" s="3" t="s">
        <v>1139</v>
      </c>
      <c r="B71" s="3" t="s">
        <v>997</v>
      </c>
      <c r="C71" s="3" t="s">
        <v>1140</v>
      </c>
      <c r="D71" s="3" t="s">
        <v>1011</v>
      </c>
    </row>
    <row r="72" spans="1:4" ht="135">
      <c r="A72" s="3" t="s">
        <v>1141</v>
      </c>
      <c r="B72" s="3" t="s">
        <v>997</v>
      </c>
      <c r="C72" s="3" t="s">
        <v>1142</v>
      </c>
      <c r="D72" s="3" t="s">
        <v>1011</v>
      </c>
    </row>
    <row r="73" spans="1:4" ht="120">
      <c r="A73" s="3" t="s">
        <v>1143</v>
      </c>
      <c r="B73" s="3" t="s">
        <v>997</v>
      </c>
      <c r="C73" s="3" t="s">
        <v>1144</v>
      </c>
      <c r="D73" s="3" t="s">
        <v>1011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heetViews>
  <sheetFormatPr baseColWidth="10" defaultColWidth="8.83203125" defaultRowHeight="14"/>
  <cols>
    <col min="1" max="1" width="20" customWidth="1"/>
    <col min="2" max="2" width="34" customWidth="1"/>
    <col min="3" max="3" width="80" customWidth="1"/>
    <col min="4" max="4" width="58" customWidth="1"/>
  </cols>
  <sheetData>
    <row r="1" spans="1:4" ht="16">
      <c r="A1" s="6" t="s">
        <v>999</v>
      </c>
      <c r="B1" s="6" t="s">
        <v>1145</v>
      </c>
      <c r="C1" s="6" t="s">
        <v>1146</v>
      </c>
      <c r="D1" s="6" t="s">
        <v>1147</v>
      </c>
    </row>
    <row r="2" spans="1:4" ht="45">
      <c r="A2" s="3" t="s">
        <v>1148</v>
      </c>
      <c r="B2" s="3" t="s">
        <v>1149</v>
      </c>
      <c r="C2" s="3" t="s">
        <v>1150</v>
      </c>
      <c r="D2" s="3" t="s">
        <v>1151</v>
      </c>
    </row>
    <row r="3" spans="1:4" ht="45">
      <c r="A3" s="3" t="s">
        <v>1001</v>
      </c>
      <c r="B3" s="3" t="s">
        <v>1152</v>
      </c>
      <c r="C3" s="3" t="s">
        <v>1153</v>
      </c>
      <c r="D3" s="3" t="s">
        <v>1154</v>
      </c>
    </row>
    <row r="4" spans="1:4" ht="30">
      <c r="A4" s="3" t="s">
        <v>1002</v>
      </c>
      <c r="B4" s="3" t="s">
        <v>1155</v>
      </c>
      <c r="C4" s="3" t="s">
        <v>1156</v>
      </c>
      <c r="D4" s="3" t="s">
        <v>1157</v>
      </c>
    </row>
    <row r="5" spans="1:4" ht="30">
      <c r="A5" s="3" t="s">
        <v>139</v>
      </c>
      <c r="B5" s="3" t="s">
        <v>1158</v>
      </c>
      <c r="C5" s="3" t="s">
        <v>140</v>
      </c>
      <c r="D5" s="3" t="s">
        <v>1159</v>
      </c>
    </row>
    <row r="6" spans="1:4" ht="30">
      <c r="A6" s="3" t="s">
        <v>902</v>
      </c>
      <c r="B6" s="3" t="s">
        <v>1160</v>
      </c>
      <c r="C6" s="3" t="s">
        <v>903</v>
      </c>
      <c r="D6" s="3" t="s">
        <v>1161</v>
      </c>
    </row>
    <row r="7" spans="1:4" ht="30">
      <c r="A7" s="3" t="s">
        <v>177</v>
      </c>
      <c r="B7" s="3" t="s">
        <v>1162</v>
      </c>
      <c r="C7" s="3" t="s">
        <v>178</v>
      </c>
      <c r="D7" s="3" t="s">
        <v>1163</v>
      </c>
    </row>
    <row r="8" spans="1:4" ht="30">
      <c r="A8" s="3" t="s">
        <v>1000</v>
      </c>
      <c r="B8" s="3" t="s">
        <v>1164</v>
      </c>
      <c r="C8" s="3" t="s">
        <v>1165</v>
      </c>
      <c r="D8" s="3" t="s">
        <v>1166</v>
      </c>
    </row>
    <row r="9" spans="1:4" ht="45">
      <c r="A9" s="3" t="s">
        <v>843</v>
      </c>
      <c r="B9" s="3" t="s">
        <v>1167</v>
      </c>
      <c r="C9" s="3" t="s">
        <v>844</v>
      </c>
      <c r="D9" s="3" t="s">
        <v>1168</v>
      </c>
    </row>
    <row r="10" spans="1:4" ht="30">
      <c r="A10" s="3" t="s">
        <v>1003</v>
      </c>
      <c r="B10" s="3" t="s">
        <v>1169</v>
      </c>
      <c r="C10" s="3" t="s">
        <v>1170</v>
      </c>
      <c r="D10" s="3" t="s">
        <v>1171</v>
      </c>
    </row>
    <row r="11" spans="1:4" ht="30">
      <c r="A11" s="3" t="s">
        <v>1004</v>
      </c>
      <c r="B11" s="3" t="s">
        <v>1172</v>
      </c>
      <c r="C11" s="3" t="s">
        <v>1173</v>
      </c>
      <c r="D11" s="3" t="s">
        <v>1174</v>
      </c>
    </row>
    <row r="12" spans="1:4" ht="45">
      <c r="A12" s="3" t="s">
        <v>158</v>
      </c>
      <c r="B12" s="3" t="s">
        <v>1175</v>
      </c>
      <c r="C12" s="3" t="s">
        <v>159</v>
      </c>
      <c r="D12" s="3" t="s">
        <v>1176</v>
      </c>
    </row>
    <row r="13" spans="1:4" ht="45">
      <c r="A13" s="3" t="s">
        <v>128</v>
      </c>
      <c r="B13" s="3" t="s">
        <v>1177</v>
      </c>
      <c r="C13" s="3" t="s">
        <v>129</v>
      </c>
      <c r="D13" s="3" t="s">
        <v>1178</v>
      </c>
    </row>
    <row r="14" spans="1:4" ht="45">
      <c r="A14" s="3" t="s">
        <v>863</v>
      </c>
      <c r="B14" s="3" t="s">
        <v>1179</v>
      </c>
      <c r="C14" s="3" t="s">
        <v>864</v>
      </c>
      <c r="D14" s="3" t="s">
        <v>1180</v>
      </c>
    </row>
    <row r="15" spans="1:4" ht="45">
      <c r="A15" s="3" t="s">
        <v>224</v>
      </c>
      <c r="B15" s="3" t="s">
        <v>1181</v>
      </c>
      <c r="C15" s="3" t="s">
        <v>225</v>
      </c>
      <c r="D15" s="3" t="s">
        <v>1182</v>
      </c>
    </row>
    <row r="16" spans="1:4" ht="45">
      <c r="A16" s="3" t="s">
        <v>1005</v>
      </c>
      <c r="B16" s="3" t="s">
        <v>1183</v>
      </c>
      <c r="C16" s="3" t="s">
        <v>1184</v>
      </c>
      <c r="D16" s="3" t="s">
        <v>1185</v>
      </c>
    </row>
    <row r="17" spans="1:4" ht="45">
      <c r="A17" s="3" t="s">
        <v>186</v>
      </c>
      <c r="B17" s="3" t="s">
        <v>1186</v>
      </c>
      <c r="C17" s="3" t="s">
        <v>187</v>
      </c>
      <c r="D17" s="3" t="s">
        <v>1187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workbookViewId="0"/>
  </sheetViews>
  <sheetFormatPr baseColWidth="10" defaultColWidth="8.83203125" defaultRowHeight="14"/>
  <cols>
    <col min="1" max="1" width="12" style="3" customWidth="1"/>
    <col min="2" max="3" width="60" style="3" customWidth="1"/>
    <col min="4" max="16384" width="8.83203125" style="3"/>
  </cols>
  <sheetData>
    <row r="1" spans="1:3" ht="16">
      <c r="A1" s="11" t="s">
        <v>39</v>
      </c>
      <c r="B1" s="11" t="s">
        <v>1188</v>
      </c>
      <c r="C1" s="11" t="s">
        <v>70</v>
      </c>
    </row>
    <row r="2" spans="1:3" ht="45">
      <c r="A2" s="3" t="s">
        <v>79</v>
      </c>
      <c r="B2" s="3" t="s">
        <v>1189</v>
      </c>
      <c r="C2" s="3" t="s">
        <v>1190</v>
      </c>
    </row>
    <row r="3" spans="1:3" ht="45">
      <c r="A3" s="3" t="s">
        <v>191</v>
      </c>
      <c r="B3" s="3" t="s">
        <v>1191</v>
      </c>
      <c r="C3" s="3" t="s">
        <v>1192</v>
      </c>
    </row>
    <row r="4" spans="1:3" ht="45">
      <c r="A4" s="3" t="s">
        <v>709</v>
      </c>
      <c r="B4" s="3" t="s">
        <v>1193</v>
      </c>
      <c r="C4" s="3" t="s">
        <v>1194</v>
      </c>
    </row>
    <row r="5" spans="1:3" ht="45">
      <c r="A5" s="3" t="s">
        <v>1195</v>
      </c>
      <c r="B5" s="3" t="s">
        <v>1196</v>
      </c>
      <c r="C5" s="3" t="s">
        <v>1197</v>
      </c>
    </row>
    <row r="6" spans="1:3" ht="45">
      <c r="A6" s="3" t="s">
        <v>646</v>
      </c>
      <c r="B6" s="3" t="s">
        <v>1198</v>
      </c>
      <c r="C6" s="3" t="s">
        <v>1199</v>
      </c>
    </row>
    <row r="7" spans="1:3" ht="45">
      <c r="A7" s="3" t="s">
        <v>785</v>
      </c>
      <c r="B7" s="3" t="s">
        <v>1200</v>
      </c>
      <c r="C7" s="3" t="s">
        <v>1201</v>
      </c>
    </row>
    <row r="8" spans="1:3" ht="45">
      <c r="A8" s="3" t="s">
        <v>512</v>
      </c>
      <c r="B8" s="3" t="s">
        <v>1202</v>
      </c>
      <c r="C8" s="3" t="s">
        <v>1203</v>
      </c>
    </row>
    <row r="9" spans="1:3" ht="45">
      <c r="A9" s="3" t="s">
        <v>586</v>
      </c>
      <c r="B9" s="3" t="s">
        <v>1204</v>
      </c>
      <c r="C9" s="3" t="s">
        <v>1205</v>
      </c>
    </row>
    <row r="10" spans="1:3" ht="45">
      <c r="A10" s="3" t="s">
        <v>272</v>
      </c>
      <c r="B10" s="3" t="s">
        <v>1206</v>
      </c>
      <c r="C10" s="3" t="s">
        <v>1207</v>
      </c>
    </row>
    <row r="11" spans="1:3" ht="45">
      <c r="A11" s="3" t="s">
        <v>427</v>
      </c>
      <c r="B11" s="3" t="s">
        <v>1208</v>
      </c>
      <c r="C11" s="3" t="s">
        <v>1209</v>
      </c>
    </row>
    <row r="12" spans="1:3" ht="45">
      <c r="A12" s="3" t="s">
        <v>358</v>
      </c>
      <c r="B12" s="3" t="s">
        <v>1210</v>
      </c>
      <c r="C12" s="3" t="s">
        <v>1211</v>
      </c>
    </row>
    <row r="13" spans="1:3" ht="45">
      <c r="A13" s="3" t="s">
        <v>918</v>
      </c>
      <c r="B13" s="3" t="s">
        <v>1212</v>
      </c>
      <c r="C13" s="3" t="s">
        <v>1213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election sqref="A1:E1"/>
    </sheetView>
  </sheetViews>
  <sheetFormatPr baseColWidth="10" defaultColWidth="8.83203125" defaultRowHeight="14"/>
  <cols>
    <col min="1" max="1" width="6.1640625" style="3" bestFit="1" customWidth="1"/>
    <col min="2" max="2" width="26.6640625" style="3" bestFit="1" customWidth="1"/>
    <col min="3" max="3" width="49.33203125" style="3" customWidth="1"/>
    <col min="4" max="4" width="58.6640625" style="3" customWidth="1"/>
    <col min="5" max="5" width="74.5" style="3" bestFit="1" customWidth="1"/>
    <col min="6" max="16384" width="8.83203125" style="3"/>
  </cols>
  <sheetData>
    <row r="1" spans="1:5" ht="16">
      <c r="A1" s="11" t="s">
        <v>1214</v>
      </c>
      <c r="B1" s="11" t="s">
        <v>1215</v>
      </c>
      <c r="C1" s="11" t="s">
        <v>1216</v>
      </c>
      <c r="D1" s="11" t="s">
        <v>1217</v>
      </c>
      <c r="E1" s="11" t="s">
        <v>1218</v>
      </c>
    </row>
    <row r="2" spans="1:5" ht="15">
      <c r="A2" s="3">
        <v>0</v>
      </c>
      <c r="B2" s="3" t="s">
        <v>1219</v>
      </c>
      <c r="C2" s="3" t="s">
        <v>1220</v>
      </c>
      <c r="D2" s="3" t="s">
        <v>1221</v>
      </c>
      <c r="E2" s="3" t="s">
        <v>1222</v>
      </c>
    </row>
    <row r="3" spans="1:5" ht="30">
      <c r="A3" s="3">
        <v>1</v>
      </c>
      <c r="B3" s="3" t="s">
        <v>1223</v>
      </c>
      <c r="C3" s="3" t="s">
        <v>1224</v>
      </c>
      <c r="D3" s="3" t="s">
        <v>1225</v>
      </c>
      <c r="E3" s="3" t="s">
        <v>1226</v>
      </c>
    </row>
    <row r="4" spans="1:5" ht="30">
      <c r="A4" s="3">
        <v>2</v>
      </c>
      <c r="B4" s="3" t="s">
        <v>1227</v>
      </c>
      <c r="C4" s="3" t="s">
        <v>1228</v>
      </c>
      <c r="D4" s="3" t="s">
        <v>1229</v>
      </c>
      <c r="E4" s="3" t="s">
        <v>1230</v>
      </c>
    </row>
    <row r="5" spans="1:5" ht="30">
      <c r="A5" s="3">
        <v>3</v>
      </c>
      <c r="B5" s="3" t="s">
        <v>1231</v>
      </c>
      <c r="C5" s="3" t="s">
        <v>1232</v>
      </c>
      <c r="D5" s="3" t="s">
        <v>1233</v>
      </c>
      <c r="E5" s="3" t="s">
        <v>1234</v>
      </c>
    </row>
    <row r="6" spans="1:5" ht="30">
      <c r="A6" s="3">
        <v>4</v>
      </c>
      <c r="B6" s="3" t="s">
        <v>1235</v>
      </c>
      <c r="C6" s="3" t="s">
        <v>1236</v>
      </c>
      <c r="D6" s="3" t="s">
        <v>1237</v>
      </c>
      <c r="E6" s="3" t="s">
        <v>1238</v>
      </c>
    </row>
    <row r="7" spans="1:5" ht="30">
      <c r="A7" s="3">
        <v>5</v>
      </c>
      <c r="B7" s="3" t="s">
        <v>1239</v>
      </c>
      <c r="C7" s="3" t="s">
        <v>1240</v>
      </c>
      <c r="D7" s="3" t="s">
        <v>1241</v>
      </c>
      <c r="E7" s="3" t="s">
        <v>1242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1"/>
  <sheetViews>
    <sheetView workbookViewId="0">
      <selection activeCell="F17" sqref="F17"/>
    </sheetView>
  </sheetViews>
  <sheetFormatPr baseColWidth="10" defaultColWidth="8.83203125" defaultRowHeight="14"/>
  <cols>
    <col min="1" max="1" width="18.5" bestFit="1" customWidth="1"/>
    <col min="2" max="2" width="18.33203125" bestFit="1" customWidth="1"/>
  </cols>
  <sheetData>
    <row r="1" spans="1:2" ht="16">
      <c r="A1" s="11" t="s">
        <v>1243</v>
      </c>
      <c r="B1" s="11" t="s">
        <v>986</v>
      </c>
    </row>
    <row r="2" spans="1:2">
      <c r="A2" t="s">
        <v>55</v>
      </c>
      <c r="B2" t="s">
        <v>94</v>
      </c>
    </row>
    <row r="3" spans="1:2">
      <c r="A3" t="s">
        <v>55</v>
      </c>
      <c r="B3" t="s">
        <v>1244</v>
      </c>
    </row>
    <row r="4" spans="1:2">
      <c r="A4" t="s">
        <v>1245</v>
      </c>
      <c r="B4" t="s">
        <v>96</v>
      </c>
    </row>
    <row r="5" spans="1:2">
      <c r="A5" t="s">
        <v>1245</v>
      </c>
      <c r="B5" t="s">
        <v>1246</v>
      </c>
    </row>
    <row r="6" spans="1:2">
      <c r="A6" t="s">
        <v>1245</v>
      </c>
      <c r="B6" t="s">
        <v>1247</v>
      </c>
    </row>
    <row r="7" spans="1:2">
      <c r="A7" t="s">
        <v>1245</v>
      </c>
      <c r="B7" t="s">
        <v>1248</v>
      </c>
    </row>
    <row r="8" spans="1:2">
      <c r="A8" t="s">
        <v>1245</v>
      </c>
      <c r="B8" t="s">
        <v>1231</v>
      </c>
    </row>
    <row r="9" spans="1:2">
      <c r="A9" t="s">
        <v>1245</v>
      </c>
      <c r="B9" t="s">
        <v>1249</v>
      </c>
    </row>
    <row r="10" spans="1:2">
      <c r="A10" t="s">
        <v>1245</v>
      </c>
      <c r="B10" t="s">
        <v>1250</v>
      </c>
    </row>
    <row r="11" spans="1:2">
      <c r="A11" t="s">
        <v>1214</v>
      </c>
      <c r="B11">
        <v>0</v>
      </c>
    </row>
    <row r="12" spans="1:2">
      <c r="A12" t="s">
        <v>1214</v>
      </c>
      <c r="B12">
        <v>1</v>
      </c>
    </row>
    <row r="13" spans="1:2">
      <c r="A13" t="s">
        <v>1214</v>
      </c>
      <c r="B13">
        <v>2</v>
      </c>
    </row>
    <row r="14" spans="1:2">
      <c r="A14" t="s">
        <v>1214</v>
      </c>
      <c r="B14">
        <v>3</v>
      </c>
    </row>
    <row r="15" spans="1:2">
      <c r="A15" t="s">
        <v>1214</v>
      </c>
      <c r="B15">
        <v>4</v>
      </c>
    </row>
    <row r="16" spans="1:2">
      <c r="A16" t="s">
        <v>1214</v>
      </c>
      <c r="B16">
        <v>5</v>
      </c>
    </row>
    <row r="17" spans="1:2">
      <c r="A17" t="s">
        <v>67</v>
      </c>
      <c r="B17" t="s">
        <v>97</v>
      </c>
    </row>
    <row r="18" spans="1:2">
      <c r="A18" t="s">
        <v>67</v>
      </c>
      <c r="B18" t="s">
        <v>1251</v>
      </c>
    </row>
    <row r="19" spans="1:2">
      <c r="A19" t="s">
        <v>67</v>
      </c>
      <c r="B19" t="s">
        <v>1252</v>
      </c>
    </row>
    <row r="20" spans="1:2">
      <c r="A20" t="s">
        <v>67</v>
      </c>
      <c r="B20" t="s">
        <v>1253</v>
      </c>
    </row>
    <row r="21" spans="1:2">
      <c r="A21" t="s">
        <v>67</v>
      </c>
      <c r="B21" t="s">
        <v>1254</v>
      </c>
    </row>
    <row r="22" spans="1:2">
      <c r="A22" t="s">
        <v>71</v>
      </c>
      <c r="B22" t="s">
        <v>98</v>
      </c>
    </row>
    <row r="23" spans="1:2">
      <c r="A23" t="s">
        <v>71</v>
      </c>
      <c r="B23" t="s">
        <v>1255</v>
      </c>
    </row>
    <row r="24" spans="1:2">
      <c r="A24" t="s">
        <v>71</v>
      </c>
      <c r="B24" t="s">
        <v>1256</v>
      </c>
    </row>
    <row r="25" spans="1:2">
      <c r="A25" t="s">
        <v>71</v>
      </c>
      <c r="B25" t="s">
        <v>1257</v>
      </c>
    </row>
    <row r="26" spans="1:2">
      <c r="A26" t="s">
        <v>71</v>
      </c>
      <c r="B26" t="s">
        <v>1250</v>
      </c>
    </row>
    <row r="27" spans="1:2">
      <c r="A27" t="s">
        <v>75</v>
      </c>
      <c r="B27" t="s">
        <v>96</v>
      </c>
    </row>
    <row r="28" spans="1:2">
      <c r="A28" t="s">
        <v>75</v>
      </c>
      <c r="B28" t="s">
        <v>1258</v>
      </c>
    </row>
    <row r="29" spans="1:2">
      <c r="A29" t="s">
        <v>75</v>
      </c>
      <c r="B29" t="s">
        <v>1259</v>
      </c>
    </row>
    <row r="30" spans="1:2">
      <c r="A30" t="s">
        <v>75</v>
      </c>
      <c r="B30" t="s">
        <v>1260</v>
      </c>
    </row>
    <row r="31" spans="1:2">
      <c r="A31" t="s">
        <v>75</v>
      </c>
      <c r="B31" t="s">
        <v>1261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0"/>
  <sheetViews>
    <sheetView workbookViewId="0">
      <selection activeCell="B15" sqref="B15"/>
    </sheetView>
  </sheetViews>
  <sheetFormatPr baseColWidth="10" defaultColWidth="8.83203125" defaultRowHeight="14"/>
  <cols>
    <col min="1" max="1" width="28" customWidth="1"/>
    <col min="2" max="2" width="29.5" customWidth="1"/>
    <col min="4" max="4" width="22" customWidth="1"/>
    <col min="5" max="9" width="16" customWidth="1"/>
  </cols>
  <sheetData>
    <row r="1" spans="1:9" ht="21">
      <c r="A1" s="15" t="s">
        <v>1279</v>
      </c>
      <c r="B1" s="15"/>
      <c r="C1" s="15"/>
      <c r="D1" s="15"/>
      <c r="E1" s="15"/>
      <c r="F1" s="15"/>
      <c r="G1" s="15"/>
      <c r="H1" s="15"/>
    </row>
    <row r="3" spans="1:9" ht="32">
      <c r="A3" s="11" t="s">
        <v>985</v>
      </c>
      <c r="B3" s="11" t="s">
        <v>986</v>
      </c>
      <c r="C3" s="11"/>
      <c r="D3" s="11" t="s">
        <v>37</v>
      </c>
      <c r="E3" s="11" t="s">
        <v>1262</v>
      </c>
      <c r="F3" s="11" t="s">
        <v>1263</v>
      </c>
      <c r="G3" s="11" t="s">
        <v>1264</v>
      </c>
      <c r="H3" s="11" t="s">
        <v>1265</v>
      </c>
      <c r="I3" s="11" t="s">
        <v>1266</v>
      </c>
    </row>
    <row r="4" spans="1:9" ht="16">
      <c r="A4" s="13" t="s">
        <v>1267</v>
      </c>
      <c r="B4" s="14">
        <f>COUNTA(Mapping!$B$2:$B$121)</f>
        <v>120</v>
      </c>
      <c r="D4" s="3" t="s">
        <v>783</v>
      </c>
      <c r="E4" s="3">
        <f>COUNTIF(Mapping!$A$2:$A$121,D4)</f>
        <v>9</v>
      </c>
      <c r="F4" s="3">
        <f>IFERROR(AVERAGEIFS(Mapping!$X$2:$X$121,Mapping!$A$2:$A$121,D4,Mapping!$S$2:$S$121,"Yes"),0)</f>
        <v>0</v>
      </c>
      <c r="G4" s="3">
        <f>COUNTIFS(Mapping!$A$2:$A$121,D4,Mapping!$AA$2:$AA$121,"Meets CSA maturity")</f>
        <v>0</v>
      </c>
      <c r="H4" s="3">
        <f>COUNTIFS(Mapping!$A$2:$A$121,D4,Mapping!$AE$2:$AE$121,"Validated")</f>
        <v>0</v>
      </c>
      <c r="I4" s="3">
        <f>COUNTIFS(Mapping!$A$2:$A$121,D4,Mapping!$Z$2:$Z$121,"&gt;0")</f>
        <v>9</v>
      </c>
    </row>
    <row r="5" spans="1:9" ht="16">
      <c r="A5" s="13" t="s">
        <v>1268</v>
      </c>
      <c r="B5" s="14">
        <f>COUNTIF(Mapping!$S$2:$S$121,"Yes")</f>
        <v>120</v>
      </c>
      <c r="D5" s="3" t="s">
        <v>584</v>
      </c>
      <c r="E5" s="3">
        <f>COUNTIF(Mapping!$A$2:$A$121,D5)</f>
        <v>10</v>
      </c>
      <c r="F5" s="3">
        <f>IFERROR(AVERAGEIFS(Mapping!$X$2:$X$121,Mapping!$A$2:$A$121,D5,Mapping!$S$2:$S$121,"Yes"),0)</f>
        <v>0</v>
      </c>
      <c r="G5" s="3">
        <f>COUNTIFS(Mapping!$A$2:$A$121,D5,Mapping!$AA$2:$AA$121,"Meets CSA maturity")</f>
        <v>0</v>
      </c>
      <c r="H5" s="3">
        <f>COUNTIFS(Mapping!$A$2:$A$121,D5,Mapping!$AE$2:$AE$121,"Validated")</f>
        <v>0</v>
      </c>
      <c r="I5" s="3">
        <f>COUNTIFS(Mapping!$A$2:$A$121,D5,Mapping!$Z$2:$Z$121,"&gt;0")</f>
        <v>10</v>
      </c>
    </row>
    <row r="6" spans="1:9" ht="16">
      <c r="A6" s="13" t="s">
        <v>1269</v>
      </c>
      <c r="B6" s="14">
        <f>IFERROR(AVERAGEIF(Mapping!$S$2:$S$121,"Yes",Mapping!$X$2:$X$121),0)</f>
        <v>0</v>
      </c>
      <c r="D6" s="3" t="s">
        <v>644</v>
      </c>
      <c r="E6" s="3">
        <f>COUNTIF(Mapping!$A$2:$A$121,D6)</f>
        <v>9</v>
      </c>
      <c r="F6" s="3">
        <f>IFERROR(AVERAGEIFS(Mapping!$X$2:$X$121,Mapping!$A$2:$A$121,D6,Mapping!$S$2:$S$121,"Yes"),0)</f>
        <v>0</v>
      </c>
      <c r="G6" s="3">
        <f>COUNTIFS(Mapping!$A$2:$A$121,D6,Mapping!$AA$2:$AA$121,"Meets CSA maturity")</f>
        <v>0</v>
      </c>
      <c r="H6" s="3">
        <f>COUNTIFS(Mapping!$A$2:$A$121,D6,Mapping!$AE$2:$AE$121,"Validated")</f>
        <v>0</v>
      </c>
      <c r="I6" s="3">
        <f>COUNTIFS(Mapping!$A$2:$A$121,D6,Mapping!$Z$2:$Z$121,"&gt;0")</f>
        <v>9</v>
      </c>
    </row>
    <row r="7" spans="1:9" ht="16">
      <c r="A7" s="13" t="s">
        <v>1270</v>
      </c>
      <c r="B7" s="14">
        <f>IFERROR(AVERAGEIF(Mapping!$S$2:$S$121,"Yes",Mapping!$Y$2:$Y$121),0)</f>
        <v>3</v>
      </c>
      <c r="D7" s="3" t="s">
        <v>77</v>
      </c>
      <c r="E7" s="3">
        <f>COUNTIF(Mapping!$A$2:$A$121,D7)</f>
        <v>10</v>
      </c>
      <c r="F7" s="3">
        <f>IFERROR(AVERAGEIFS(Mapping!$X$2:$X$121,Mapping!$A$2:$A$121,D7,Mapping!$S$2:$S$121,"Yes"),0)</f>
        <v>0</v>
      </c>
      <c r="G7" s="3">
        <f>COUNTIFS(Mapping!$A$2:$A$121,D7,Mapping!$AA$2:$AA$121,"Meets CSA maturity")</f>
        <v>0</v>
      </c>
      <c r="H7" s="3">
        <f>COUNTIFS(Mapping!$A$2:$A$121,D7,Mapping!$AE$2:$AE$121,"Validated")</f>
        <v>0</v>
      </c>
      <c r="I7" s="3">
        <f>COUNTIFS(Mapping!$A$2:$A$121,D7,Mapping!$Z$2:$Z$121,"&gt;0")</f>
        <v>10</v>
      </c>
    </row>
    <row r="8" spans="1:9" ht="16">
      <c r="A8" s="13" t="s">
        <v>1271</v>
      </c>
      <c r="B8" s="14">
        <f>COUNTIF(Mapping!$AA$2:$AA$121,"Meets CSA maturity")</f>
        <v>0</v>
      </c>
      <c r="D8" s="3" t="s">
        <v>272</v>
      </c>
      <c r="E8" s="3">
        <f>COUNTIF(Mapping!$A$2:$A$121,D8)</f>
        <v>11</v>
      </c>
      <c r="F8" s="3">
        <f>IFERROR(AVERAGEIFS(Mapping!$X$2:$X$121,Mapping!$A$2:$A$121,D8,Mapping!$S$2:$S$121,"Yes"),0)</f>
        <v>0</v>
      </c>
      <c r="G8" s="3">
        <f>COUNTIFS(Mapping!$A$2:$A$121,D8,Mapping!$AA$2:$AA$121,"Meets CSA maturity")</f>
        <v>0</v>
      </c>
      <c r="H8" s="3">
        <f>COUNTIFS(Mapping!$A$2:$A$121,D8,Mapping!$AE$2:$AE$121,"Validated")</f>
        <v>0</v>
      </c>
      <c r="I8" s="3">
        <f>COUNTIFS(Mapping!$A$2:$A$121,D8,Mapping!$Z$2:$Z$121,"&gt;0")</f>
        <v>11</v>
      </c>
    </row>
    <row r="9" spans="1:9" ht="16">
      <c r="A9" s="13" t="s">
        <v>1272</v>
      </c>
      <c r="B9" s="14">
        <f>COUNTIF(Mapping!$AB$2:$AB$121,"Compliant")</f>
        <v>0</v>
      </c>
      <c r="D9" s="3" t="s">
        <v>916</v>
      </c>
      <c r="E9" s="3">
        <f>COUNTIF(Mapping!$A$2:$A$121,D9)</f>
        <v>10</v>
      </c>
      <c r="F9" s="3">
        <f>IFERROR(AVERAGEIFS(Mapping!$X$2:$X$121,Mapping!$A$2:$A$121,D9,Mapping!$S$2:$S$121,"Yes"),0)</f>
        <v>0</v>
      </c>
      <c r="G9" s="3">
        <f>COUNTIFS(Mapping!$A$2:$A$121,D9,Mapping!$AA$2:$AA$121,"Meets CSA maturity")</f>
        <v>0</v>
      </c>
      <c r="H9" s="3">
        <f>COUNTIFS(Mapping!$A$2:$A$121,D9,Mapping!$AE$2:$AE$121,"Validated")</f>
        <v>0</v>
      </c>
      <c r="I9" s="3">
        <f>COUNTIFS(Mapping!$A$2:$A$121,D9,Mapping!$Z$2:$Z$121,"&gt;0")</f>
        <v>10</v>
      </c>
    </row>
    <row r="10" spans="1:9" ht="16">
      <c r="A10" s="13" t="s">
        <v>1273</v>
      </c>
      <c r="B10" s="14">
        <f>COUNTIF(Mapping!$AC$2:$AC$121,"Compliant")</f>
        <v>0</v>
      </c>
      <c r="D10" s="3" t="s">
        <v>425</v>
      </c>
      <c r="E10" s="3">
        <f>COUNTIF(Mapping!$A$2:$A$121,D10)</f>
        <v>11</v>
      </c>
      <c r="F10" s="3">
        <f>IFERROR(AVERAGEIFS(Mapping!$X$2:$X$121,Mapping!$A$2:$A$121,D10,Mapping!$S$2:$S$121,"Yes"),0)</f>
        <v>0</v>
      </c>
      <c r="G10" s="3">
        <f>COUNTIFS(Mapping!$A$2:$A$121,D10,Mapping!$AA$2:$AA$121,"Meets CSA maturity")</f>
        <v>0</v>
      </c>
      <c r="H10" s="3">
        <f>COUNTIFS(Mapping!$A$2:$A$121,D10,Mapping!$AE$2:$AE$121,"Validated")</f>
        <v>0</v>
      </c>
      <c r="I10" s="3">
        <f>COUNTIFS(Mapping!$A$2:$A$121,D10,Mapping!$Z$2:$Z$121,"&gt;0")</f>
        <v>11</v>
      </c>
    </row>
    <row r="11" spans="1:9" ht="16">
      <c r="A11" s="13" t="s">
        <v>1274</v>
      </c>
      <c r="B11" s="14">
        <f>COUNTIF(Mapping!$AE$2:$AE$121,"Validated")</f>
        <v>0</v>
      </c>
      <c r="D11" s="3" t="s">
        <v>510</v>
      </c>
      <c r="E11" s="3">
        <f>COUNTIF(Mapping!$A$2:$A$121,D11)</f>
        <v>10</v>
      </c>
      <c r="F11" s="3">
        <f>IFERROR(AVERAGEIFS(Mapping!$X$2:$X$121,Mapping!$A$2:$A$121,D11,Mapping!$S$2:$S$121,"Yes"),0)</f>
        <v>0</v>
      </c>
      <c r="G11" s="3">
        <f>COUNTIFS(Mapping!$A$2:$A$121,D11,Mapping!$AA$2:$AA$121,"Meets CSA maturity")</f>
        <v>0</v>
      </c>
      <c r="H11" s="3">
        <f>COUNTIFS(Mapping!$A$2:$A$121,D11,Mapping!$AE$2:$AE$121,"Validated")</f>
        <v>0</v>
      </c>
      <c r="I11" s="3">
        <f>COUNTIFS(Mapping!$A$2:$A$121,D11,Mapping!$Z$2:$Z$121,"&gt;0")</f>
        <v>10</v>
      </c>
    </row>
    <row r="12" spans="1:9" ht="16">
      <c r="A12" s="13" t="s">
        <v>1266</v>
      </c>
      <c r="B12" s="14">
        <f>COUNTIF(Mapping!$Z$2:$Z$121,"&gt;0")</f>
        <v>120</v>
      </c>
      <c r="D12" s="3" t="s">
        <v>189</v>
      </c>
      <c r="E12" s="3">
        <f>COUNTIF(Mapping!$A$2:$A$121,D12)</f>
        <v>10</v>
      </c>
      <c r="F12" s="3">
        <f>IFERROR(AVERAGEIFS(Mapping!$X$2:$X$121,Mapping!$A$2:$A$121,D12,Mapping!$S$2:$S$121,"Yes"),0)</f>
        <v>0</v>
      </c>
      <c r="G12" s="3">
        <f>COUNTIFS(Mapping!$A$2:$A$121,D12,Mapping!$AA$2:$AA$121,"Meets CSA maturity")</f>
        <v>0</v>
      </c>
      <c r="H12" s="3">
        <f>COUNTIFS(Mapping!$A$2:$A$121,D12,Mapping!$AE$2:$AE$121,"Validated")</f>
        <v>0</v>
      </c>
      <c r="I12" s="3">
        <f>COUNTIFS(Mapping!$A$2:$A$121,D12,Mapping!$Z$2:$Z$121,"&gt;0")</f>
        <v>10</v>
      </c>
    </row>
    <row r="13" spans="1:9" ht="16">
      <c r="A13" s="13" t="s">
        <v>1275</v>
      </c>
      <c r="B13" s="14">
        <f>COUNTIF(Mapping!$AM$2:$AM$121,"High")+COUNTIF(Mapping!$AM$2:$AM$121,"Critical")</f>
        <v>0</v>
      </c>
      <c r="D13" s="3" t="s">
        <v>837</v>
      </c>
      <c r="E13" s="3">
        <f>COUNTIF(Mapping!$A$2:$A$121,D13)</f>
        <v>11</v>
      </c>
      <c r="F13" s="3">
        <f>IFERROR(AVERAGEIFS(Mapping!$X$2:$X$121,Mapping!$A$2:$A$121,D13,Mapping!$S$2:$S$121,"Yes"),0)</f>
        <v>0</v>
      </c>
      <c r="G13" s="3">
        <f>COUNTIFS(Mapping!$A$2:$A$121,D13,Mapping!$AA$2:$AA$121,"Meets CSA maturity")</f>
        <v>0</v>
      </c>
      <c r="H13" s="3">
        <f>COUNTIFS(Mapping!$A$2:$A$121,D13,Mapping!$AE$2:$AE$121,"Validated")</f>
        <v>0</v>
      </c>
      <c r="I13" s="3">
        <f>COUNTIFS(Mapping!$A$2:$A$121,D13,Mapping!$Z$2:$Z$121,"&gt;0")</f>
        <v>11</v>
      </c>
    </row>
    <row r="14" spans="1:9" ht="16">
      <c r="A14" s="13" t="s">
        <v>1276</v>
      </c>
      <c r="B14" s="16">
        <f ca="1">TODAY()</f>
        <v>46155</v>
      </c>
      <c r="D14" s="3" t="s">
        <v>707</v>
      </c>
      <c r="E14" s="3">
        <f>COUNTIF(Mapping!$A$2:$A$121,D14)</f>
        <v>10</v>
      </c>
      <c r="F14" s="3">
        <f>IFERROR(AVERAGEIFS(Mapping!$X$2:$X$121,Mapping!$A$2:$A$121,D14,Mapping!$S$2:$S$121,"Yes"),0)</f>
        <v>0</v>
      </c>
      <c r="G14" s="3">
        <f>COUNTIFS(Mapping!$A$2:$A$121,D14,Mapping!$AA$2:$AA$121,"Meets CSA maturity")</f>
        <v>0</v>
      </c>
      <c r="H14" s="3">
        <f>COUNTIFS(Mapping!$A$2:$A$121,D14,Mapping!$AE$2:$AE$121,"Validated")</f>
        <v>0</v>
      </c>
      <c r="I14" s="3">
        <f>COUNTIFS(Mapping!$A$2:$A$121,D14,Mapping!$Z$2:$Z$121,"&gt;0")</f>
        <v>10</v>
      </c>
    </row>
    <row r="15" spans="1:9" ht="105">
      <c r="A15" s="3" t="s">
        <v>1277</v>
      </c>
      <c r="B15" s="3" t="s">
        <v>1278</v>
      </c>
      <c r="D15" s="3" t="s">
        <v>356</v>
      </c>
      <c r="E15" s="3">
        <f>COUNTIF(Mapping!$A$2:$A$121,D15)</f>
        <v>9</v>
      </c>
      <c r="F15" s="3">
        <f>IFERROR(AVERAGEIFS(Mapping!$X$2:$X$121,Mapping!$A$2:$A$121,D15,Mapping!$S$2:$S$121,"Yes"),0)</f>
        <v>0</v>
      </c>
      <c r="G15" s="3">
        <f>COUNTIFS(Mapping!$A$2:$A$121,D15,Mapping!$AA$2:$AA$121,"Meets CSA maturity")</f>
        <v>0</v>
      </c>
      <c r="H15" s="3">
        <f>COUNTIFS(Mapping!$A$2:$A$121,D15,Mapping!$AE$2:$AE$121,"Validated")</f>
        <v>0</v>
      </c>
      <c r="I15" s="3">
        <f>COUNTIFS(Mapping!$A$2:$A$121,D15,Mapping!$Z$2:$Z$121,"&gt;0")</f>
        <v>9</v>
      </c>
    </row>
    <row r="16" spans="1:9">
      <c r="D16" s="3"/>
      <c r="E16" s="3"/>
      <c r="F16" s="3"/>
      <c r="G16" s="3"/>
      <c r="H16" s="3"/>
      <c r="I16" s="3"/>
    </row>
    <row r="17" spans="4:9">
      <c r="D17" s="3"/>
      <c r="E17" s="3"/>
      <c r="F17" s="3"/>
      <c r="G17" s="3"/>
      <c r="H17" s="3"/>
      <c r="I17" s="3"/>
    </row>
    <row r="18" spans="4:9">
      <c r="D18" s="3"/>
      <c r="E18" s="3"/>
      <c r="F18" s="3"/>
      <c r="G18" s="3"/>
      <c r="H18" s="3"/>
      <c r="I18" s="3"/>
    </row>
    <row r="19" spans="4:9">
      <c r="D19" s="3"/>
      <c r="E19" s="3"/>
      <c r="F19" s="3"/>
      <c r="G19" s="3"/>
      <c r="H19" s="3"/>
      <c r="I19" s="3"/>
    </row>
    <row r="20" spans="4:9">
      <c r="D20" s="3"/>
      <c r="E20" s="3"/>
      <c r="F20" s="3"/>
      <c r="G20" s="3"/>
      <c r="H20" s="3"/>
      <c r="I20" s="3"/>
    </row>
  </sheetData>
  <mergeCells count="1">
    <mergeCell ref="A1:H1"/>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Mapping</vt:lpstr>
      <vt:lpstr>Summary</vt:lpstr>
      <vt:lpstr>NIST_AI_RMF_Index</vt:lpstr>
      <vt:lpstr>ISO_42001_Index</vt:lpstr>
      <vt:lpstr>Evidence_Library</vt:lpstr>
      <vt:lpstr>Maturity_Rubric</vt:lpstr>
      <vt:lpstr>Dropdowns</vt:lpstr>
      <vt:lpstr>Assessment_Dashboard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Sreeram Nagasai, Pranathi</cp:lastModifiedBy>
  <dcterms:created xsi:type="dcterms:W3CDTF">2026-05-13T19:45:02Z</dcterms:created>
  <dcterms:modified xsi:type="dcterms:W3CDTF">2026-05-13T19:46:15Z</dcterms:modified>
</cp:coreProperties>
</file>