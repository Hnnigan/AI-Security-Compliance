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e2d7f32f67546e4" /></Relationships>
</file>

<file path=xl/workbook.xml><?xml version="1.0" encoding="utf-8"?>
<x:workbook xmlns:x="http://schemas.openxmlformats.org/spreadsheetml/2006/main">
  <x:sheets>
    <x:sheet xmlns:r="http://schemas.openxmlformats.org/officeDocument/2006/relationships" name="Dashboard" sheetId="1" r:id="Rb3210f3d1b094ba3"/>
    <x:sheet xmlns:r="http://schemas.openxmlformats.org/officeDocument/2006/relationships" name="How_to_Assess" sheetId="2" r:id="R9b1e55cc4c3e4c9a"/>
    <x:sheet xmlns:r="http://schemas.openxmlformats.org/officeDocument/2006/relationships" name="Assessment" sheetId="3" r:id="R65491a57e65e4948"/>
    <x:sheet xmlns:r="http://schemas.openxmlformats.org/officeDocument/2006/relationships" name="Evidence_Guide" sheetId="4" r:id="R0c5d3c8f725b4dfd"/>
    <x:sheet xmlns:r="http://schemas.openxmlformats.org/officeDocument/2006/relationships" name="Maturity_Rubric" sheetId="5" r:id="Rab906f2b38384636"/>
    <x:sheet xmlns:r="http://schemas.openxmlformats.org/officeDocument/2006/relationships" name="NIST_AI_RMF_Reference" sheetId="6" r:id="R86cdb00ca30c4b31"/>
    <x:sheet xmlns:r="http://schemas.openxmlformats.org/officeDocument/2006/relationships" name="ISO_42001_Reference" sheetId="7" r:id="Ra89b1b75e5d847ac"/>
    <x:sheet xmlns:r="http://schemas.openxmlformats.org/officeDocument/2006/relationships" name="CSA_AISMM_Domains" sheetId="8" r:id="R29488d9c20a64402"/>
    <x:sheet xmlns:r="http://schemas.openxmlformats.org/officeDocument/2006/relationships" name="Sources" sheetId="9" r:id="R8589fdf055364a90"/>
    <x:sheet xmlns:r="http://schemas.openxmlformats.org/officeDocument/2006/relationships" name="Dropdown_Lists" sheetId="10" r:id="R7159ee79e69b4a67"/>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yyyy-mm-dd"/>
    <x:numFmt numFmtId="202" formatCode="0.00"/>
    <x:numFmt numFmtId="203" formatCode="0%"/>
  </x:numFmts>
  <x:fonts count="4">
    <x:font>
      <x:sz val="11"/>
      <x:name val="Carlito"/>
    </x:font>
    <x:font>
      <x:b/>
      <x:sz val="16"/>
      <x:color rgb="FFFFFF"/>
      <x:name val="Carlito"/>
    </x:font>
    <x:font>
      <x:b/>
      <x:sz val="11"/>
      <x:color rgb="FFFFFF"/>
      <x:name val="Carlito"/>
    </x:font>
    <x:font>
      <x:sz val="11"/>
      <x:color rgb="111827"/>
      <x:name val="Carlito"/>
    </x:font>
  </x:fonts>
  <x:fills count="6">
    <x:fill>
      <x:patternFill patternType="none"/>
    </x:fill>
    <x:fill>
      <x:patternFill patternType="gray125"/>
    </x:fill>
    <x:fill>
      <x:patternFill patternType="solid">
        <x:fgColor rgb="111827"/>
      </x:patternFill>
    </x:fill>
    <x:fill>
      <x:patternFill patternType="solid">
        <x:fgColor rgb="1F2937"/>
      </x:patternFill>
    </x:fill>
    <x:fill>
      <x:patternFill patternType="solid">
        <x:fgColor rgb="F9FAFB"/>
      </x:patternFill>
    </x:fill>
    <x:fill>
      <x:patternFill patternType="solid">
        <x:fgColor rgb="0F766E"/>
      </x:patternFill>
    </x:fill>
  </x:fills>
  <x:borders count="2">
    <x:border/>
    <x:border/>
  </x:borders>
  <x:cellStyleXfs count="1">
    <x:xf numFmtId="0" fontId="0" fillId="0" borderId="0"/>
  </x:cellStyleXfs>
  <x:cellXfs count="7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top" wrapText="1"/>
    </x:xf>
    <x:xf numFmtId="0" fontId="1" fillId="2" borderId="0" xfId="0" applyNumberFormat="1" applyFont="1" applyFill="1" applyBorder="1" applyAlignment="1">
      <x:alignment horizontal="left" vertical="center"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horizontal="left" vertical="center" wrapText="1"/>
    </x:xf>
    <x:xf numFmtId="0" fontId="1" fillId="2" borderId="1" xfId="0" applyNumberFormat="1" applyFont="1" applyFill="1" applyBorder="1" applyAlignment="1">
      <x:alignment horizontal="left" vertical="center" wrapText="1"/>
    </x:xf>
    <x:xf numFmtId="0" fontId="0" fillId="0" borderId="1" xfId="0" applyNumberFormat="1" applyFont="1" applyFill="1" applyBorder="1" applyAlignment="1">
      <x:alignment wrapText="1"/>
    </x:xf>
    <x:xf numFmtId="0" fontId="2" fillId="3" borderId="1" xfId="0" applyNumberFormat="1" applyFont="1" applyFill="1" applyBorder="1" applyAlignment="1">
      <x:alignment horizontal="left" vertical="center" wrapText="1"/>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5" borderId="1" xfId="0" applyNumberFormat="1" applyFont="1" applyFill="1" applyBorder="1"/>
    <x:xf numFmtId="0" fontId="2" fillId="5" borderId="1" xfId="0" applyNumberFormat="1" applyFont="1" applyFill="1" applyBorder="1"/>
    <x:xf numFmtId="0" fontId="2" fillId="5" borderId="1" xfId="0" applyNumberFormat="1" applyFont="1" applyFill="1" applyBorder="1" applyAlignment="1">
      <x:alignment wrapText="1"/>
    </x:xf>
    <x:xf numFmtId="0" fontId="2" fillId="5" borderId="1" xfId="0" applyNumberFormat="1" applyFont="1" applyFill="1" applyBorder="1" applyAlignment="1">
      <x:alignment horizontal="center" wrapText="1"/>
    </x:xf>
    <x:xf numFmtId="0" fontId="2" fillId="5"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202" fontId="3" fillId="4" borderId="0" xfId="0" applyNumberFormat="1" applyFont="1" applyFill="1" applyBorder="1" applyAlignment="1">
      <x:alignment vertical="top" wrapText="1"/>
    </x:xf>
    <x:xf numFmtId="202" fontId="3" fillId="4" borderId="1" xfId="0" applyNumberFormat="1" applyFont="1" applyFill="1" applyBorder="1" applyAlignment="1">
      <x:alignment vertical="top" wrapText="1"/>
    </x:xf>
    <x:xf numFmtId="201" fontId="3" fillId="4" borderId="0" xfId="0" applyNumberFormat="1" applyFont="1" applyFill="1" applyBorder="1" applyAlignment="1">
      <x:alignment vertical="top" wrapText="1"/>
    </x:xf>
    <x:xf numFmtId="201" fontId="3" fillId="4" borderId="1" xfId="0" applyNumberFormat="1" applyFont="1" applyFill="1" applyBorder="1" applyAlignment="1">
      <x:alignment vertical="top" wrapText="1"/>
    </x:xf>
    <x:xf numFmtId="203" fontId="0" fillId="0" borderId="0" xfId="0" applyNumberFormat="1" applyFont="1" applyFill="1" applyBorder="1" applyAlignment="1">
      <x:alignment wrapText="1"/>
    </x:xf>
    <x:xf numFmtId="203" fontId="0" fillId="0" borderId="1" xfId="0" applyNumberFormat="1" applyFont="1" applyFill="1" applyBorder="1" applyAlignment="1">
      <x:alignment wrapText="1"/>
    </x:xf>
    <x:xf numFmtId="202"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0" fontId="2" fillId="5" borderId="0" xfId="0" applyNumberFormat="1" applyFont="1" applyFill="1" applyBorder="1" applyAlignment="1">
      <x:alignment horizontal="center" vertical="top" wrapText="1"/>
    </x:xf>
    <x:xf numFmtId="0" fontId="2" fillId="5" borderId="1" xfId="0" applyNumberFormat="1" applyFont="1" applyFill="1" applyBorder="1" applyAlignment="1">
      <x:alignment horizontal="center" vertical="top" wrapText="1"/>
    </x:xf>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202" fontId="0" fillId="0" borderId="0" xfId="0" applyNumberFormat="1" applyFont="1" applyFill="1" applyBorder="1" applyAlignment="1">
      <x:alignment vertical="top" wrapText="1"/>
    </x:xf>
    <x:xf numFmtId="203" fontId="0" fillId="0" borderId="0" xfId="0" applyNumberFormat="1" applyFont="1" applyFill="1" applyBorder="1" applyAlignment="1">
      <x:alignment vertical="top" wrapText="1"/>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202" fontId="0" fillId="0" borderId="1" xfId="0" applyNumberFormat="1" applyFont="1" applyFill="1" applyBorder="1" applyAlignment="1">
      <x:alignment vertical="top" wrapText="1"/>
    </x:xf>
    <x:xf numFmtId="203" fontId="0" fillId="0" borderId="1"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2" fillId="3" borderId="0" xfId="0" applyNumberFormat="1" applyFont="1" applyFill="1" applyBorder="1" applyAlignment="1">
      <x:alignment horizontal="left" vertical="top" wrapText="1"/>
    </x:xf>
    <x:xf numFmtId="0" fontId="1" fillId="2" borderId="1" xfId="0" applyNumberFormat="1" applyFont="1" applyFill="1" applyBorder="1" applyAlignment="1">
      <x:alignment horizontal="left" vertical="top" wrapText="1"/>
    </x:xf>
    <x:xf numFmtId="0" fontId="2" fillId="3" borderId="1" xfId="0" applyNumberFormat="1" applyFont="1" applyFill="1" applyBorder="1" applyAlignment="1">
      <x:alignment horizontal="left" vertical="top" wrapText="1"/>
    </x:xf>
  </x:cellXfs>
  <x:cellStyles count="1">
    <x:cellStyle name="Normal" xfId="0"/>
  </x:cellStyles>
  <x:dxfs count="8">
    <x:dxf>
      <x:fill>
        <x:patternFill patternType="solid">
          <x:bgColor rgb="FEE2E2"/>
        </x:patternFill>
      </x:fill>
    </x:dxf>
    <x:dxf>
      <x:font>
        <x:color rgb="166534"/>
      </x:font>
      <x:fill>
        <x:patternFill patternType="solid">
          <x:bgColor rgb="DCFCE7"/>
        </x:patternFill>
      </x:fill>
    </x:dxf>
    <x:dxf>
      <x:font>
        <x:color rgb="166534"/>
      </x:font>
      <x:fill>
        <x:patternFill patternType="solid">
          <x:bgColor rgb="DCFCE7"/>
        </x:patternFill>
      </x:fill>
    </x:dxf>
    <x:dxf>
      <x:font>
        <x:color rgb="92400E"/>
      </x:font>
      <x:fill>
        <x:patternFill patternType="solid">
          <x:bgColor rgb="FEF3C7"/>
        </x:patternFill>
      </x:fill>
    </x:dxf>
    <x:dxf>
      <x:font>
        <x:color rgb="991B1B"/>
      </x:font>
      <x:fill>
        <x:patternFill patternType="solid">
          <x:bgColor rgb="FEE2E2"/>
        </x:patternFill>
      </x:fill>
    </x:dxf>
    <x:dxf>
      <x:font>
        <x:color rgb="991B1B"/>
      </x:font>
      <x:fill>
        <x:patternFill patternType="solid">
          <x:bgColor rgb="FEE2E2"/>
        </x:patternFill>
      </x:fill>
    </x:dxf>
    <x:dxf>
      <x:font>
        <x:b/>
        <x:color rgb="991B1B"/>
      </x:font>
      <x:fill>
        <x:patternFill patternType="solid">
          <x:bgColor rgb="FEE2E2"/>
        </x:patternFill>
      </x:fill>
    </x:dxf>
    <x:dxf>
      <x:fill>
        <x:patternFill patternType="solid">
          <x:bgColor rgb="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779dce32328494a" /><Relationship Type="http://schemas.openxmlformats.org/officeDocument/2006/relationships/theme" Target="/xl/theme/theme1.xml" Id="R59438cb605ac4e52" /><Relationship Type="http://schemas.openxmlformats.org/officeDocument/2006/relationships/sharedStrings" Target="/xl/sharedStrings.xml" Id="Rb6546e89e4534ea5" /><Relationship Type="http://schemas.openxmlformats.org/officeDocument/2006/relationships/worksheet" Target="/xl/worksheets/sheet1.xml" Id="Rb3210f3d1b094ba3" /><Relationship Type="http://schemas.openxmlformats.org/officeDocument/2006/relationships/worksheet" Target="/xl/worksheets/sheet2.xml" Id="R9b1e55cc4c3e4c9a" /><Relationship Type="http://schemas.openxmlformats.org/officeDocument/2006/relationships/worksheet" Target="/xl/worksheets/sheet3.xml" Id="R65491a57e65e4948" /><Relationship Type="http://schemas.openxmlformats.org/officeDocument/2006/relationships/worksheet" Target="/xl/worksheets/sheet4.xml" Id="R0c5d3c8f725b4dfd" /><Relationship Type="http://schemas.openxmlformats.org/officeDocument/2006/relationships/worksheet" Target="/xl/worksheets/sheet5.xml" Id="Rab906f2b38384636" /><Relationship Type="http://schemas.openxmlformats.org/officeDocument/2006/relationships/worksheet" Target="/xl/worksheets/sheet6.xml" Id="R86cdb00ca30c4b31" /><Relationship Type="http://schemas.openxmlformats.org/officeDocument/2006/relationships/worksheet" Target="/xl/worksheets/sheet7.xml" Id="Ra89b1b75e5d847ac" /><Relationship Type="http://schemas.openxmlformats.org/officeDocument/2006/relationships/worksheet" Target="/xl/worksheets/sheet8.xml" Id="R29488d9c20a64402" /><Relationship Type="http://schemas.openxmlformats.org/officeDocument/2006/relationships/worksheet" Target="/xl/worksheets/sheet9.xml" Id="R8589fdf055364a90" /><Relationship Type="http://schemas.openxmlformats.org/officeDocument/2006/relationships/worksheet" Target="/xl/worksheets/sheet10.xml" Id="R7159ee79e69b4a67" /></Relationships>
</file>

<file path=xl/tables/table1.xml><?xml version="1.0" encoding="utf-8"?>
<x:table xmlns:x="http://schemas.openxmlformats.org/spreadsheetml/2006/main" id="1" name="AssessmentTable" displayName="AssessmentTable" ref="A1:AN121" headerRowCount="1">
  <x:tableColumns count="40">
    <x:tableColumn id="1" name="CSA Domain"/>
    <x:tableColumn id="2" name="CSA Control ID"/>
    <x:tableColumn id="3" name="CSA Required Maturity Level"/>
    <x:tableColumn id="4" name="CSA Prefix"/>
    <x:tableColumn id="5" name="CSA Control Objective"/>
    <x:tableColumn id="6" name="CSA Control Description"/>
    <x:tableColumn id="7" name="Automated or Manual"/>
    <x:tableColumn id="8" name="Deployment Types"/>
    <x:tableColumn id="9" name="CSA AICM Mapping"/>
    <x:tableColumn id="10" name="NIST AI RMF Control ID(s)"/>
    <x:tableColumn id="11" name="NIST AI RMF Control Language / Playbook Actions"/>
    <x:tableColumn id="12" name="NIST Mapping Basis"/>
    <x:tableColumn id="13" name="ISO/IEC 42001 Clause / Annex Control ID(s)"/>
    <x:tableColumn id="14" name="ISO/IEC 42001 Control Language / Checklist Criteria"/>
    <x:tableColumn id="15" name="ISO Mapping Basis"/>
    <x:tableColumn id="16" name="Evidence / Implementation Notes"/>
    <x:tableColumn id="17" name="AISMM External References"/>
    <x:tableColumn id="18" name="Suggested Reference Evidence for Verification"/>
    <x:tableColumn id="19" name="Verification Test Procedure"/>
    <x:tableColumn id="20" name="Applicable?"/>
    <x:tableColumn id="21" name="Business Unit / AI System"/>
    <x:tableColumn id="22" name="Control Owner"/>
    <x:tableColumn id="23" name="Current Implementation Status"/>
    <x:tableColumn id="24" name="Current Maturity Score (0-5)"/>
    <x:tableColumn id="25" name="Target Maturity Score (0-5)"/>
    <x:tableColumn id="26" name="Evidence Status"/>
    <x:tableColumn id="27" name="Evidence Repository / Link"/>
    <x:tableColumn id="28" name="Test Result"/>
    <x:tableColumn id="29" name="Last Assessed"/>
    <x:tableColumn id="30" name="Assessor"/>
    <x:tableColumn id="31" name="Residual Risk"/>
    <x:tableColumn id="32" name="Maturity Gap"/>
    <x:tableColumn id="33" name="CSA AISMM Maturity Result"/>
    <x:tableColumn id="34" name="NIST AI RMF Compliance Result"/>
    <x:tableColumn id="35" name="ISO/IEC 42001 Compliance Result"/>
    <x:tableColumn id="36" name="Frameworks Complied To"/>
    <x:tableColumn id="37" name="Remediation Action"/>
    <x:tableColumn id="38" name="Due Date"/>
    <x:tableColumn id="39" name="Assessor Notes"/>
    <x:tableColumn id="40" name="Source / Traceability"/>
  </x:tableColumns>
  <x:tableStyleInfo name="TableStyleMedium2" showRowStripes="1"/>
</x:table>
</file>

<file path=xl/tables/table2.xml><?xml version="1.0" encoding="utf-8"?>
<x:table xmlns:x="http://schemas.openxmlformats.org/spreadsheetml/2006/main" id="3" name="EvidenceGuideTable" displayName="EvidenceGuideTable" ref="A1:E13" headerRowCount="1">
  <x:tableColumns count="5">
    <x:tableColumn id="1" name="CSA Prefix"/>
    <x:tableColumn id="2" name="Control Family"/>
    <x:tableColumn id="3" name="Minimum Reference Evidence"/>
    <x:tableColumn id="4" name="Strong Verification Evidence"/>
    <x:tableColumn id="5" name="Verification Test Procedure"/>
  </x:tableColumns>
  <x:tableStyleInfo name="TableStyleMedium2" showRowStripes="1"/>
</x:table>
</file>

<file path=xl/tables/table3.xml><?xml version="1.0" encoding="utf-8"?>
<x:table xmlns:x="http://schemas.openxmlformats.org/spreadsheetml/2006/main" id="2" name="MaturityRubricTable" displayName="MaturityRubricTable" ref="A1:E7" headerRowCount="1">
  <x:tableColumns count="5">
    <x:tableColumn id="1" name="Score"/>
    <x:tableColumn id="2" name="CSA-Aligned Level"/>
    <x:tableColumn id="3" name="Operating Definition"/>
    <x:tableColumn id="4" name="Evidence Expectations"/>
    <x:tableColumn id="5" name="Assessment Interpretation"/>
  </x:tableColumns>
  <x:tableStyleInfo name="TableStyleMedium2" showRowStripes="1"/>
</x:table>
</file>

<file path=xl/tables/table4.xml><?xml version="1.0" encoding="utf-8"?>
<x:table xmlns:x="http://schemas.openxmlformats.org/spreadsheetml/2006/main" id="4" name="NISTReferenceTable" displayName="NISTReferenceTable" ref="A1:D73" headerRowCount="1">
  <x:tableColumns count="4">
    <x:tableColumn id="1" name="NIST AI RMF ID"/>
    <x:tableColumn id="2" name="Function"/>
    <x:tableColumn id="3" name="Control Language / Playbook Actions"/>
    <x:tableColumn id="4" name="Source"/>
  </x:tableColumns>
  <x:tableStyleInfo name="TableStyleMedium2" showRowStripes="1"/>
</x:table>
</file>

<file path=xl/tables/table5.xml><?xml version="1.0" encoding="utf-8"?>
<x:table xmlns:x="http://schemas.openxmlformats.org/spreadsheetml/2006/main" id="5" name="ISOReferenceTable" displayName="ISOReferenceTable" ref="A1:D17" headerRowCount="1">
  <x:tableColumns count="4">
    <x:tableColumn id="1" name="ISO/IEC 42001 Area"/>
    <x:tableColumn id="2" name="Name"/>
    <x:tableColumn id="3" name="Control Language / Checklist Criteria"/>
    <x:tableColumn id="4" name="Mapping Notes"/>
  </x:tableColumns>
  <x:tableStyleInfo name="TableStyleMedium2" showRowStripes="1"/>
</x:table>
</file>

<file path=xl/tables/table6.xml><?xml version="1.0" encoding="utf-8"?>
<x:table xmlns:x="http://schemas.openxmlformats.org/spreadsheetml/2006/main" id="6" name="CSA_Domain_ReferenceTable" displayName="CSA_Domain_ReferenceTable" ref="A1:G13" headerRowCount="1">
  <x:tableColumns count="7">
    <x:tableColumn id="1" name="Domain"/>
    <x:tableColumn id="2" name="Description"/>
    <x:tableColumn id="3" name="Level 1 Initial"/>
    <x:tableColumn id="4" name="Level 2 Repeatable"/>
    <x:tableColumn id="5" name="Level 3 Defined"/>
    <x:tableColumn id="6" name="Level 4 Capable"/>
    <x:tableColumn id="7" name="Level 5 Efficient"/>
  </x:tableColumns>
  <x:tableStyleInfo name="TableStyleMedium2" showRowStripes="1"/>
</x:table>
</file>

<file path=xl/tables/table7.xml><?xml version="1.0" encoding="utf-8"?>
<x:table xmlns:x="http://schemas.openxmlformats.org/spreadsheetml/2006/main" id="7" name="SourcesTable" displayName="SourcesTable" ref="A1:D11" headerRowCount="1">
  <x:tableColumns count="4">
    <x:tableColumn id="1" name="Source Type"/>
    <x:tableColumn id="2" name="Source Name"/>
    <x:tableColumn id="3" name="URL / File"/>
    <x:tableColumn id="4" name="How Used"/>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7cf52d32e9d1449f" /></Relationships>
</file>

<file path=xl/worksheets/_rels/sheet4.xml.rels>&#65279;<?xml version="1.0" encoding="utf-8"?><Relationships xmlns="http://schemas.openxmlformats.org/package/2006/relationships"><Relationship Type="http://schemas.openxmlformats.org/officeDocument/2006/relationships/table" Target="/xl/tables/table2.xml" Id="R7f3b7b85b11c4b2c" /></Relationships>
</file>

<file path=xl/worksheets/_rels/sheet5.xml.rels>&#65279;<?xml version="1.0" encoding="utf-8"?><Relationships xmlns="http://schemas.openxmlformats.org/package/2006/relationships"><Relationship Type="http://schemas.openxmlformats.org/officeDocument/2006/relationships/table" Target="/xl/tables/table3.xml" Id="R6951665db8f743e1" /></Relationships>
</file>

<file path=xl/worksheets/_rels/sheet6.xml.rels>&#65279;<?xml version="1.0" encoding="utf-8"?><Relationships xmlns="http://schemas.openxmlformats.org/package/2006/relationships"><Relationship Type="http://schemas.openxmlformats.org/officeDocument/2006/relationships/table" Target="/xl/tables/table4.xml" Id="Re0527506c78345bc" /></Relationships>
</file>

<file path=xl/worksheets/_rels/sheet7.xml.rels>&#65279;<?xml version="1.0" encoding="utf-8"?><Relationships xmlns="http://schemas.openxmlformats.org/package/2006/relationships"><Relationship Type="http://schemas.openxmlformats.org/officeDocument/2006/relationships/table" Target="/xl/tables/table5.xml" Id="Rf8dfefe7937941b3" /></Relationships>
</file>

<file path=xl/worksheets/_rels/sheet8.xml.rels>&#65279;<?xml version="1.0" encoding="utf-8"?><Relationships xmlns="http://schemas.openxmlformats.org/package/2006/relationships"><Relationship Type="http://schemas.openxmlformats.org/officeDocument/2006/relationships/table" Target="/xl/tables/table6.xml" Id="Rd0720acc014a4e72" /></Relationships>
</file>

<file path=xl/worksheets/_rels/sheet9.xml.rels>&#65279;<?xml version="1.0" encoding="utf-8"?><Relationships xmlns="http://schemas.openxmlformats.org/package/2006/relationships"><Relationship Type="http://schemas.openxmlformats.org/officeDocument/2006/relationships/table" Target="/xl/tables/table7.xml" Id="R7f1ff62dada145cb" /></Relationships>
</file>

<file path=xl/worksheets/sheet1.xml><?xml version="1.0" encoding="utf-8"?>
<x:worksheet xmlns:x="http://schemas.openxmlformats.org/spreadsheetml/2006/main">
  <x:sheetFormatPr defaultRowHeight="15"/>
  <x:cols>
    <x:col min="1" max="1" width="33" hidden="0" customWidth="1"/>
    <x:col min="2" max="2" width="18" hidden="0" customWidth="1"/>
    <x:col min="3" max="3" width="65" hidden="0" customWidth="1"/>
    <x:col min="5" max="5" width="26"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s>
  <x:sheetData>
    <x:row r="1" ht="32" customHeight="1">
      <x:c r="A1" s="58" t="str">
        <x:v>AI Security Maturity Dashboard — CSA AISMM x NIST AI RMF x ISO/IEC 42001</x:v>
      </x:c>
      <x:c r="B1" s="59"/>
      <x:c r="C1" s="59"/>
      <x:c r="D1" s="59"/>
      <x:c r="E1" s="59"/>
      <x:c r="F1" s="59"/>
      <x:c r="G1" s="59"/>
      <x:c r="H1" s="59"/>
      <x:c r="I1" s="59"/>
      <x:c r="J1" s="59"/>
      <x:c r="K1" s="59"/>
      <x:c r="L1" s="59"/>
      <x:c r="M1" s="59"/>
      <x:c r="N1" s="59"/>
      <x:c r="O1" s="59"/>
      <x:c r="P1" s="59"/>
      <x:c r="Q1" s="59"/>
      <x:c r="R1" s="59"/>
      <x:c r="S1" s="59"/>
      <x:c r="T1" s="59"/>
      <x:c r="U1" s="59"/>
      <x:c r="V1" s="59"/>
      <x:c r="W1" s="59"/>
      <x:c r="X1" s="59"/>
      <x:c r="Y1" s="59"/>
      <x:c r="Z1" s="59"/>
      <x:c r="AA1" s="59"/>
      <x:c r="AB1" s="59"/>
      <x:c r="AC1" s="59"/>
      <x:c r="AD1" s="59"/>
      <x:c r="AE1" s="59"/>
      <x:c r="AF1" s="59"/>
      <x:c r="AG1" s="59"/>
      <x:c r="AH1" s="59"/>
      <x:c r="AI1" s="59"/>
      <x:c r="AJ1" s="59"/>
      <x:c r="AK1" s="59"/>
      <x:c r="AL1" s="59"/>
      <x:c r="AM1" s="59"/>
      <x:c r="AN1" s="59"/>
    </x:row>
    <x:row r="2">
      <x:c r="A2" s="59"/>
      <x:c r="B2" s="59"/>
      <x:c r="C2" s="59"/>
      <x:c r="D2" s="59"/>
      <x:c r="E2" s="59"/>
      <x:c r="F2" s="59"/>
      <x:c r="G2" s="59"/>
      <x:c r="H2" s="59"/>
      <x:c r="I2" s="59"/>
      <x:c r="J2" s="59"/>
      <x:c r="K2" s="59"/>
      <x:c r="L2" s="59"/>
      <x:c r="M2" s="59"/>
      <x:c r="N2" s="59"/>
      <x:c r="O2" s="59"/>
      <x:c r="P2" s="59"/>
      <x:c r="Q2" s="59"/>
      <x:c r="R2" s="59"/>
      <x:c r="S2" s="59"/>
      <x:c r="T2" s="59"/>
      <x:c r="U2" s="59"/>
      <x:c r="V2" s="59"/>
      <x:c r="W2" s="59"/>
      <x:c r="X2" s="59"/>
      <x:c r="Y2" s="59"/>
      <x:c r="Z2" s="59"/>
      <x:c r="AA2" s="59"/>
      <x:c r="AB2" s="59"/>
      <x:c r="AC2" s="59"/>
      <x:c r="AD2" s="59"/>
      <x:c r="AE2" s="59"/>
      <x:c r="AF2" s="59"/>
      <x:c r="AG2" s="59"/>
      <x:c r="AH2" s="59"/>
      <x:c r="AI2" s="59"/>
      <x:c r="AJ2" s="59"/>
      <x:c r="AK2" s="59"/>
      <x:c r="AL2" s="59"/>
      <x:c r="AM2" s="59"/>
      <x:c r="AN2" s="59"/>
    </x:row>
    <x:row r="3">
      <x:c r="A3" s="56" t="str">
        <x:v>Metric</x:v>
      </x:c>
      <x:c r="B3" s="56" t="str">
        <x:v>Value</x:v>
      </x:c>
      <x:c r="C3" s="56" t="str">
        <x:v>Interpretation</x:v>
      </x:c>
      <x:c r="D3" s="59"/>
      <x:c r="E3" s="56" t="str">
        <x:v>CSA Domain</x:v>
      </x:c>
      <x:c r="F3" s="56" t="str">
        <x:v>Applicable Controls</x:v>
      </x:c>
      <x:c r="G3" s="56" t="str">
        <x:v>Avg Current</x:v>
      </x:c>
      <x:c r="H3" s="56" t="str">
        <x:v>Avg Target</x:v>
      </x:c>
      <x:c r="I3" s="56" t="str">
        <x:v>CSA Meets %</x:v>
      </x:c>
      <x:c r="J3" s="56" t="str">
        <x:v>NIST Compliant %</x:v>
      </x:c>
      <x:c r="K3" s="56" t="str">
        <x:v>ISO Compliant %</x:v>
      </x:c>
      <x:c r="L3" s="56" t="str">
        <x:v>Validated Evidence %</x:v>
      </x:c>
      <x:c r="M3" s="56" t="str">
        <x:v>Open CSA Gaps</x:v>
      </x:c>
      <x:c r="N3" s="59"/>
      <x:c r="O3" s="59"/>
      <x:c r="P3" s="59"/>
      <x:c r="Q3" s="59"/>
      <x:c r="R3" s="59"/>
      <x:c r="S3" s="59"/>
      <x:c r="T3" s="59"/>
      <x:c r="U3" s="59"/>
      <x:c r="V3" s="59"/>
      <x:c r="W3" s="59"/>
      <x:c r="X3" s="59"/>
      <x:c r="Y3" s="59"/>
      <x:c r="Z3" s="59"/>
      <x:c r="AA3" s="59"/>
      <x:c r="AB3" s="59"/>
      <x:c r="AC3" s="59"/>
      <x:c r="AD3" s="59"/>
      <x:c r="AE3" s="59"/>
      <x:c r="AF3" s="59"/>
      <x:c r="AG3" s="59"/>
      <x:c r="AH3" s="59"/>
      <x:c r="AI3" s="59"/>
      <x:c r="AJ3" s="59"/>
      <x:c r="AK3" s="59"/>
      <x:c r="AL3" s="59"/>
      <x:c r="AM3" s="59"/>
      <x:c r="AN3" s="59"/>
    </x:row>
    <x:row r="4">
      <x:c r="A4" s="21" t="str">
        <x:v>Total CSA AISMM Controls</x:v>
      </x:c>
      <x:c r="B4" s="21" t="n">
        <x:f>COUNTA(Assessment!$B$2:$B$121)</x:f>
        <x:v>120</x:v>
      </x:c>
      <x:c r="C4" s="21" t="str">
        <x:v>Total control objectives in this assessment workbook.</x:v>
      </x:c>
      <x:c r="D4" s="59"/>
      <x:c r="E4" s="42" t="str">
        <x:v>AI Dev and Supply Chain</x:v>
      </x:c>
      <x:c r="F4" s="42" t="n">
        <x:f>COUNTIFS(Assessment!$A$2:$A$121,$E4,Assessment!$T$2:$T$121,"Yes")</x:f>
        <x:v>9</x:v>
      </x:c>
      <x:c r="G4" s="60" t="n">
        <x:f>IFERROR(SUMIFS(Assessment!$X$2:$X$121,Assessment!$A$2:$A$121,$E4,Assessment!$T$2:$T$121,"Yes")/COUNTIFS(Assessment!$A$2:$A$121,$E4,Assessment!$T$2:$T$121,"Yes"),0)</x:f>
        <x:v>0</x:v>
      </x:c>
      <x:c r="H4" s="60" t="n">
        <x:f>IFERROR(SUMIFS(Assessment!$Y$2:$Y$121,Assessment!$A$2:$A$121,$E4,Assessment!$T$2:$T$121,"Yes")/COUNTIFS(Assessment!$A$2:$A$121,$E4,Assessment!$T$2:$T$121,"Yes"),0)</x:f>
        <x:v>3.4444444444444446</x:v>
      </x:c>
      <x:c r="I4" s="61" t="n">
        <x:f>IFERROR(COUNTIFS(Assessment!$A$2:$A$121,$E4,Assessment!$T$2:$T$121,"Yes",Assessment!$AG$2:$AG$121,"Meets CSA Level")/COUNTIFS(Assessment!$A$2:$A$121,$E4,Assessment!$T$2:$T$121,"Yes"),0)</x:f>
        <x:v>0</x:v>
      </x:c>
      <x:c r="J4" s="61" t="n">
        <x:f>IFERROR(COUNTIFS(Assessment!$A$2:$A$121,$E4,Assessment!$T$2:$T$121,"Yes",Assessment!$AH$2:$AH$121,"Compliant")/COUNTIFS(Assessment!$A$2:$A$121,$E4,Assessment!$T$2:$T$121,"Yes"),0)</x:f>
        <x:v>0</x:v>
      </x:c>
      <x:c r="K4" s="61" t="n">
        <x:f>IFERROR(COUNTIFS(Assessment!$A$2:$A$121,$E4,Assessment!$T$2:$T$121,"Yes",Assessment!$AI$2:$AI$121,"Compliant")/COUNTIFS(Assessment!$A$2:$A$121,$E4,Assessment!$T$2:$T$121,"Yes"),0)</x:f>
        <x:v>0</x:v>
      </x:c>
      <x:c r="L4" s="61" t="n">
        <x:f>IFERROR(COUNTIFS(Assessment!$A$2:$A$121,$E4,Assessment!$T$2:$T$121,"Yes",Assessment!$Z$2:$Z$121,"Validated")/COUNTIFS(Assessment!$A$2:$A$121,$E4,Assessment!$T$2:$T$121,"Yes"),0)</x:f>
        <x:v>0</x:v>
      </x:c>
      <x:c r="M4" s="42" t="n">
        <x:f>COUNTIFS(Assessment!$A$2:$A$121,$E4,Assessment!$T$2:$T$121,"Yes",Assessment!$AG$2:$AG$121,"Gap to CSA Level")</x:f>
        <x:v>9</x:v>
      </x:c>
      <x:c r="N4" s="59"/>
      <x:c r="O4" s="59"/>
      <x:c r="P4" s="59"/>
      <x:c r="Q4" s="59"/>
      <x:c r="R4" s="59"/>
      <x:c r="S4" s="59"/>
      <x:c r="T4" s="59"/>
      <x:c r="U4" s="59"/>
      <x:c r="V4" s="59"/>
      <x:c r="W4" s="59"/>
      <x:c r="X4" s="59"/>
      <x:c r="Y4" s="59"/>
      <x:c r="Z4" s="59"/>
      <x:c r="AA4" s="59"/>
      <x:c r="AB4" s="59"/>
      <x:c r="AC4" s="59"/>
      <x:c r="AD4" s="59"/>
      <x:c r="AE4" s="59"/>
      <x:c r="AF4" s="59"/>
      <x:c r="AG4" s="59"/>
      <x:c r="AH4" s="59"/>
      <x:c r="AI4" s="59"/>
      <x:c r="AJ4" s="59"/>
      <x:c r="AK4" s="59"/>
      <x:c r="AL4" s="59"/>
      <x:c r="AM4" s="59"/>
      <x:c r="AN4" s="59"/>
    </x:row>
    <x:row r="5">
      <x:c r="A5" s="21" t="str">
        <x:v>Applicable Controls</x:v>
      </x:c>
      <x:c r="B5" s="21" t="n">
        <x:f>COUNTIF(Assessment!$T$2:$T$121,"Yes")</x:f>
        <x:v>120</x:v>
      </x:c>
      <x:c r="C5" s="21" t="str">
        <x:v>Rows in scope for the organization/system.</x:v>
      </x:c>
      <x:c r="D5" s="59"/>
      <x:c r="E5" s="42" t="str">
        <x:v>App Security</x:v>
      </x:c>
      <x:c r="F5" s="42" t="n">
        <x:f>COUNTIFS(Assessment!$A$2:$A$121,$E5,Assessment!$T$2:$T$121,"Yes")</x:f>
        <x:v>10</x:v>
      </x:c>
      <x:c r="G5" s="60" t="n">
        <x:f>IFERROR(SUMIFS(Assessment!$X$2:$X$121,Assessment!$A$2:$A$121,$E5,Assessment!$T$2:$T$121,"Yes")/COUNTIFS(Assessment!$A$2:$A$121,$E5,Assessment!$T$2:$T$121,"Yes"),0)</x:f>
        <x:v>0</x:v>
      </x:c>
      <x:c r="H5" s="60" t="n">
        <x:f>IFERROR(SUMIFS(Assessment!$Y$2:$Y$121,Assessment!$A$2:$A$121,$E5,Assessment!$T$2:$T$121,"Yes")/COUNTIFS(Assessment!$A$2:$A$121,$E5,Assessment!$T$2:$T$121,"Yes"),0)</x:f>
        <x:v>3.5</x:v>
      </x:c>
      <x:c r="I5" s="61" t="n">
        <x:f>IFERROR(COUNTIFS(Assessment!$A$2:$A$121,$E5,Assessment!$T$2:$T$121,"Yes",Assessment!$AG$2:$AG$121,"Meets CSA Level")/COUNTIFS(Assessment!$A$2:$A$121,$E5,Assessment!$T$2:$T$121,"Yes"),0)</x:f>
        <x:v>0</x:v>
      </x:c>
      <x:c r="J5" s="61" t="n">
        <x:f>IFERROR(COUNTIFS(Assessment!$A$2:$A$121,$E5,Assessment!$T$2:$T$121,"Yes",Assessment!$AH$2:$AH$121,"Compliant")/COUNTIFS(Assessment!$A$2:$A$121,$E5,Assessment!$T$2:$T$121,"Yes"),0)</x:f>
        <x:v>0</x:v>
      </x:c>
      <x:c r="K5" s="61" t="n">
        <x:f>IFERROR(COUNTIFS(Assessment!$A$2:$A$121,$E5,Assessment!$T$2:$T$121,"Yes",Assessment!$AI$2:$AI$121,"Compliant")/COUNTIFS(Assessment!$A$2:$A$121,$E5,Assessment!$T$2:$T$121,"Yes"),0)</x:f>
        <x:v>0</x:v>
      </x:c>
      <x:c r="L5" s="61" t="n">
        <x:f>IFERROR(COUNTIFS(Assessment!$A$2:$A$121,$E5,Assessment!$T$2:$T$121,"Yes",Assessment!$Z$2:$Z$121,"Validated")/COUNTIFS(Assessment!$A$2:$A$121,$E5,Assessment!$T$2:$T$121,"Yes"),0)</x:f>
        <x:v>0</x:v>
      </x:c>
      <x:c r="M5" s="42" t="n">
        <x:f>COUNTIFS(Assessment!$A$2:$A$121,$E5,Assessment!$T$2:$T$121,"Yes",Assessment!$AG$2:$AG$121,"Gap to CSA Level")</x:f>
        <x:v>10</x:v>
      </x:c>
      <x:c r="N5" s="59"/>
      <x:c r="O5" s="59"/>
      <x:c r="P5" s="59"/>
      <x:c r="Q5" s="59"/>
      <x:c r="R5" s="59"/>
      <x:c r="S5" s="59"/>
      <x:c r="T5" s="59"/>
      <x:c r="U5" s="59"/>
      <x:c r="V5" s="59"/>
      <x:c r="W5" s="59"/>
      <x:c r="X5" s="59"/>
      <x:c r="Y5" s="59"/>
      <x:c r="Z5" s="59"/>
      <x:c r="AA5" s="59"/>
      <x:c r="AB5" s="59"/>
      <x:c r="AC5" s="59"/>
      <x:c r="AD5" s="59"/>
      <x:c r="AE5" s="59"/>
      <x:c r="AF5" s="59"/>
      <x:c r="AG5" s="59"/>
      <x:c r="AH5" s="59"/>
      <x:c r="AI5" s="59"/>
      <x:c r="AJ5" s="59"/>
      <x:c r="AK5" s="59"/>
      <x:c r="AL5" s="59"/>
      <x:c r="AM5" s="59"/>
      <x:c r="AN5" s="59"/>
    </x:row>
    <x:row r="6">
      <x:c r="A6" s="21" t="str">
        <x:v>Average Current Maturity</x:v>
      </x:c>
      <x:c r="B6" s="48" t="n">
        <x:f>IFERROR(AVERAGEIF(Assessment!$T$2:$T$121,"Yes",Assessment!$X$2:$X$121),0)</x:f>
        <x:v>0</x:v>
      </x:c>
      <x:c r="C6" s="21" t="str">
        <x:v>Average score for applicable controls.</x:v>
      </x:c>
      <x:c r="D6" s="59"/>
      <x:c r="E6" s="42" t="str">
        <x:v>Data Security</x:v>
      </x:c>
      <x:c r="F6" s="42" t="n">
        <x:f>COUNTIFS(Assessment!$A$2:$A$121,$E6,Assessment!$T$2:$T$121,"Yes")</x:f>
        <x:v>9</x:v>
      </x:c>
      <x:c r="G6" s="60" t="n">
        <x:f>IFERROR(SUMIFS(Assessment!$X$2:$X$121,Assessment!$A$2:$A$121,$E6,Assessment!$T$2:$T$121,"Yes")/COUNTIFS(Assessment!$A$2:$A$121,$E6,Assessment!$T$2:$T$121,"Yes"),0)</x:f>
        <x:v>0</x:v>
      </x:c>
      <x:c r="H6" s="60" t="n">
        <x:f>IFERROR(SUMIFS(Assessment!$Y$2:$Y$121,Assessment!$A$2:$A$121,$E6,Assessment!$T$2:$T$121,"Yes")/COUNTIFS(Assessment!$A$2:$A$121,$E6,Assessment!$T$2:$T$121,"Yes"),0)</x:f>
        <x:v>3.4444444444444446</x:v>
      </x:c>
      <x:c r="I6" s="61" t="n">
        <x:f>IFERROR(COUNTIFS(Assessment!$A$2:$A$121,$E6,Assessment!$T$2:$T$121,"Yes",Assessment!$AG$2:$AG$121,"Meets CSA Level")/COUNTIFS(Assessment!$A$2:$A$121,$E6,Assessment!$T$2:$T$121,"Yes"),0)</x:f>
        <x:v>0</x:v>
      </x:c>
      <x:c r="J6" s="61" t="n">
        <x:f>IFERROR(COUNTIFS(Assessment!$A$2:$A$121,$E6,Assessment!$T$2:$T$121,"Yes",Assessment!$AH$2:$AH$121,"Compliant")/COUNTIFS(Assessment!$A$2:$A$121,$E6,Assessment!$T$2:$T$121,"Yes"),0)</x:f>
        <x:v>0</x:v>
      </x:c>
      <x:c r="K6" s="61" t="n">
        <x:f>IFERROR(COUNTIFS(Assessment!$A$2:$A$121,$E6,Assessment!$T$2:$T$121,"Yes",Assessment!$AI$2:$AI$121,"Compliant")/COUNTIFS(Assessment!$A$2:$A$121,$E6,Assessment!$T$2:$T$121,"Yes"),0)</x:f>
        <x:v>0</x:v>
      </x:c>
      <x:c r="L6" s="61" t="n">
        <x:f>IFERROR(COUNTIFS(Assessment!$A$2:$A$121,$E6,Assessment!$T$2:$T$121,"Yes",Assessment!$Z$2:$Z$121,"Validated")/COUNTIFS(Assessment!$A$2:$A$121,$E6,Assessment!$T$2:$T$121,"Yes"),0)</x:f>
        <x:v>0</x:v>
      </x:c>
      <x:c r="M6" s="42" t="n">
        <x:f>COUNTIFS(Assessment!$A$2:$A$121,$E6,Assessment!$T$2:$T$121,"Yes",Assessment!$AG$2:$AG$121,"Gap to CSA Level")</x:f>
        <x:v>9</x:v>
      </x:c>
      <x:c r="N6" s="59"/>
      <x:c r="O6" s="59"/>
      <x:c r="P6" s="59"/>
      <x:c r="Q6" s="59"/>
      <x:c r="R6" s="59"/>
      <x:c r="S6" s="59"/>
      <x:c r="T6" s="59"/>
      <x:c r="U6" s="59"/>
      <x:c r="V6" s="59"/>
      <x:c r="W6" s="59"/>
      <x:c r="X6" s="59"/>
      <x:c r="Y6" s="59"/>
      <x:c r="Z6" s="59"/>
      <x:c r="AA6" s="59"/>
      <x:c r="AB6" s="59"/>
      <x:c r="AC6" s="59"/>
      <x:c r="AD6" s="59"/>
      <x:c r="AE6" s="59"/>
      <x:c r="AF6" s="59"/>
      <x:c r="AG6" s="59"/>
      <x:c r="AH6" s="59"/>
      <x:c r="AI6" s="59"/>
      <x:c r="AJ6" s="59"/>
      <x:c r="AK6" s="59"/>
      <x:c r="AL6" s="59"/>
      <x:c r="AM6" s="59"/>
      <x:c r="AN6" s="59"/>
    </x:row>
    <x:row r="7">
      <x:c r="A7" s="21" t="str">
        <x:v>Average Target Maturity</x:v>
      </x:c>
      <x:c r="B7" s="48" t="n">
        <x:f>IFERROR(AVERAGEIF(Assessment!$T$2:$T$121,"Yes",Assessment!$Y$2:$Y$121),0)</x:f>
        <x:v>3.5416666666666665</x:v>
      </x:c>
      <x:c r="C7" s="21" t="str">
        <x:v>Average target score for applicable controls.</x:v>
      </x:c>
      <x:c r="D7" s="59"/>
      <x:c r="E7" s="42" t="str">
        <x:v>Governance</x:v>
      </x:c>
      <x:c r="F7" s="42" t="n">
        <x:f>COUNTIFS(Assessment!$A$2:$A$121,$E7,Assessment!$T$2:$T$121,"Yes")</x:f>
        <x:v>10</x:v>
      </x:c>
      <x:c r="G7" s="60" t="n">
        <x:f>IFERROR(SUMIFS(Assessment!$X$2:$X$121,Assessment!$A$2:$A$121,$E7,Assessment!$T$2:$T$121,"Yes")/COUNTIFS(Assessment!$A$2:$A$121,$E7,Assessment!$T$2:$T$121,"Yes"),0)</x:f>
        <x:v>0</x:v>
      </x:c>
      <x:c r="H7" s="60" t="n">
        <x:f>IFERROR(SUMIFS(Assessment!$Y$2:$Y$121,Assessment!$A$2:$A$121,$E7,Assessment!$T$2:$T$121,"Yes")/COUNTIFS(Assessment!$A$2:$A$121,$E7,Assessment!$T$2:$T$121,"Yes"),0)</x:f>
        <x:v>3.5</x:v>
      </x:c>
      <x:c r="I7" s="61" t="n">
        <x:f>IFERROR(COUNTIFS(Assessment!$A$2:$A$121,$E7,Assessment!$T$2:$T$121,"Yes",Assessment!$AG$2:$AG$121,"Meets CSA Level")/COUNTIFS(Assessment!$A$2:$A$121,$E7,Assessment!$T$2:$T$121,"Yes"),0)</x:f>
        <x:v>0</x:v>
      </x:c>
      <x:c r="J7" s="61" t="n">
        <x:f>IFERROR(COUNTIFS(Assessment!$A$2:$A$121,$E7,Assessment!$T$2:$T$121,"Yes",Assessment!$AH$2:$AH$121,"Compliant")/COUNTIFS(Assessment!$A$2:$A$121,$E7,Assessment!$T$2:$T$121,"Yes"),0)</x:f>
        <x:v>0</x:v>
      </x:c>
      <x:c r="K7" s="61" t="n">
        <x:f>IFERROR(COUNTIFS(Assessment!$A$2:$A$121,$E7,Assessment!$T$2:$T$121,"Yes",Assessment!$AI$2:$AI$121,"Compliant")/COUNTIFS(Assessment!$A$2:$A$121,$E7,Assessment!$T$2:$T$121,"Yes"),0)</x:f>
        <x:v>0</x:v>
      </x:c>
      <x:c r="L7" s="61" t="n">
        <x:f>IFERROR(COUNTIFS(Assessment!$A$2:$A$121,$E7,Assessment!$T$2:$T$121,"Yes",Assessment!$Z$2:$Z$121,"Validated")/COUNTIFS(Assessment!$A$2:$A$121,$E7,Assessment!$T$2:$T$121,"Yes"),0)</x:f>
        <x:v>0</x:v>
      </x:c>
      <x:c r="M7" s="42" t="n">
        <x:f>COUNTIFS(Assessment!$A$2:$A$121,$E7,Assessment!$T$2:$T$121,"Yes",Assessment!$AG$2:$AG$121,"Gap to CSA Level")</x:f>
        <x:v>10</x:v>
      </x:c>
      <x:c r="N7" s="59"/>
      <x:c r="O7" s="59"/>
      <x:c r="P7" s="59"/>
      <x:c r="Q7" s="59"/>
      <x:c r="R7" s="59"/>
      <x:c r="S7" s="59"/>
      <x:c r="T7" s="59"/>
      <x:c r="U7" s="59"/>
      <x:c r="V7" s="59"/>
      <x:c r="W7" s="59"/>
      <x:c r="X7" s="59"/>
      <x:c r="Y7" s="59"/>
      <x:c r="Z7" s="59"/>
      <x:c r="AA7" s="59"/>
      <x:c r="AB7" s="59"/>
      <x:c r="AC7" s="59"/>
      <x:c r="AD7" s="59"/>
      <x:c r="AE7" s="59"/>
      <x:c r="AF7" s="59"/>
      <x:c r="AG7" s="59"/>
      <x:c r="AH7" s="59"/>
      <x:c r="AI7" s="59"/>
      <x:c r="AJ7" s="59"/>
      <x:c r="AK7" s="59"/>
      <x:c r="AL7" s="59"/>
      <x:c r="AM7" s="59"/>
      <x:c r="AN7" s="59"/>
    </x:row>
    <x:row r="8">
      <x:c r="A8" s="21" t="str">
        <x:v>Controls Meeting CSA AISMM Level</x:v>
      </x:c>
      <x:c r="B8" s="21" t="n">
        <x:f>COUNTIF(Assessment!$AG$2:$AG$121,"Meets CSA Level")</x:f>
        <x:v>0</x:v>
      </x:c>
      <x:c r="C8" s="21" t="str">
        <x:v>Controls where current score meets or exceeds required CSA level.</x:v>
      </x:c>
      <x:c r="D8" s="59"/>
      <x:c r="E8" s="42" t="str">
        <x:v>IAM</x:v>
      </x:c>
      <x:c r="F8" s="42" t="n">
        <x:f>COUNTIFS(Assessment!$A$2:$A$121,$E8,Assessment!$T$2:$T$121,"Yes")</x:f>
        <x:v>11</x:v>
      </x:c>
      <x:c r="G8" s="60" t="n">
        <x:f>IFERROR(SUMIFS(Assessment!$X$2:$X$121,Assessment!$A$2:$A$121,$E8,Assessment!$T$2:$T$121,"Yes")/COUNTIFS(Assessment!$A$2:$A$121,$E8,Assessment!$T$2:$T$121,"Yes"),0)</x:f>
        <x:v>0</x:v>
      </x:c>
      <x:c r="H8" s="60" t="n">
        <x:f>IFERROR(SUMIFS(Assessment!$Y$2:$Y$121,Assessment!$A$2:$A$121,$E8,Assessment!$T$2:$T$121,"Yes")/COUNTIFS(Assessment!$A$2:$A$121,$E8,Assessment!$T$2:$T$121,"Yes"),0)</x:f>
        <x:v>3.6363636363636362</x:v>
      </x:c>
      <x:c r="I8" s="61" t="n">
        <x:f>IFERROR(COUNTIFS(Assessment!$A$2:$A$121,$E8,Assessment!$T$2:$T$121,"Yes",Assessment!$AG$2:$AG$121,"Meets CSA Level")/COUNTIFS(Assessment!$A$2:$A$121,$E8,Assessment!$T$2:$T$121,"Yes"),0)</x:f>
        <x:v>0</x:v>
      </x:c>
      <x:c r="J8" s="61" t="n">
        <x:f>IFERROR(COUNTIFS(Assessment!$A$2:$A$121,$E8,Assessment!$T$2:$T$121,"Yes",Assessment!$AH$2:$AH$121,"Compliant")/COUNTIFS(Assessment!$A$2:$A$121,$E8,Assessment!$T$2:$T$121,"Yes"),0)</x:f>
        <x:v>0</x:v>
      </x:c>
      <x:c r="K8" s="61" t="n">
        <x:f>IFERROR(COUNTIFS(Assessment!$A$2:$A$121,$E8,Assessment!$T$2:$T$121,"Yes",Assessment!$AI$2:$AI$121,"Compliant")/COUNTIFS(Assessment!$A$2:$A$121,$E8,Assessment!$T$2:$T$121,"Yes"),0)</x:f>
        <x:v>0</x:v>
      </x:c>
      <x:c r="L8" s="61" t="n">
        <x:f>IFERROR(COUNTIFS(Assessment!$A$2:$A$121,$E8,Assessment!$T$2:$T$121,"Yes",Assessment!$Z$2:$Z$121,"Validated")/COUNTIFS(Assessment!$A$2:$A$121,$E8,Assessment!$T$2:$T$121,"Yes"),0)</x:f>
        <x:v>0</x:v>
      </x:c>
      <x:c r="M8" s="42" t="n">
        <x:f>COUNTIFS(Assessment!$A$2:$A$121,$E8,Assessment!$T$2:$T$121,"Yes",Assessment!$AG$2:$AG$121,"Gap to CSA Level")</x:f>
        <x:v>11</x:v>
      </x:c>
      <x:c r="N8" s="59"/>
      <x:c r="O8" s="59"/>
      <x:c r="P8" s="59"/>
      <x:c r="Q8" s="59"/>
      <x:c r="R8" s="59"/>
      <x:c r="S8" s="59"/>
      <x:c r="T8" s="59"/>
      <x:c r="U8" s="59"/>
      <x:c r="V8" s="59"/>
      <x:c r="W8" s="59"/>
      <x:c r="X8" s="59"/>
      <x:c r="Y8" s="59"/>
      <x:c r="Z8" s="59"/>
      <x:c r="AA8" s="59"/>
      <x:c r="AB8" s="59"/>
      <x:c r="AC8" s="59"/>
      <x:c r="AD8" s="59"/>
      <x:c r="AE8" s="59"/>
      <x:c r="AF8" s="59"/>
      <x:c r="AG8" s="59"/>
      <x:c r="AH8" s="59"/>
      <x:c r="AI8" s="59"/>
      <x:c r="AJ8" s="59"/>
      <x:c r="AK8" s="59"/>
      <x:c r="AL8" s="59"/>
      <x:c r="AM8" s="59"/>
      <x:c r="AN8" s="59"/>
    </x:row>
    <x:row r="9">
      <x:c r="A9" s="21" t="str">
        <x:v>NIST AI RMF Compliant Controls</x:v>
      </x:c>
      <x:c r="B9" s="21" t="n">
        <x:f>COUNTIF(Assessment!$AH$2:$AH$121,"Compliant")</x:f>
        <x:v>0</x:v>
      </x:c>
      <x:c r="C9" s="21" t="str">
        <x:v>Mapped controls supported by validated evidence and passing test result.</x:v>
      </x:c>
      <x:c r="D9" s="59"/>
      <x:c r="E9" s="42" t="str">
        <x:v>Incident Response</x:v>
      </x:c>
      <x:c r="F9" s="42" t="n">
        <x:f>COUNTIFS(Assessment!$A$2:$A$121,$E9,Assessment!$T$2:$T$121,"Yes")</x:f>
        <x:v>10</x:v>
      </x:c>
      <x:c r="G9" s="60" t="n">
        <x:f>IFERROR(SUMIFS(Assessment!$X$2:$X$121,Assessment!$A$2:$A$121,$E9,Assessment!$T$2:$T$121,"Yes")/COUNTIFS(Assessment!$A$2:$A$121,$E9,Assessment!$T$2:$T$121,"Yes"),0)</x:f>
        <x:v>0</x:v>
      </x:c>
      <x:c r="H9" s="60" t="n">
        <x:f>IFERROR(SUMIFS(Assessment!$Y$2:$Y$121,Assessment!$A$2:$A$121,$E9,Assessment!$T$2:$T$121,"Yes")/COUNTIFS(Assessment!$A$2:$A$121,$E9,Assessment!$T$2:$T$121,"Yes"),0)</x:f>
        <x:v>3.7</x:v>
      </x:c>
      <x:c r="I9" s="61" t="n">
        <x:f>IFERROR(COUNTIFS(Assessment!$A$2:$A$121,$E9,Assessment!$T$2:$T$121,"Yes",Assessment!$AG$2:$AG$121,"Meets CSA Level")/COUNTIFS(Assessment!$A$2:$A$121,$E9,Assessment!$T$2:$T$121,"Yes"),0)</x:f>
        <x:v>0</x:v>
      </x:c>
      <x:c r="J9" s="61" t="n">
        <x:f>IFERROR(COUNTIFS(Assessment!$A$2:$A$121,$E9,Assessment!$T$2:$T$121,"Yes",Assessment!$AH$2:$AH$121,"Compliant")/COUNTIFS(Assessment!$A$2:$A$121,$E9,Assessment!$T$2:$T$121,"Yes"),0)</x:f>
        <x:v>0</x:v>
      </x:c>
      <x:c r="K9" s="61" t="n">
        <x:f>IFERROR(COUNTIFS(Assessment!$A$2:$A$121,$E9,Assessment!$T$2:$T$121,"Yes",Assessment!$AI$2:$AI$121,"Compliant")/COUNTIFS(Assessment!$A$2:$A$121,$E9,Assessment!$T$2:$T$121,"Yes"),0)</x:f>
        <x:v>0</x:v>
      </x:c>
      <x:c r="L9" s="61" t="n">
        <x:f>IFERROR(COUNTIFS(Assessment!$A$2:$A$121,$E9,Assessment!$T$2:$T$121,"Yes",Assessment!$Z$2:$Z$121,"Validated")/COUNTIFS(Assessment!$A$2:$A$121,$E9,Assessment!$T$2:$T$121,"Yes"),0)</x:f>
        <x:v>0</x:v>
      </x:c>
      <x:c r="M9" s="42" t="n">
        <x:f>COUNTIFS(Assessment!$A$2:$A$121,$E9,Assessment!$T$2:$T$121,"Yes",Assessment!$AG$2:$AG$121,"Gap to CSA Level")</x:f>
        <x:v>10</x:v>
      </x:c>
      <x:c r="N9" s="59"/>
      <x:c r="O9" s="59"/>
      <x:c r="P9" s="59"/>
      <x:c r="Q9" s="59"/>
      <x:c r="R9" s="59"/>
      <x:c r="S9" s="59"/>
      <x:c r="T9" s="59"/>
      <x:c r="U9" s="59"/>
      <x:c r="V9" s="59"/>
      <x:c r="W9" s="59"/>
      <x:c r="X9" s="59"/>
      <x:c r="Y9" s="59"/>
      <x:c r="Z9" s="59"/>
      <x:c r="AA9" s="59"/>
      <x:c r="AB9" s="59"/>
      <x:c r="AC9" s="59"/>
      <x:c r="AD9" s="59"/>
      <x:c r="AE9" s="59"/>
      <x:c r="AF9" s="59"/>
      <x:c r="AG9" s="59"/>
      <x:c r="AH9" s="59"/>
      <x:c r="AI9" s="59"/>
      <x:c r="AJ9" s="59"/>
      <x:c r="AK9" s="59"/>
      <x:c r="AL9" s="59"/>
      <x:c r="AM9" s="59"/>
      <x:c r="AN9" s="59"/>
    </x:row>
    <x:row r="10">
      <x:c r="A10" s="21" t="str">
        <x:v>ISO/IEC 42001 Compliant Controls</x:v>
      </x:c>
      <x:c r="B10" s="21" t="n">
        <x:f>COUNTIF(Assessment!$AI$2:$AI$121,"Compliant")</x:f>
        <x:v>0</x:v>
      </x:c>
      <x:c r="C10" s="21" t="str">
        <x:v>Mapped ISO areas supported by validated evidence and passing test result.</x:v>
      </x:c>
      <x:c r="D10" s="59"/>
      <x:c r="E10" s="42" t="str">
        <x:v>Infrastructure</x:v>
      </x:c>
      <x:c r="F10" s="42" t="n">
        <x:f>COUNTIFS(Assessment!$A$2:$A$121,$E10,Assessment!$T$2:$T$121,"Yes")</x:f>
        <x:v>11</x:v>
      </x:c>
      <x:c r="G10" s="60" t="n">
        <x:f>IFERROR(SUMIFS(Assessment!$X$2:$X$121,Assessment!$A$2:$A$121,$E10,Assessment!$T$2:$T$121,"Yes")/COUNTIFS(Assessment!$A$2:$A$121,$E10,Assessment!$T$2:$T$121,"Yes"),0)</x:f>
        <x:v>0</x:v>
      </x:c>
      <x:c r="H10" s="60" t="n">
        <x:f>IFERROR(SUMIFS(Assessment!$Y$2:$Y$121,Assessment!$A$2:$A$121,$E10,Assessment!$T$2:$T$121,"Yes")/COUNTIFS(Assessment!$A$2:$A$121,$E10,Assessment!$T$2:$T$121,"Yes"),0)</x:f>
        <x:v>3.5454545454545454</x:v>
      </x:c>
      <x:c r="I10" s="61" t="n">
        <x:f>IFERROR(COUNTIFS(Assessment!$A$2:$A$121,$E10,Assessment!$T$2:$T$121,"Yes",Assessment!$AG$2:$AG$121,"Meets CSA Level")/COUNTIFS(Assessment!$A$2:$A$121,$E10,Assessment!$T$2:$T$121,"Yes"),0)</x:f>
        <x:v>0</x:v>
      </x:c>
      <x:c r="J10" s="61" t="n">
        <x:f>IFERROR(COUNTIFS(Assessment!$A$2:$A$121,$E10,Assessment!$T$2:$T$121,"Yes",Assessment!$AH$2:$AH$121,"Compliant")/COUNTIFS(Assessment!$A$2:$A$121,$E10,Assessment!$T$2:$T$121,"Yes"),0)</x:f>
        <x:v>0</x:v>
      </x:c>
      <x:c r="K10" s="61" t="n">
        <x:f>IFERROR(COUNTIFS(Assessment!$A$2:$A$121,$E10,Assessment!$T$2:$T$121,"Yes",Assessment!$AI$2:$AI$121,"Compliant")/COUNTIFS(Assessment!$A$2:$A$121,$E10,Assessment!$T$2:$T$121,"Yes"),0)</x:f>
        <x:v>0</x:v>
      </x:c>
      <x:c r="L10" s="61" t="n">
        <x:f>IFERROR(COUNTIFS(Assessment!$A$2:$A$121,$E10,Assessment!$T$2:$T$121,"Yes",Assessment!$Z$2:$Z$121,"Validated")/COUNTIFS(Assessment!$A$2:$A$121,$E10,Assessment!$T$2:$T$121,"Yes"),0)</x:f>
        <x:v>0</x:v>
      </x:c>
      <x:c r="M10" s="42" t="n">
        <x:f>COUNTIFS(Assessment!$A$2:$A$121,$E10,Assessment!$T$2:$T$121,"Yes",Assessment!$AG$2:$AG$121,"Gap to CSA Level")</x:f>
        <x:v>11</x:v>
      </x:c>
      <x:c r="N10" s="59"/>
      <x:c r="O10" s="59"/>
      <x:c r="P10" s="59"/>
      <x:c r="Q10" s="59"/>
      <x:c r="R10" s="59"/>
      <x:c r="S10" s="59"/>
      <x:c r="T10" s="59"/>
      <x:c r="U10" s="59"/>
      <x:c r="V10" s="59"/>
      <x:c r="W10" s="59"/>
      <x:c r="X10" s="59"/>
      <x:c r="Y10" s="59"/>
      <x:c r="Z10" s="59"/>
      <x:c r="AA10" s="59"/>
      <x:c r="AB10" s="59"/>
      <x:c r="AC10" s="59"/>
      <x:c r="AD10" s="59"/>
      <x:c r="AE10" s="59"/>
      <x:c r="AF10" s="59"/>
      <x:c r="AG10" s="59"/>
      <x:c r="AH10" s="59"/>
      <x:c r="AI10" s="59"/>
      <x:c r="AJ10" s="59"/>
      <x:c r="AK10" s="59"/>
      <x:c r="AL10" s="59"/>
      <x:c r="AM10" s="59"/>
      <x:c r="AN10" s="59"/>
    </x:row>
    <x:row r="11">
      <x:c r="A11" s="21" t="str">
        <x:v>Fully Compliant Across All Three</x:v>
      </x:c>
      <x:c r="B11" s="21" t="n">
        <x:f>COUNTIF(Assessment!$AJ$2:$AJ$121,"CSA AISMM; NIST AI RMF; ISO/IEC 42001")</x:f>
        <x:v>0</x:v>
      </x:c>
      <x:c r="C11" s="21" t="str">
        <x:v>Rows meeting CSA, NIST, and ISO criteria simultaneously.</x:v>
      </x:c>
      <x:c r="D11" s="59"/>
      <x:c r="E11" s="42" t="str">
        <x:v>Model Security</x:v>
      </x:c>
      <x:c r="F11" s="42" t="n">
        <x:f>COUNTIFS(Assessment!$A$2:$A$121,$E11,Assessment!$T$2:$T$121,"Yes")</x:f>
        <x:v>10</x:v>
      </x:c>
      <x:c r="G11" s="60" t="n">
        <x:f>IFERROR(SUMIFS(Assessment!$X$2:$X$121,Assessment!$A$2:$A$121,$E11,Assessment!$T$2:$T$121,"Yes")/COUNTIFS(Assessment!$A$2:$A$121,$E11,Assessment!$T$2:$T$121,"Yes"),0)</x:f>
        <x:v>0</x:v>
      </x:c>
      <x:c r="H11" s="60" t="n">
        <x:f>IFERROR(SUMIFS(Assessment!$Y$2:$Y$121,Assessment!$A$2:$A$121,$E11,Assessment!$T$2:$T$121,"Yes")/COUNTIFS(Assessment!$A$2:$A$121,$E11,Assessment!$T$2:$T$121,"Yes"),0)</x:f>
        <x:v>3.5</x:v>
      </x:c>
      <x:c r="I11" s="61" t="n">
        <x:f>IFERROR(COUNTIFS(Assessment!$A$2:$A$121,$E11,Assessment!$T$2:$T$121,"Yes",Assessment!$AG$2:$AG$121,"Meets CSA Level")/COUNTIFS(Assessment!$A$2:$A$121,$E11,Assessment!$T$2:$T$121,"Yes"),0)</x:f>
        <x:v>0</x:v>
      </x:c>
      <x:c r="J11" s="61" t="n">
        <x:f>IFERROR(COUNTIFS(Assessment!$A$2:$A$121,$E11,Assessment!$T$2:$T$121,"Yes",Assessment!$AH$2:$AH$121,"Compliant")/COUNTIFS(Assessment!$A$2:$A$121,$E11,Assessment!$T$2:$T$121,"Yes"),0)</x:f>
        <x:v>0</x:v>
      </x:c>
      <x:c r="K11" s="61" t="n">
        <x:f>IFERROR(COUNTIFS(Assessment!$A$2:$A$121,$E11,Assessment!$T$2:$T$121,"Yes",Assessment!$AI$2:$AI$121,"Compliant")/COUNTIFS(Assessment!$A$2:$A$121,$E11,Assessment!$T$2:$T$121,"Yes"),0)</x:f>
        <x:v>0</x:v>
      </x:c>
      <x:c r="L11" s="61" t="n">
        <x:f>IFERROR(COUNTIFS(Assessment!$A$2:$A$121,$E11,Assessment!$T$2:$T$121,"Yes",Assessment!$Z$2:$Z$121,"Validated")/COUNTIFS(Assessment!$A$2:$A$121,$E11,Assessment!$T$2:$T$121,"Yes"),0)</x:f>
        <x:v>0</x:v>
      </x:c>
      <x:c r="M11" s="42" t="n">
        <x:f>COUNTIFS(Assessment!$A$2:$A$121,$E11,Assessment!$T$2:$T$121,"Yes",Assessment!$AG$2:$AG$121,"Gap to CSA Level")</x:f>
        <x:v>10</x:v>
      </x:c>
      <x:c r="N11" s="59"/>
      <x:c r="O11" s="59"/>
      <x:c r="P11" s="59"/>
      <x:c r="Q11" s="59"/>
      <x:c r="R11" s="59"/>
      <x:c r="S11" s="59"/>
      <x:c r="T11" s="59"/>
      <x:c r="U11" s="59"/>
      <x:c r="V11" s="59"/>
      <x:c r="W11" s="59"/>
      <x:c r="X11" s="59"/>
      <x:c r="Y11" s="59"/>
      <x:c r="Z11" s="59"/>
      <x:c r="AA11" s="59"/>
      <x:c r="AB11" s="59"/>
      <x:c r="AC11" s="59"/>
      <x:c r="AD11" s="59"/>
      <x:c r="AE11" s="59"/>
      <x:c r="AF11" s="59"/>
      <x:c r="AG11" s="59"/>
      <x:c r="AH11" s="59"/>
      <x:c r="AI11" s="59"/>
      <x:c r="AJ11" s="59"/>
      <x:c r="AK11" s="59"/>
      <x:c r="AL11" s="59"/>
      <x:c r="AM11" s="59"/>
      <x:c r="AN11" s="59"/>
    </x:row>
    <x:row r="12">
      <x:c r="A12" s="21" t="str">
        <x:v>Validated Evidence Items</x:v>
      </x:c>
      <x:c r="B12" s="21" t="n">
        <x:f>COUNTIF(Assessment!$Z$2:$Z$121,"Validated")</x:f>
        <x:v>0</x:v>
      </x:c>
      <x:c r="C12" s="21" t="str">
        <x:v>Rows with validated evidence.</x:v>
      </x:c>
      <x:c r="D12" s="59"/>
      <x:c r="E12" s="42" t="str">
        <x:v>Organization Management</x:v>
      </x:c>
      <x:c r="F12" s="42" t="n">
        <x:f>COUNTIFS(Assessment!$A$2:$A$121,$E12,Assessment!$T$2:$T$121,"Yes")</x:f>
        <x:v>10</x:v>
      </x:c>
      <x:c r="G12" s="60" t="n">
        <x:f>IFERROR(SUMIFS(Assessment!$X$2:$X$121,Assessment!$A$2:$A$121,$E12,Assessment!$T$2:$T$121,"Yes")/COUNTIFS(Assessment!$A$2:$A$121,$E12,Assessment!$T$2:$T$121,"Yes"),0)</x:f>
        <x:v>0</x:v>
      </x:c>
      <x:c r="H12" s="60" t="n">
        <x:f>IFERROR(SUMIFS(Assessment!$Y$2:$Y$121,Assessment!$A$2:$A$121,$E12,Assessment!$T$2:$T$121,"Yes")/COUNTIFS(Assessment!$A$2:$A$121,$E12,Assessment!$T$2:$T$121,"Yes"),0)</x:f>
        <x:v>3.5</x:v>
      </x:c>
      <x:c r="I12" s="61" t="n">
        <x:f>IFERROR(COUNTIFS(Assessment!$A$2:$A$121,$E12,Assessment!$T$2:$T$121,"Yes",Assessment!$AG$2:$AG$121,"Meets CSA Level")/COUNTIFS(Assessment!$A$2:$A$121,$E12,Assessment!$T$2:$T$121,"Yes"),0)</x:f>
        <x:v>0</x:v>
      </x:c>
      <x:c r="J12" s="61" t="n">
        <x:f>IFERROR(COUNTIFS(Assessment!$A$2:$A$121,$E12,Assessment!$T$2:$T$121,"Yes",Assessment!$AH$2:$AH$121,"Compliant")/COUNTIFS(Assessment!$A$2:$A$121,$E12,Assessment!$T$2:$T$121,"Yes"),0)</x:f>
        <x:v>0</x:v>
      </x:c>
      <x:c r="K12" s="61" t="n">
        <x:f>IFERROR(COUNTIFS(Assessment!$A$2:$A$121,$E12,Assessment!$T$2:$T$121,"Yes",Assessment!$AI$2:$AI$121,"Compliant")/COUNTIFS(Assessment!$A$2:$A$121,$E12,Assessment!$T$2:$T$121,"Yes"),0)</x:f>
        <x:v>0</x:v>
      </x:c>
      <x:c r="L12" s="61" t="n">
        <x:f>IFERROR(COUNTIFS(Assessment!$A$2:$A$121,$E12,Assessment!$T$2:$T$121,"Yes",Assessment!$Z$2:$Z$121,"Validated")/COUNTIFS(Assessment!$A$2:$A$121,$E12,Assessment!$T$2:$T$121,"Yes"),0)</x:f>
        <x:v>0</x:v>
      </x:c>
      <x:c r="M12" s="42" t="n">
        <x:f>COUNTIFS(Assessment!$A$2:$A$121,$E12,Assessment!$T$2:$T$121,"Yes",Assessment!$AG$2:$AG$121,"Gap to CSA Level")</x:f>
        <x:v>10</x:v>
      </x:c>
      <x:c r="N12" s="59"/>
      <x:c r="O12" s="59"/>
      <x:c r="P12" s="59"/>
      <x:c r="Q12" s="59"/>
      <x:c r="R12" s="59"/>
      <x:c r="S12" s="59"/>
      <x:c r="T12" s="59"/>
      <x:c r="U12" s="59"/>
      <x:c r="V12" s="59"/>
      <x:c r="W12" s="59"/>
      <x:c r="X12" s="59"/>
      <x:c r="Y12" s="59"/>
      <x:c r="Z12" s="59"/>
      <x:c r="AA12" s="59"/>
      <x:c r="AB12" s="59"/>
      <x:c r="AC12" s="59"/>
      <x:c r="AD12" s="59"/>
      <x:c r="AE12" s="59"/>
      <x:c r="AF12" s="59"/>
      <x:c r="AG12" s="59"/>
      <x:c r="AH12" s="59"/>
      <x:c r="AI12" s="59"/>
      <x:c r="AJ12" s="59"/>
      <x:c r="AK12" s="59"/>
      <x:c r="AL12" s="59"/>
      <x:c r="AM12" s="59"/>
      <x:c r="AN12" s="59"/>
    </x:row>
    <x:row r="13">
      <x:c r="A13" s="21" t="str">
        <x:v>High/Critical Residual Risk</x:v>
      </x:c>
      <x:c r="B13" s="21" t="n">
        <x:f>COUNTIF(Assessment!$AE$2:$AE$121,"High")+COUNTIF(Assessment!$AE$2:$AE$121,"Critical")</x:f>
        <x:v>0</x:v>
      </x:c>
      <x:c r="C13" s="21" t="str">
        <x:v>Residual risks requiring management attention.</x:v>
      </x:c>
      <x:c r="D13" s="59"/>
      <x:c r="E13" s="42" t="str">
        <x:v>Privacy and Compliance</x:v>
      </x:c>
      <x:c r="F13" s="42" t="n">
        <x:f>COUNTIFS(Assessment!$A$2:$A$121,$E13,Assessment!$T$2:$T$121,"Yes")</x:f>
        <x:v>11</x:v>
      </x:c>
      <x:c r="G13" s="60" t="n">
        <x:f>IFERROR(SUMIFS(Assessment!$X$2:$X$121,Assessment!$A$2:$A$121,$E13,Assessment!$T$2:$T$121,"Yes")/COUNTIFS(Assessment!$A$2:$A$121,$E13,Assessment!$T$2:$T$121,"Yes"),0)</x:f>
        <x:v>0</x:v>
      </x:c>
      <x:c r="H13" s="60" t="n">
        <x:f>IFERROR(SUMIFS(Assessment!$Y$2:$Y$121,Assessment!$A$2:$A$121,$E13,Assessment!$T$2:$T$121,"Yes")/COUNTIFS(Assessment!$A$2:$A$121,$E13,Assessment!$T$2:$T$121,"Yes"),0)</x:f>
        <x:v>3.6363636363636362</x:v>
      </x:c>
      <x:c r="I13" s="61" t="n">
        <x:f>IFERROR(COUNTIFS(Assessment!$A$2:$A$121,$E13,Assessment!$T$2:$T$121,"Yes",Assessment!$AG$2:$AG$121,"Meets CSA Level")/COUNTIFS(Assessment!$A$2:$A$121,$E13,Assessment!$T$2:$T$121,"Yes"),0)</x:f>
        <x:v>0</x:v>
      </x:c>
      <x:c r="J13" s="61" t="n">
        <x:f>IFERROR(COUNTIFS(Assessment!$A$2:$A$121,$E13,Assessment!$T$2:$T$121,"Yes",Assessment!$AH$2:$AH$121,"Compliant")/COUNTIFS(Assessment!$A$2:$A$121,$E13,Assessment!$T$2:$T$121,"Yes"),0)</x:f>
        <x:v>0</x:v>
      </x:c>
      <x:c r="K13" s="61" t="n">
        <x:f>IFERROR(COUNTIFS(Assessment!$A$2:$A$121,$E13,Assessment!$T$2:$T$121,"Yes",Assessment!$AI$2:$AI$121,"Compliant")/COUNTIFS(Assessment!$A$2:$A$121,$E13,Assessment!$T$2:$T$121,"Yes"),0)</x:f>
        <x:v>0</x:v>
      </x:c>
      <x:c r="L13" s="61" t="n">
        <x:f>IFERROR(COUNTIFS(Assessment!$A$2:$A$121,$E13,Assessment!$T$2:$T$121,"Yes",Assessment!$Z$2:$Z$121,"Validated")/COUNTIFS(Assessment!$A$2:$A$121,$E13,Assessment!$T$2:$T$121,"Yes"),0)</x:f>
        <x:v>0</x:v>
      </x:c>
      <x:c r="M13" s="42" t="n">
        <x:f>COUNTIFS(Assessment!$A$2:$A$121,$E13,Assessment!$T$2:$T$121,"Yes",Assessment!$AG$2:$AG$121,"Gap to CSA Level")</x:f>
        <x:v>11</x:v>
      </x:c>
      <x:c r="N13" s="59"/>
      <x:c r="O13" s="59"/>
      <x:c r="P13" s="59"/>
      <x:c r="Q13" s="59"/>
      <x:c r="R13" s="59"/>
      <x:c r="S13" s="59"/>
      <x:c r="T13" s="59"/>
      <x:c r="U13" s="59"/>
      <x:c r="V13" s="59"/>
      <x:c r="W13" s="59"/>
      <x:c r="X13" s="59"/>
      <x:c r="Y13" s="59"/>
      <x:c r="Z13" s="59"/>
      <x:c r="AA13" s="59"/>
      <x:c r="AB13" s="59"/>
      <x:c r="AC13" s="59"/>
      <x:c r="AD13" s="59"/>
      <x:c r="AE13" s="59"/>
      <x:c r="AF13" s="59"/>
      <x:c r="AG13" s="59"/>
      <x:c r="AH13" s="59"/>
      <x:c r="AI13" s="59"/>
      <x:c r="AJ13" s="59"/>
      <x:c r="AK13" s="59"/>
      <x:c r="AL13" s="59"/>
      <x:c r="AM13" s="59"/>
      <x:c r="AN13" s="59"/>
    </x:row>
    <x:row r="14">
      <x:c r="A14" s="21" t="str">
        <x:v>Controls with Open CSA Gap</x:v>
      </x:c>
      <x:c r="B14" s="21" t="n">
        <x:f>COUNTIF(Assessment!$AG$2:$AG$121,"Gap to CSA Level")</x:f>
        <x:v>120</x:v>
      </x:c>
      <x:c r="C14" s="21" t="str">
        <x:v>Controls not yet meeting CSA required level.</x:v>
      </x:c>
      <x:c r="D14" s="59"/>
      <x:c r="E14" s="42" t="str">
        <x:v>Risk Assessment</x:v>
      </x:c>
      <x:c r="F14" s="42" t="n">
        <x:f>COUNTIFS(Assessment!$A$2:$A$121,$E14,Assessment!$T$2:$T$121,"Yes")</x:f>
        <x:v>10</x:v>
      </x:c>
      <x:c r="G14" s="60" t="n">
        <x:f>IFERROR(SUMIFS(Assessment!$X$2:$X$121,Assessment!$A$2:$A$121,$E14,Assessment!$T$2:$T$121,"Yes")/COUNTIFS(Assessment!$A$2:$A$121,$E14,Assessment!$T$2:$T$121,"Yes"),0)</x:f>
        <x:v>0</x:v>
      </x:c>
      <x:c r="H14" s="60" t="n">
        <x:f>IFERROR(SUMIFS(Assessment!$Y$2:$Y$121,Assessment!$A$2:$A$121,$E14,Assessment!$T$2:$T$121,"Yes")/COUNTIFS(Assessment!$A$2:$A$121,$E14,Assessment!$T$2:$T$121,"Yes"),0)</x:f>
        <x:v>3.5</x:v>
      </x:c>
      <x:c r="I14" s="61" t="n">
        <x:f>IFERROR(COUNTIFS(Assessment!$A$2:$A$121,$E14,Assessment!$T$2:$T$121,"Yes",Assessment!$AG$2:$AG$121,"Meets CSA Level")/COUNTIFS(Assessment!$A$2:$A$121,$E14,Assessment!$T$2:$T$121,"Yes"),0)</x:f>
        <x:v>0</x:v>
      </x:c>
      <x:c r="J14" s="61" t="n">
        <x:f>IFERROR(COUNTIFS(Assessment!$A$2:$A$121,$E14,Assessment!$T$2:$T$121,"Yes",Assessment!$AH$2:$AH$121,"Compliant")/COUNTIFS(Assessment!$A$2:$A$121,$E14,Assessment!$T$2:$T$121,"Yes"),0)</x:f>
        <x:v>0</x:v>
      </x:c>
      <x:c r="K14" s="61" t="n">
        <x:f>IFERROR(COUNTIFS(Assessment!$A$2:$A$121,$E14,Assessment!$T$2:$T$121,"Yes",Assessment!$AI$2:$AI$121,"Compliant")/COUNTIFS(Assessment!$A$2:$A$121,$E14,Assessment!$T$2:$T$121,"Yes"),0)</x:f>
        <x:v>0</x:v>
      </x:c>
      <x:c r="L14" s="61" t="n">
        <x:f>IFERROR(COUNTIFS(Assessment!$A$2:$A$121,$E14,Assessment!$T$2:$T$121,"Yes",Assessment!$Z$2:$Z$121,"Validated")/COUNTIFS(Assessment!$A$2:$A$121,$E14,Assessment!$T$2:$T$121,"Yes"),0)</x:f>
        <x:v>0</x:v>
      </x:c>
      <x:c r="M14" s="42" t="n">
        <x:f>COUNTIFS(Assessment!$A$2:$A$121,$E14,Assessment!$T$2:$T$121,"Yes",Assessment!$AG$2:$AG$121,"Gap to CSA Level")</x:f>
        <x:v>10</x:v>
      </x:c>
      <x:c r="N14" s="59"/>
      <x:c r="O14" s="59"/>
      <x:c r="P14" s="59"/>
      <x:c r="Q14" s="59"/>
      <x:c r="R14" s="59"/>
      <x:c r="S14" s="59"/>
      <x:c r="T14" s="59"/>
      <x:c r="U14" s="59"/>
      <x:c r="V14" s="59"/>
      <x:c r="W14" s="59"/>
      <x:c r="X14" s="59"/>
      <x:c r="Y14" s="59"/>
      <x:c r="Z14" s="59"/>
      <x:c r="AA14" s="59"/>
      <x:c r="AB14" s="59"/>
      <x:c r="AC14" s="59"/>
      <x:c r="AD14" s="59"/>
      <x:c r="AE14" s="59"/>
      <x:c r="AF14" s="59"/>
      <x:c r="AG14" s="59"/>
      <x:c r="AH14" s="59"/>
      <x:c r="AI14" s="59"/>
      <x:c r="AJ14" s="59"/>
      <x:c r="AK14" s="59"/>
      <x:c r="AL14" s="59"/>
      <x:c r="AM14" s="59"/>
      <x:c r="AN14" s="59"/>
    </x:row>
    <x:row r="15">
      <x:c r="A15" s="21" t="str">
        <x:v>Last Updated</x:v>
      </x:c>
      <x:c r="B15" s="50" t="n">
        <x:f>TODAY()</x:f>
        <x:v>46155</x:v>
      </x:c>
      <x:c r="C15" s="21" t="str">
        <x:v>Dashboard calculation date.</x:v>
      </x:c>
      <x:c r="D15" s="59"/>
      <x:c r="E15" s="42" t="str">
        <x:v>Security Monitoring</x:v>
      </x:c>
      <x:c r="F15" s="42" t="n">
        <x:f>COUNTIFS(Assessment!$A$2:$A$121,$E15,Assessment!$T$2:$T$121,"Yes")</x:f>
        <x:v>9</x:v>
      </x:c>
      <x:c r="G15" s="60" t="n">
        <x:f>IFERROR(SUMIFS(Assessment!$X$2:$X$121,Assessment!$A$2:$A$121,$E15,Assessment!$T$2:$T$121,"Yes")/COUNTIFS(Assessment!$A$2:$A$121,$E15,Assessment!$T$2:$T$121,"Yes"),0)</x:f>
        <x:v>0</x:v>
      </x:c>
      <x:c r="H15" s="60" t="n">
        <x:f>IFERROR(SUMIFS(Assessment!$Y$2:$Y$121,Assessment!$A$2:$A$121,$E15,Assessment!$T$2:$T$121,"Yes")/COUNTIFS(Assessment!$A$2:$A$121,$E15,Assessment!$T$2:$T$121,"Yes"),0)</x:f>
        <x:v>3.5555555555555554</x:v>
      </x:c>
      <x:c r="I15" s="61" t="n">
        <x:f>IFERROR(COUNTIFS(Assessment!$A$2:$A$121,$E15,Assessment!$T$2:$T$121,"Yes",Assessment!$AG$2:$AG$121,"Meets CSA Level")/COUNTIFS(Assessment!$A$2:$A$121,$E15,Assessment!$T$2:$T$121,"Yes"),0)</x:f>
        <x:v>0</x:v>
      </x:c>
      <x:c r="J15" s="61" t="n">
        <x:f>IFERROR(COUNTIFS(Assessment!$A$2:$A$121,$E15,Assessment!$T$2:$T$121,"Yes",Assessment!$AH$2:$AH$121,"Compliant")/COUNTIFS(Assessment!$A$2:$A$121,$E15,Assessment!$T$2:$T$121,"Yes"),0)</x:f>
        <x:v>0</x:v>
      </x:c>
      <x:c r="K15" s="61" t="n">
        <x:f>IFERROR(COUNTIFS(Assessment!$A$2:$A$121,$E15,Assessment!$T$2:$T$121,"Yes",Assessment!$AI$2:$AI$121,"Compliant")/COUNTIFS(Assessment!$A$2:$A$121,$E15,Assessment!$T$2:$T$121,"Yes"),0)</x:f>
        <x:v>0</x:v>
      </x:c>
      <x:c r="L15" s="61" t="n">
        <x:f>IFERROR(COUNTIFS(Assessment!$A$2:$A$121,$E15,Assessment!$T$2:$T$121,"Yes",Assessment!$Z$2:$Z$121,"Validated")/COUNTIFS(Assessment!$A$2:$A$121,$E15,Assessment!$T$2:$T$121,"Yes"),0)</x:f>
        <x:v>0</x:v>
      </x:c>
      <x:c r="M15" s="42" t="n">
        <x:f>COUNTIFS(Assessment!$A$2:$A$121,$E15,Assessment!$T$2:$T$121,"Yes",Assessment!$AG$2:$AG$121,"Gap to CSA Level")</x:f>
        <x:v>9</x:v>
      </x:c>
      <x:c r="N15" s="59"/>
      <x:c r="O15" s="59"/>
      <x:c r="P15" s="59"/>
      <x:c r="Q15" s="59"/>
      <x:c r="R15" s="59"/>
      <x:c r="S15" s="59"/>
      <x:c r="T15" s="59"/>
      <x:c r="U15" s="59"/>
      <x:c r="V15" s="59"/>
      <x:c r="W15" s="59"/>
      <x:c r="X15" s="59"/>
      <x:c r="Y15" s="59"/>
      <x:c r="Z15" s="59"/>
      <x:c r="AA15" s="59"/>
      <x:c r="AB15" s="59"/>
      <x:c r="AC15" s="59"/>
      <x:c r="AD15" s="59"/>
      <x:c r="AE15" s="59"/>
      <x:c r="AF15" s="59"/>
      <x:c r="AG15" s="59"/>
      <x:c r="AH15" s="59"/>
      <x:c r="AI15" s="59"/>
      <x:c r="AJ15" s="59"/>
      <x:c r="AK15" s="59"/>
      <x:c r="AL15" s="59"/>
      <x:c r="AM15" s="59"/>
      <x:c r="AN15" s="59"/>
    </x:row>
    <x:row r="16">
      <x:c r="A16" s="59"/>
      <x:c r="B16" s="59"/>
      <x:c r="C16" s="59"/>
      <x:c r="D16" s="59"/>
      <x:c r="E16" s="59"/>
      <x:c r="F16" s="59"/>
      <x:c r="G16" s="59"/>
      <x:c r="H16" s="59"/>
      <x:c r="I16" s="59"/>
      <x:c r="J16" s="59"/>
      <x:c r="K16" s="59"/>
      <x:c r="L16" s="59"/>
      <x:c r="M16" s="59"/>
      <x:c r="N16" s="59"/>
      <x:c r="O16" s="59"/>
      <x:c r="P16" s="59"/>
      <x:c r="Q16" s="59"/>
      <x:c r="R16" s="59"/>
      <x:c r="S16" s="59"/>
      <x:c r="T16" s="59"/>
      <x:c r="U16" s="59"/>
      <x:c r="V16" s="59"/>
      <x:c r="W16" s="59"/>
      <x:c r="X16" s="59"/>
      <x:c r="Y16" s="59"/>
      <x:c r="Z16" s="59"/>
      <x:c r="AA16" s="59"/>
      <x:c r="AB16" s="59"/>
      <x:c r="AC16" s="59"/>
      <x:c r="AD16" s="59"/>
      <x:c r="AE16" s="59"/>
      <x:c r="AF16" s="59"/>
      <x:c r="AG16" s="59"/>
      <x:c r="AH16" s="59"/>
      <x:c r="AI16" s="59"/>
      <x:c r="AJ16" s="59"/>
      <x:c r="AK16" s="59"/>
      <x:c r="AL16" s="59"/>
      <x:c r="AM16" s="59"/>
      <x:c r="AN16" s="59"/>
    </x:row>
    <x:row r="17">
      <x:c r="A17" s="59"/>
      <x:c r="B17" s="59"/>
      <x:c r="C17" s="59"/>
      <x:c r="D17" s="59"/>
      <x:c r="E17" s="59"/>
      <x:c r="F17" s="59"/>
      <x:c r="G17" s="59"/>
      <x:c r="H17" s="59"/>
      <x:c r="I17" s="59"/>
      <x:c r="J17" s="59"/>
      <x:c r="K17" s="59"/>
      <x:c r="L17" s="59"/>
      <x:c r="M17" s="59"/>
      <x:c r="N17" s="59"/>
      <x:c r="O17" s="59"/>
      <x:c r="P17" s="59"/>
      <x:c r="Q17" s="59"/>
      <x:c r="R17" s="59"/>
      <x:c r="S17" s="59"/>
      <x:c r="T17" s="59"/>
      <x:c r="U17" s="59"/>
      <x:c r="V17" s="59"/>
      <x:c r="W17" s="59"/>
      <x:c r="X17" s="59"/>
      <x:c r="Y17" s="59"/>
      <x:c r="Z17" s="59"/>
      <x:c r="AA17" s="59"/>
      <x:c r="AB17" s="59"/>
      <x:c r="AC17" s="59"/>
      <x:c r="AD17" s="59"/>
      <x:c r="AE17" s="59"/>
      <x:c r="AF17" s="59"/>
      <x:c r="AG17" s="59"/>
      <x:c r="AH17" s="59"/>
      <x:c r="AI17" s="59"/>
      <x:c r="AJ17" s="59"/>
      <x:c r="AK17" s="59"/>
      <x:c r="AL17" s="59"/>
      <x:c r="AM17" s="59"/>
      <x:c r="AN17" s="59"/>
    </x:row>
    <x:row r="18">
      <x:c r="A18" s="59"/>
      <x:c r="B18" s="59"/>
      <x:c r="C18" s="59"/>
      <x:c r="D18" s="59"/>
      <x:c r="E18" s="59"/>
      <x:c r="F18" s="59"/>
      <x:c r="G18" s="59"/>
      <x:c r="H18" s="59"/>
      <x:c r="I18" s="59"/>
      <x:c r="J18" s="59"/>
      <x:c r="K18" s="59"/>
      <x:c r="L18" s="59"/>
      <x:c r="M18" s="59"/>
      <x:c r="N18" s="59"/>
      <x:c r="O18" s="59"/>
      <x:c r="P18" s="59"/>
      <x:c r="Q18" s="59"/>
      <x:c r="R18" s="59"/>
      <x:c r="S18" s="59"/>
      <x:c r="T18" s="59"/>
      <x:c r="U18" s="59"/>
      <x:c r="V18" s="59"/>
      <x:c r="W18" s="59"/>
      <x:c r="X18" s="59"/>
      <x:c r="Y18" s="59"/>
      <x:c r="Z18" s="59"/>
      <x:c r="AA18" s="59"/>
      <x:c r="AB18" s="59"/>
      <x:c r="AC18" s="59"/>
      <x:c r="AD18" s="59"/>
      <x:c r="AE18" s="59"/>
      <x:c r="AF18" s="59"/>
      <x:c r="AG18" s="59"/>
      <x:c r="AH18" s="59"/>
      <x:c r="AI18" s="59"/>
      <x:c r="AJ18" s="59"/>
      <x:c r="AK18" s="59"/>
      <x:c r="AL18" s="59"/>
      <x:c r="AM18" s="59"/>
      <x:c r="AN18" s="59"/>
    </x:row>
    <x:row r="19">
      <x:c r="A19" s="59"/>
      <x:c r="B19" s="59"/>
      <x:c r="C19" s="59"/>
      <x:c r="D19" s="59"/>
      <x:c r="E19" s="59"/>
      <x:c r="F19" s="59"/>
      <x:c r="G19" s="59"/>
      <x:c r="H19" s="59"/>
      <x:c r="I19" s="59"/>
      <x:c r="J19" s="59"/>
      <x:c r="K19" s="59"/>
      <x:c r="L19" s="59"/>
      <x:c r="M19" s="59"/>
      <x:c r="N19" s="59"/>
      <x:c r="O19" s="59"/>
      <x:c r="P19" s="59"/>
      <x:c r="Q19" s="59"/>
      <x:c r="R19" s="59"/>
      <x:c r="S19" s="59"/>
      <x:c r="T19" s="59"/>
      <x:c r="U19" s="59"/>
      <x:c r="V19" s="59"/>
      <x:c r="W19" s="59"/>
      <x:c r="X19" s="59"/>
      <x:c r="Y19" s="59"/>
      <x:c r="Z19" s="59"/>
      <x:c r="AA19" s="59"/>
      <x:c r="AB19" s="59"/>
      <x:c r="AC19" s="59"/>
      <x:c r="AD19" s="59"/>
      <x:c r="AE19" s="59"/>
      <x:c r="AF19" s="59"/>
      <x:c r="AG19" s="59"/>
      <x:c r="AH19" s="59"/>
      <x:c r="AI19" s="59"/>
      <x:c r="AJ19" s="59"/>
      <x:c r="AK19" s="59"/>
      <x:c r="AL19" s="59"/>
      <x:c r="AM19" s="59"/>
      <x:c r="AN19" s="59"/>
    </x:row>
    <x:row r="20">
      <x:c r="A20" s="59"/>
      <x:c r="B20" s="59"/>
      <x:c r="C20" s="59"/>
      <x:c r="D20" s="59"/>
      <x:c r="E20" s="59"/>
      <x:c r="F20" s="59"/>
      <x:c r="G20" s="59"/>
      <x:c r="H20" s="59"/>
      <x:c r="I20" s="59"/>
      <x:c r="J20" s="59"/>
      <x:c r="K20" s="59"/>
      <x:c r="L20" s="59"/>
      <x:c r="M20" s="59"/>
      <x:c r="N20" s="59"/>
      <x:c r="O20" s="59"/>
      <x:c r="P20" s="59"/>
      <x:c r="Q20" s="59"/>
      <x:c r="R20" s="59"/>
      <x:c r="S20" s="59"/>
      <x:c r="T20" s="59"/>
      <x:c r="U20" s="59"/>
      <x:c r="V20" s="59"/>
      <x:c r="W20" s="59"/>
      <x:c r="X20" s="59"/>
      <x:c r="Y20" s="59"/>
      <x:c r="Z20" s="59"/>
      <x:c r="AA20" s="59"/>
      <x:c r="AB20" s="59"/>
      <x:c r="AC20" s="59"/>
      <x:c r="AD20" s="59"/>
      <x:c r="AE20" s="59"/>
      <x:c r="AF20" s="59"/>
      <x:c r="AG20" s="59"/>
      <x:c r="AH20" s="59"/>
      <x:c r="AI20" s="59"/>
      <x:c r="AJ20" s="59"/>
      <x:c r="AK20" s="59"/>
      <x:c r="AL20" s="59"/>
      <x:c r="AM20" s="59"/>
      <x:c r="AN20" s="59"/>
    </x:row>
    <x:row r="21">
      <x:c r="A21" s="59"/>
      <x:c r="B21" s="59"/>
      <x:c r="C21" s="59"/>
      <x:c r="D21" s="59"/>
      <x:c r="E21" s="59"/>
      <x:c r="F21" s="59"/>
      <x:c r="G21" s="59"/>
      <x:c r="H21" s="59"/>
      <x:c r="I21" s="59"/>
      <x:c r="J21" s="59"/>
      <x:c r="K21" s="59"/>
      <x:c r="L21" s="59"/>
      <x:c r="M21" s="59"/>
      <x:c r="N21" s="59"/>
      <x:c r="O21" s="59"/>
      <x:c r="P21" s="59"/>
      <x:c r="Q21" s="59"/>
      <x:c r="R21" s="59"/>
      <x:c r="S21" s="59"/>
      <x:c r="T21" s="59"/>
      <x:c r="U21" s="59"/>
      <x:c r="V21" s="59"/>
      <x:c r="W21" s="59"/>
      <x:c r="X21" s="59"/>
      <x:c r="Y21" s="59"/>
      <x:c r="Z21" s="59"/>
      <x:c r="AA21" s="59"/>
      <x:c r="AB21" s="59"/>
      <x:c r="AC21" s="59"/>
      <x:c r="AD21" s="59"/>
      <x:c r="AE21" s="59"/>
      <x:c r="AF21" s="59"/>
      <x:c r="AG21" s="59"/>
      <x:c r="AH21" s="59"/>
      <x:c r="AI21" s="59"/>
      <x:c r="AJ21" s="59"/>
      <x:c r="AK21" s="59"/>
      <x:c r="AL21" s="59"/>
      <x:c r="AM21" s="59"/>
      <x:c r="AN21" s="59"/>
    </x:row>
    <x:row r="22">
      <x:c r="A22" s="59"/>
      <x:c r="B22" s="59"/>
      <x:c r="C22" s="59"/>
      <x:c r="D22" s="59"/>
      <x:c r="E22" s="59"/>
      <x:c r="F22" s="59"/>
      <x:c r="G22" s="59"/>
      <x:c r="H22" s="59"/>
      <x:c r="I22" s="59"/>
      <x:c r="J22" s="59"/>
      <x:c r="K22" s="59"/>
      <x:c r="L22" s="59"/>
      <x:c r="M22" s="59"/>
      <x:c r="N22" s="59"/>
      <x:c r="O22" s="59"/>
      <x:c r="P22" s="59"/>
      <x:c r="Q22" s="59"/>
      <x:c r="R22" s="59"/>
      <x:c r="S22" s="59"/>
      <x:c r="T22" s="59"/>
      <x:c r="U22" s="59"/>
      <x:c r="V22" s="59"/>
      <x:c r="W22" s="59"/>
      <x:c r="X22" s="59"/>
      <x:c r="Y22" s="59"/>
      <x:c r="Z22" s="59"/>
      <x:c r="AA22" s="59"/>
      <x:c r="AB22" s="59"/>
      <x:c r="AC22" s="59"/>
      <x:c r="AD22" s="59"/>
      <x:c r="AE22" s="59"/>
      <x:c r="AF22" s="59"/>
      <x:c r="AG22" s="59"/>
      <x:c r="AH22" s="59"/>
      <x:c r="AI22" s="59"/>
      <x:c r="AJ22" s="59"/>
      <x:c r="AK22" s="59"/>
      <x:c r="AL22" s="59"/>
      <x:c r="AM22" s="59"/>
      <x:c r="AN22" s="59"/>
    </x:row>
    <x:row r="23">
      <x:c r="A23" s="59"/>
      <x:c r="B23" s="59"/>
      <x:c r="C23" s="59"/>
      <x:c r="D23" s="59"/>
      <x:c r="E23" s="59"/>
      <x:c r="F23" s="59"/>
      <x:c r="G23" s="59"/>
      <x:c r="H23" s="59"/>
      <x:c r="I23" s="59"/>
      <x:c r="J23" s="59"/>
      <x:c r="K23" s="59"/>
      <x:c r="L23" s="59"/>
      <x:c r="M23" s="59"/>
      <x:c r="N23" s="59"/>
      <x:c r="O23" s="59"/>
      <x:c r="P23" s="59"/>
      <x:c r="Q23" s="59"/>
      <x:c r="R23" s="59"/>
      <x:c r="S23" s="59"/>
      <x:c r="T23" s="59"/>
      <x:c r="U23" s="59"/>
      <x:c r="V23" s="59"/>
      <x:c r="W23" s="59"/>
      <x:c r="X23" s="59"/>
      <x:c r="Y23" s="59"/>
      <x:c r="Z23" s="59"/>
      <x:c r="AA23" s="59"/>
      <x:c r="AB23" s="59"/>
      <x:c r="AC23" s="59"/>
      <x:c r="AD23" s="59"/>
      <x:c r="AE23" s="59"/>
      <x:c r="AF23" s="59"/>
      <x:c r="AG23" s="59"/>
      <x:c r="AH23" s="59"/>
      <x:c r="AI23" s="59"/>
      <x:c r="AJ23" s="59"/>
      <x:c r="AK23" s="59"/>
      <x:c r="AL23" s="59"/>
      <x:c r="AM23" s="59"/>
      <x:c r="AN23" s="59"/>
    </x:row>
    <x:row r="24">
      <x:c r="A24" s="59"/>
      <x:c r="B24" s="59"/>
      <x:c r="C24" s="59"/>
      <x:c r="D24" s="59"/>
      <x:c r="E24" s="59"/>
      <x:c r="F24" s="59"/>
      <x:c r="G24" s="59"/>
      <x:c r="H24" s="59"/>
      <x:c r="I24" s="59"/>
      <x:c r="J24" s="59"/>
      <x:c r="K24" s="59"/>
      <x:c r="L24" s="59"/>
      <x:c r="M24" s="59"/>
      <x:c r="N24" s="59"/>
      <x:c r="O24" s="59"/>
      <x:c r="P24" s="59"/>
      <x:c r="Q24" s="59"/>
      <x:c r="R24" s="59"/>
      <x:c r="S24" s="59"/>
      <x:c r="T24" s="59"/>
      <x:c r="U24" s="59"/>
      <x:c r="V24" s="59"/>
      <x:c r="W24" s="59"/>
      <x:c r="X24" s="59"/>
      <x:c r="Y24" s="59"/>
      <x:c r="Z24" s="59"/>
      <x:c r="AA24" s="59"/>
      <x:c r="AB24" s="59"/>
      <x:c r="AC24" s="59"/>
      <x:c r="AD24" s="59"/>
      <x:c r="AE24" s="59"/>
      <x:c r="AF24" s="59"/>
      <x:c r="AG24" s="59"/>
      <x:c r="AH24" s="59"/>
      <x:c r="AI24" s="59"/>
      <x:c r="AJ24" s="59"/>
      <x:c r="AK24" s="59"/>
      <x:c r="AL24" s="59"/>
      <x:c r="AM24" s="59"/>
      <x:c r="AN24" s="59"/>
    </x:row>
    <x:row r="25">
      <x:c r="A25" s="59"/>
      <x:c r="B25" s="59"/>
      <x:c r="C25" s="59"/>
      <x:c r="D25" s="59"/>
      <x:c r="E25" s="59"/>
      <x:c r="F25" s="59"/>
      <x:c r="G25" s="59"/>
      <x:c r="H25" s="59"/>
      <x:c r="I25" s="59"/>
      <x:c r="J25" s="59"/>
      <x:c r="K25" s="59"/>
      <x:c r="L25" s="59"/>
      <x:c r="M25" s="59"/>
      <x:c r="N25" s="59"/>
      <x:c r="O25" s="59"/>
      <x:c r="P25" s="59"/>
      <x:c r="Q25" s="59"/>
      <x:c r="R25" s="59"/>
      <x:c r="S25" s="59"/>
      <x:c r="T25" s="59"/>
      <x:c r="U25" s="59"/>
      <x:c r="V25" s="59"/>
      <x:c r="W25" s="59"/>
      <x:c r="X25" s="59"/>
      <x:c r="Y25" s="59"/>
      <x:c r="Z25" s="59"/>
      <x:c r="AA25" s="59"/>
      <x:c r="AB25" s="59"/>
      <x:c r="AC25" s="59"/>
      <x:c r="AD25" s="59"/>
      <x:c r="AE25" s="59"/>
      <x:c r="AF25" s="59"/>
      <x:c r="AG25" s="59"/>
      <x:c r="AH25" s="59"/>
      <x:c r="AI25" s="59"/>
      <x:c r="AJ25" s="59"/>
      <x:c r="AK25" s="59"/>
      <x:c r="AL25" s="59"/>
      <x:c r="AM25" s="59"/>
      <x:c r="AN25" s="59"/>
    </x:row>
    <x:row r="26">
      <x:c r="A26" s="59"/>
      <x:c r="B26" s="59"/>
      <x:c r="C26" s="59"/>
      <x:c r="D26" s="59"/>
      <x:c r="E26" s="59"/>
      <x:c r="F26" s="59"/>
      <x:c r="G26" s="59"/>
      <x:c r="H26" s="59"/>
      <x:c r="I26" s="59"/>
      <x:c r="J26" s="59"/>
      <x:c r="K26" s="59"/>
      <x:c r="L26" s="59"/>
      <x:c r="M26" s="59"/>
      <x:c r="N26" s="59"/>
      <x:c r="O26" s="59"/>
      <x:c r="P26" s="59"/>
      <x:c r="Q26" s="59"/>
      <x:c r="R26" s="59"/>
      <x:c r="S26" s="59"/>
      <x:c r="T26" s="59"/>
      <x:c r="U26" s="59"/>
      <x:c r="V26" s="59"/>
      <x:c r="W26" s="59"/>
      <x:c r="X26" s="59"/>
      <x:c r="Y26" s="59"/>
      <x:c r="Z26" s="59"/>
      <x:c r="AA26" s="59"/>
      <x:c r="AB26" s="59"/>
      <x:c r="AC26" s="59"/>
      <x:c r="AD26" s="59"/>
      <x:c r="AE26" s="59"/>
      <x:c r="AF26" s="59"/>
      <x:c r="AG26" s="59"/>
      <x:c r="AH26" s="59"/>
      <x:c r="AI26" s="59"/>
      <x:c r="AJ26" s="59"/>
      <x:c r="AK26" s="59"/>
      <x:c r="AL26" s="59"/>
      <x:c r="AM26" s="59"/>
      <x:c r="AN26" s="59"/>
    </x:row>
    <x:row r="27">
      <x:c r="A27" s="59"/>
      <x:c r="B27" s="59"/>
      <x:c r="C27" s="59"/>
      <x:c r="D27" s="59"/>
      <x:c r="E27" s="59"/>
      <x:c r="F27" s="59"/>
      <x:c r="G27" s="59"/>
      <x:c r="H27" s="59"/>
      <x:c r="I27" s="59"/>
      <x:c r="J27" s="59"/>
      <x:c r="K27" s="59"/>
      <x:c r="L27" s="59"/>
      <x:c r="M27" s="59"/>
      <x:c r="N27" s="59"/>
      <x:c r="O27" s="59"/>
      <x:c r="P27" s="59"/>
      <x:c r="Q27" s="59"/>
      <x:c r="R27" s="59"/>
      <x:c r="S27" s="59"/>
      <x:c r="T27" s="59"/>
      <x:c r="U27" s="59"/>
      <x:c r="V27" s="59"/>
      <x:c r="W27" s="59"/>
      <x:c r="X27" s="59"/>
      <x:c r="Y27" s="59"/>
      <x:c r="Z27" s="59"/>
      <x:c r="AA27" s="59"/>
      <x:c r="AB27" s="59"/>
      <x:c r="AC27" s="59"/>
      <x:c r="AD27" s="59"/>
      <x:c r="AE27" s="59"/>
      <x:c r="AF27" s="59"/>
      <x:c r="AG27" s="59"/>
      <x:c r="AH27" s="59"/>
      <x:c r="AI27" s="59"/>
      <x:c r="AJ27" s="59"/>
      <x:c r="AK27" s="59"/>
      <x:c r="AL27" s="59"/>
      <x:c r="AM27" s="59"/>
      <x:c r="AN27" s="59"/>
    </x:row>
    <x:row r="28">
      <x:c r="A28" s="59"/>
      <x:c r="B28" s="59"/>
      <x:c r="C28" s="59"/>
      <x:c r="D28" s="59"/>
      <x:c r="E28" s="59"/>
      <x:c r="F28" s="59"/>
      <x:c r="G28" s="59"/>
      <x:c r="H28" s="59"/>
      <x:c r="I28" s="59"/>
      <x:c r="J28" s="59"/>
      <x:c r="K28" s="59"/>
      <x:c r="L28" s="59"/>
      <x:c r="M28" s="59"/>
      <x:c r="N28" s="59"/>
      <x:c r="O28" s="59"/>
      <x:c r="P28" s="59"/>
      <x:c r="Q28" s="59"/>
      <x:c r="R28" s="59"/>
      <x:c r="S28" s="59"/>
      <x:c r="T28" s="59"/>
      <x:c r="U28" s="59"/>
      <x:c r="V28" s="59"/>
      <x:c r="W28" s="59"/>
      <x:c r="X28" s="59"/>
      <x:c r="Y28" s="59"/>
      <x:c r="Z28" s="59"/>
      <x:c r="AA28" s="59"/>
      <x:c r="AB28" s="59"/>
      <x:c r="AC28" s="59"/>
      <x:c r="AD28" s="59"/>
      <x:c r="AE28" s="59"/>
      <x:c r="AF28" s="59"/>
      <x:c r="AG28" s="59"/>
      <x:c r="AH28" s="59"/>
      <x:c r="AI28" s="59"/>
      <x:c r="AJ28" s="59"/>
      <x:c r="AK28" s="59"/>
      <x:c r="AL28" s="59"/>
      <x:c r="AM28" s="59"/>
      <x:c r="AN28" s="59"/>
    </x:row>
    <x:row r="29">
      <x:c r="A29" s="59"/>
      <x:c r="B29" s="59"/>
      <x:c r="C29" s="59"/>
      <x:c r="D29" s="59"/>
      <x:c r="E29" s="59"/>
      <x:c r="F29" s="59"/>
      <x:c r="G29" s="59"/>
      <x:c r="H29" s="59"/>
      <x:c r="I29" s="59"/>
      <x:c r="J29" s="59"/>
      <x:c r="K29" s="59"/>
      <x:c r="L29" s="59"/>
      <x:c r="M29" s="59"/>
      <x:c r="N29" s="59"/>
      <x:c r="O29" s="59"/>
      <x:c r="P29" s="59"/>
      <x:c r="Q29" s="59"/>
      <x:c r="R29" s="59"/>
      <x:c r="S29" s="59"/>
      <x:c r="T29" s="59"/>
      <x:c r="U29" s="59"/>
      <x:c r="V29" s="59"/>
      <x:c r="W29" s="59"/>
      <x:c r="X29" s="59"/>
      <x:c r="Y29" s="59"/>
      <x:c r="Z29" s="59"/>
      <x:c r="AA29" s="59"/>
      <x:c r="AB29" s="59"/>
      <x:c r="AC29" s="59"/>
      <x:c r="AD29" s="59"/>
      <x:c r="AE29" s="59"/>
      <x:c r="AF29" s="59"/>
      <x:c r="AG29" s="59"/>
      <x:c r="AH29" s="59"/>
      <x:c r="AI29" s="59"/>
      <x:c r="AJ29" s="59"/>
      <x:c r="AK29" s="59"/>
      <x:c r="AL29" s="59"/>
      <x:c r="AM29" s="59"/>
      <x:c r="AN29" s="59"/>
    </x:row>
    <x:row r="30">
      <x:c r="A30" s="59"/>
      <x:c r="B30" s="59"/>
      <x:c r="C30" s="59"/>
      <x:c r="D30" s="59"/>
      <x:c r="E30" s="59"/>
      <x:c r="F30" s="59"/>
      <x:c r="G30" s="59"/>
      <x:c r="H30" s="59"/>
      <x:c r="I30" s="59"/>
      <x:c r="J30" s="59"/>
      <x:c r="K30" s="59"/>
      <x:c r="L30" s="59"/>
      <x:c r="M30" s="59"/>
      <x:c r="N30" s="59"/>
      <x:c r="O30" s="59"/>
      <x:c r="P30" s="59"/>
      <x:c r="Q30" s="59"/>
      <x:c r="R30" s="59"/>
      <x:c r="S30" s="59"/>
      <x:c r="T30" s="59"/>
      <x:c r="U30" s="59"/>
      <x:c r="V30" s="59"/>
      <x:c r="W30" s="59"/>
      <x:c r="X30" s="59"/>
      <x:c r="Y30" s="59"/>
      <x:c r="Z30" s="59"/>
      <x:c r="AA30" s="59"/>
      <x:c r="AB30" s="59"/>
      <x:c r="AC30" s="59"/>
      <x:c r="AD30" s="59"/>
      <x:c r="AE30" s="59"/>
      <x:c r="AF30" s="59"/>
      <x:c r="AG30" s="59"/>
      <x:c r="AH30" s="59"/>
      <x:c r="AI30" s="59"/>
      <x:c r="AJ30" s="59"/>
      <x:c r="AK30" s="59"/>
      <x:c r="AL30" s="59"/>
      <x:c r="AM30" s="59"/>
      <x:c r="AN30" s="59"/>
    </x:row>
    <x:row r="31">
      <x:c r="A31" s="59"/>
      <x:c r="B31" s="59"/>
      <x:c r="C31" s="59"/>
      <x:c r="D31" s="59"/>
      <x:c r="E31" s="59"/>
      <x:c r="F31" s="59"/>
      <x:c r="G31" s="59"/>
      <x:c r="H31" s="59"/>
      <x:c r="I31" s="59"/>
      <x:c r="J31" s="59"/>
      <x:c r="K31" s="59"/>
      <x:c r="L31" s="59"/>
      <x:c r="M31" s="59"/>
      <x:c r="N31" s="59"/>
      <x:c r="O31" s="59"/>
      <x:c r="P31" s="59"/>
      <x:c r="Q31" s="59"/>
      <x:c r="R31" s="59"/>
      <x:c r="S31" s="59"/>
      <x:c r="T31" s="59"/>
      <x:c r="U31" s="59"/>
      <x:c r="V31" s="59"/>
      <x:c r="W31" s="59"/>
      <x:c r="X31" s="59"/>
      <x:c r="Y31" s="59"/>
      <x:c r="Z31" s="59"/>
      <x:c r="AA31" s="59"/>
      <x:c r="AB31" s="59"/>
      <x:c r="AC31" s="59"/>
      <x:c r="AD31" s="59"/>
      <x:c r="AE31" s="59"/>
      <x:c r="AF31" s="59"/>
      <x:c r="AG31" s="59"/>
      <x:c r="AH31" s="59"/>
      <x:c r="AI31" s="59"/>
      <x:c r="AJ31" s="59"/>
      <x:c r="AK31" s="59"/>
      <x:c r="AL31" s="59"/>
      <x:c r="AM31" s="59"/>
      <x:c r="AN31" s="59"/>
    </x:row>
    <x:row r="32">
      <x:c r="A32" s="59"/>
      <x:c r="B32" s="59"/>
      <x:c r="C32" s="59"/>
      <x:c r="D32" s="59"/>
      <x:c r="E32" s="59"/>
      <x:c r="F32" s="59"/>
      <x:c r="G32" s="59"/>
      <x:c r="H32" s="59"/>
      <x:c r="I32" s="59"/>
      <x:c r="J32" s="59"/>
      <x:c r="K32" s="59"/>
      <x:c r="L32" s="59"/>
      <x:c r="M32" s="59"/>
      <x:c r="N32" s="59"/>
      <x:c r="O32" s="59"/>
      <x:c r="P32" s="59"/>
      <x:c r="Q32" s="59"/>
      <x:c r="R32" s="59"/>
      <x:c r="S32" s="59"/>
      <x:c r="T32" s="59"/>
      <x:c r="U32" s="59"/>
      <x:c r="V32" s="59"/>
      <x:c r="W32" s="59"/>
      <x:c r="X32" s="59"/>
      <x:c r="Y32" s="59"/>
      <x:c r="Z32" s="59"/>
      <x:c r="AA32" s="59"/>
      <x:c r="AB32" s="59"/>
      <x:c r="AC32" s="59"/>
      <x:c r="AD32" s="59"/>
      <x:c r="AE32" s="59"/>
      <x:c r="AF32" s="59"/>
      <x:c r="AG32" s="59"/>
      <x:c r="AH32" s="59"/>
      <x:c r="AI32" s="59"/>
      <x:c r="AJ32" s="59"/>
      <x:c r="AK32" s="59"/>
      <x:c r="AL32" s="59"/>
      <x:c r="AM32" s="59"/>
      <x:c r="AN32" s="59"/>
    </x:row>
    <x:row r="33">
      <x:c r="A33" s="59"/>
      <x:c r="B33" s="59"/>
      <x:c r="C33" s="59"/>
      <x:c r="D33" s="59"/>
      <x:c r="E33" s="59"/>
      <x:c r="F33" s="59"/>
      <x:c r="G33" s="59"/>
      <x:c r="H33" s="59"/>
      <x:c r="I33" s="59"/>
      <x:c r="J33" s="59"/>
      <x:c r="K33" s="59"/>
      <x:c r="L33" s="59"/>
      <x:c r="M33" s="59"/>
      <x:c r="N33" s="59"/>
      <x:c r="O33" s="59"/>
      <x:c r="P33" s="59"/>
      <x:c r="Q33" s="59"/>
      <x:c r="R33" s="59"/>
      <x:c r="S33" s="59"/>
      <x:c r="T33" s="59"/>
      <x:c r="U33" s="59"/>
      <x:c r="V33" s="59"/>
      <x:c r="W33" s="59"/>
      <x:c r="X33" s="59"/>
      <x:c r="Y33" s="59"/>
      <x:c r="Z33" s="59"/>
      <x:c r="AA33" s="59"/>
      <x:c r="AB33" s="59"/>
      <x:c r="AC33" s="59"/>
      <x:c r="AD33" s="59"/>
      <x:c r="AE33" s="59"/>
      <x:c r="AF33" s="59"/>
      <x:c r="AG33" s="59"/>
      <x:c r="AH33" s="59"/>
      <x:c r="AI33" s="59"/>
      <x:c r="AJ33" s="59"/>
      <x:c r="AK33" s="59"/>
      <x:c r="AL33" s="59"/>
      <x:c r="AM33" s="59"/>
      <x:c r="AN33" s="59"/>
    </x:row>
    <x:row r="34">
      <x:c r="A34" s="59"/>
      <x:c r="B34" s="59"/>
      <x:c r="C34" s="59"/>
      <x:c r="D34" s="59"/>
      <x:c r="E34" s="59"/>
      <x:c r="F34" s="59"/>
      <x:c r="G34" s="59"/>
      <x:c r="H34" s="59"/>
      <x:c r="I34" s="59"/>
      <x:c r="J34" s="59"/>
      <x:c r="K34" s="59"/>
      <x:c r="L34" s="59"/>
      <x:c r="M34" s="59"/>
      <x:c r="N34" s="59"/>
      <x:c r="O34" s="59"/>
      <x:c r="P34" s="59"/>
      <x:c r="Q34" s="59"/>
      <x:c r="R34" s="59"/>
      <x:c r="S34" s="59"/>
      <x:c r="T34" s="59"/>
      <x:c r="U34" s="59"/>
      <x:c r="V34" s="59"/>
      <x:c r="W34" s="59"/>
      <x:c r="X34" s="59"/>
      <x:c r="Y34" s="59"/>
      <x:c r="Z34" s="59"/>
      <x:c r="AA34" s="59"/>
      <x:c r="AB34" s="59"/>
      <x:c r="AC34" s="59"/>
      <x:c r="AD34" s="59"/>
      <x:c r="AE34" s="59"/>
      <x:c r="AF34" s="59"/>
      <x:c r="AG34" s="59"/>
      <x:c r="AH34" s="59"/>
      <x:c r="AI34" s="59"/>
      <x:c r="AJ34" s="59"/>
      <x:c r="AK34" s="59"/>
      <x:c r="AL34" s="59"/>
      <x:c r="AM34" s="59"/>
      <x:c r="AN34" s="59"/>
    </x:row>
    <x:row r="35">
      <x:c r="A35" s="59"/>
      <x:c r="B35" s="59"/>
      <x:c r="C35" s="59"/>
      <x:c r="D35" s="59"/>
      <x:c r="E35" s="59"/>
      <x:c r="F35" s="59"/>
      <x:c r="G35" s="59"/>
      <x:c r="H35" s="59"/>
      <x:c r="I35" s="59"/>
      <x:c r="J35" s="59"/>
      <x:c r="K35" s="59"/>
      <x:c r="L35" s="59"/>
      <x:c r="M35" s="59"/>
      <x:c r="N35" s="59"/>
      <x:c r="O35" s="59"/>
      <x:c r="P35" s="59"/>
      <x:c r="Q35" s="59"/>
      <x:c r="R35" s="59"/>
      <x:c r="S35" s="59"/>
      <x:c r="T35" s="59"/>
      <x:c r="U35" s="59"/>
      <x:c r="V35" s="59"/>
      <x:c r="W35" s="59"/>
      <x:c r="X35" s="59"/>
      <x:c r="Y35" s="59"/>
      <x:c r="Z35" s="59"/>
      <x:c r="AA35" s="59"/>
      <x:c r="AB35" s="59"/>
      <x:c r="AC35" s="59"/>
      <x:c r="AD35" s="59"/>
      <x:c r="AE35" s="59"/>
      <x:c r="AF35" s="59"/>
      <x:c r="AG35" s="59"/>
      <x:c r="AH35" s="59"/>
      <x:c r="AI35" s="59"/>
      <x:c r="AJ35" s="59"/>
      <x:c r="AK35" s="59"/>
      <x:c r="AL35" s="59"/>
      <x:c r="AM35" s="59"/>
      <x:c r="AN35" s="59"/>
    </x:row>
    <x:row r="36">
      <x:c r="A36" s="59"/>
      <x:c r="B36" s="59"/>
      <x:c r="C36" s="59"/>
      <x:c r="D36" s="59"/>
      <x:c r="E36" s="59"/>
      <x:c r="F36" s="59"/>
      <x:c r="G36" s="59"/>
      <x:c r="H36" s="59"/>
      <x:c r="I36" s="59"/>
      <x:c r="J36" s="59"/>
      <x:c r="K36" s="59"/>
      <x:c r="L36" s="59"/>
      <x:c r="M36" s="59"/>
      <x:c r="N36" s="59"/>
      <x:c r="O36" s="59"/>
      <x:c r="P36" s="59"/>
      <x:c r="Q36" s="59"/>
      <x:c r="R36" s="59"/>
      <x:c r="S36" s="59"/>
      <x:c r="T36" s="59"/>
      <x:c r="U36" s="59"/>
      <x:c r="V36" s="59"/>
      <x:c r="W36" s="59"/>
      <x:c r="X36" s="59"/>
      <x:c r="Y36" s="59"/>
      <x:c r="Z36" s="59"/>
      <x:c r="AA36" s="59"/>
      <x:c r="AB36" s="59"/>
      <x:c r="AC36" s="59"/>
      <x:c r="AD36" s="59"/>
      <x:c r="AE36" s="59"/>
      <x:c r="AF36" s="59"/>
      <x:c r="AG36" s="59"/>
      <x:c r="AH36" s="59"/>
      <x:c r="AI36" s="59"/>
      <x:c r="AJ36" s="59"/>
      <x:c r="AK36" s="59"/>
      <x:c r="AL36" s="59"/>
      <x:c r="AM36" s="59"/>
      <x:c r="AN36" s="59"/>
    </x:row>
    <x:row r="37">
      <x:c r="A37" s="59"/>
      <x:c r="B37" s="59"/>
      <x:c r="C37" s="59"/>
      <x:c r="D37" s="59"/>
      <x:c r="E37" s="59"/>
      <x:c r="F37" s="59"/>
      <x:c r="G37" s="59"/>
      <x:c r="H37" s="59"/>
      <x:c r="I37" s="59"/>
      <x:c r="J37" s="59"/>
      <x:c r="K37" s="59"/>
      <x:c r="L37" s="59"/>
      <x:c r="M37" s="59"/>
      <x:c r="N37" s="59"/>
      <x:c r="O37" s="59"/>
      <x:c r="P37" s="59"/>
      <x:c r="Q37" s="59"/>
      <x:c r="R37" s="59"/>
      <x:c r="S37" s="59"/>
      <x:c r="T37" s="59"/>
      <x:c r="U37" s="59"/>
      <x:c r="V37" s="59"/>
      <x:c r="W37" s="59"/>
      <x:c r="X37" s="59"/>
      <x:c r="Y37" s="59"/>
      <x:c r="Z37" s="59"/>
      <x:c r="AA37" s="59"/>
      <x:c r="AB37" s="59"/>
      <x:c r="AC37" s="59"/>
      <x:c r="AD37" s="59"/>
      <x:c r="AE37" s="59"/>
      <x:c r="AF37" s="59"/>
      <x:c r="AG37" s="59"/>
      <x:c r="AH37" s="59"/>
      <x:c r="AI37" s="59"/>
      <x:c r="AJ37" s="59"/>
      <x:c r="AK37" s="59"/>
      <x:c r="AL37" s="59"/>
      <x:c r="AM37" s="59"/>
      <x:c r="AN37" s="59"/>
    </x:row>
    <x:row r="38">
      <x:c r="A38" s="59"/>
      <x:c r="B38" s="59"/>
      <x:c r="C38" s="59"/>
      <x:c r="D38" s="59"/>
      <x:c r="E38" s="59"/>
      <x:c r="F38" s="59"/>
      <x:c r="G38" s="59"/>
      <x:c r="H38" s="59"/>
      <x:c r="I38" s="59"/>
      <x:c r="J38" s="59"/>
      <x:c r="K38" s="59"/>
      <x:c r="L38" s="59"/>
      <x:c r="M38" s="59"/>
      <x:c r="N38" s="59"/>
      <x:c r="O38" s="59"/>
      <x:c r="P38" s="59"/>
      <x:c r="Q38" s="59"/>
      <x:c r="R38" s="59"/>
      <x:c r="S38" s="59"/>
      <x:c r="T38" s="59"/>
      <x:c r="U38" s="59"/>
      <x:c r="V38" s="59"/>
      <x:c r="W38" s="59"/>
      <x:c r="X38" s="59"/>
      <x:c r="Y38" s="59"/>
      <x:c r="Z38" s="59"/>
      <x:c r="AA38" s="59"/>
      <x:c r="AB38" s="59"/>
      <x:c r="AC38" s="59"/>
      <x:c r="AD38" s="59"/>
      <x:c r="AE38" s="59"/>
      <x:c r="AF38" s="59"/>
      <x:c r="AG38" s="59"/>
      <x:c r="AH38" s="59"/>
      <x:c r="AI38" s="59"/>
      <x:c r="AJ38" s="59"/>
      <x:c r="AK38" s="59"/>
      <x:c r="AL38" s="59"/>
      <x:c r="AM38" s="59"/>
      <x:c r="AN38" s="59"/>
    </x:row>
    <x:row r="39">
      <x:c r="A39" s="59"/>
      <x:c r="B39" s="59"/>
      <x:c r="C39" s="59"/>
      <x:c r="D39" s="59"/>
      <x:c r="E39" s="59"/>
      <x:c r="F39" s="59"/>
      <x:c r="G39" s="59"/>
      <x:c r="H39" s="59"/>
      <x:c r="I39" s="59"/>
      <x:c r="J39" s="59"/>
      <x:c r="K39" s="59"/>
      <x:c r="L39" s="59"/>
      <x:c r="M39" s="59"/>
      <x:c r="N39" s="59"/>
      <x:c r="O39" s="59"/>
      <x:c r="P39" s="59"/>
      <x:c r="Q39" s="59"/>
      <x:c r="R39" s="59"/>
      <x:c r="S39" s="59"/>
      <x:c r="T39" s="59"/>
      <x:c r="U39" s="59"/>
      <x:c r="V39" s="59"/>
      <x:c r="W39" s="59"/>
      <x:c r="X39" s="59"/>
      <x:c r="Y39" s="59"/>
      <x:c r="Z39" s="59"/>
      <x:c r="AA39" s="59"/>
      <x:c r="AB39" s="59"/>
      <x:c r="AC39" s="59"/>
      <x:c r="AD39" s="59"/>
      <x:c r="AE39" s="59"/>
      <x:c r="AF39" s="59"/>
      <x:c r="AG39" s="59"/>
      <x:c r="AH39" s="59"/>
      <x:c r="AI39" s="59"/>
      <x:c r="AJ39" s="59"/>
      <x:c r="AK39" s="59"/>
      <x:c r="AL39" s="59"/>
      <x:c r="AM39" s="59"/>
      <x:c r="AN39" s="59"/>
    </x:row>
    <x:row r="40">
      <x:c r="A40" s="59"/>
      <x:c r="B40" s="59"/>
      <x:c r="C40" s="59"/>
      <x:c r="D40" s="59"/>
      <x:c r="E40" s="59"/>
      <x:c r="F40" s="59"/>
      <x:c r="G40" s="59"/>
      <x:c r="H40" s="59"/>
      <x:c r="I40" s="59"/>
      <x:c r="J40" s="59"/>
      <x:c r="K40" s="59"/>
      <x:c r="L40" s="59"/>
      <x:c r="M40" s="59"/>
      <x:c r="N40" s="59"/>
      <x:c r="O40" s="59"/>
      <x:c r="P40" s="59"/>
      <x:c r="Q40" s="59"/>
      <x:c r="R40" s="59"/>
      <x:c r="S40" s="59"/>
      <x:c r="T40" s="59"/>
      <x:c r="U40" s="59"/>
      <x:c r="V40" s="59"/>
      <x:c r="W40" s="59"/>
      <x:c r="X40" s="59"/>
      <x:c r="Y40" s="59"/>
      <x:c r="Z40" s="59"/>
      <x:c r="AA40" s="59"/>
      <x:c r="AB40" s="59"/>
      <x:c r="AC40" s="59"/>
      <x:c r="AD40" s="59"/>
      <x:c r="AE40" s="59"/>
      <x:c r="AF40" s="59"/>
      <x:c r="AG40" s="59"/>
      <x:c r="AH40" s="59"/>
      <x:c r="AI40" s="59"/>
      <x:c r="AJ40" s="59"/>
      <x:c r="AK40" s="59"/>
      <x:c r="AL40" s="59"/>
      <x:c r="AM40" s="59"/>
      <x:c r="AN40" s="59"/>
    </x:row>
    <x:row r="41">
      <x:c r="A41" s="59"/>
      <x:c r="B41" s="59"/>
      <x:c r="C41" s="59"/>
      <x:c r="D41" s="59"/>
      <x:c r="E41" s="59"/>
      <x:c r="F41" s="59"/>
      <x:c r="G41" s="59"/>
      <x:c r="H41" s="59"/>
      <x:c r="I41" s="59"/>
      <x:c r="J41" s="59"/>
      <x:c r="K41" s="59"/>
      <x:c r="L41" s="59"/>
      <x:c r="M41" s="59"/>
      <x:c r="N41" s="59"/>
      <x:c r="O41" s="59"/>
      <x:c r="P41" s="59"/>
      <x:c r="Q41" s="59"/>
      <x:c r="R41" s="59"/>
      <x:c r="S41" s="59"/>
      <x:c r="T41" s="59"/>
      <x:c r="U41" s="59"/>
      <x:c r="V41" s="59"/>
      <x:c r="W41" s="59"/>
      <x:c r="X41" s="59"/>
      <x:c r="Y41" s="59"/>
      <x:c r="Z41" s="59"/>
      <x:c r="AA41" s="59"/>
      <x:c r="AB41" s="59"/>
      <x:c r="AC41" s="59"/>
      <x:c r="AD41" s="59"/>
      <x:c r="AE41" s="59"/>
      <x:c r="AF41" s="59"/>
      <x:c r="AG41" s="59"/>
      <x:c r="AH41" s="59"/>
      <x:c r="AI41" s="59"/>
      <x:c r="AJ41" s="59"/>
      <x:c r="AK41" s="59"/>
      <x:c r="AL41" s="59"/>
      <x:c r="AM41" s="59"/>
      <x:c r="AN41" s="59"/>
    </x:row>
    <x:row r="42">
      <x:c r="A42" s="59"/>
      <x:c r="B42" s="59"/>
      <x:c r="C42" s="59"/>
      <x:c r="D42" s="59"/>
      <x:c r="E42" s="59"/>
      <x:c r="F42" s="59"/>
      <x:c r="G42" s="59"/>
      <x:c r="H42" s="59"/>
      <x:c r="I42" s="59"/>
      <x:c r="J42" s="59"/>
      <x:c r="K42" s="59"/>
      <x:c r="L42" s="59"/>
      <x:c r="M42" s="59"/>
      <x:c r="N42" s="59"/>
      <x:c r="O42" s="59"/>
      <x:c r="P42" s="59"/>
      <x:c r="Q42" s="59"/>
      <x:c r="R42" s="59"/>
      <x:c r="S42" s="59"/>
      <x:c r="T42" s="59"/>
      <x:c r="U42" s="59"/>
      <x:c r="V42" s="59"/>
      <x:c r="W42" s="59"/>
      <x:c r="X42" s="59"/>
      <x:c r="Y42" s="59"/>
      <x:c r="Z42" s="59"/>
      <x:c r="AA42" s="59"/>
      <x:c r="AB42" s="59"/>
      <x:c r="AC42" s="59"/>
      <x:c r="AD42" s="59"/>
      <x:c r="AE42" s="59"/>
      <x:c r="AF42" s="59"/>
      <x:c r="AG42" s="59"/>
      <x:c r="AH42" s="59"/>
      <x:c r="AI42" s="59"/>
      <x:c r="AJ42" s="59"/>
      <x:c r="AK42" s="59"/>
      <x:c r="AL42" s="59"/>
      <x:c r="AM42" s="59"/>
      <x:c r="AN42" s="59"/>
    </x:row>
    <x:row r="43">
      <x:c r="A43" s="59"/>
      <x:c r="B43" s="59"/>
      <x:c r="C43" s="59"/>
      <x:c r="D43" s="59"/>
      <x:c r="E43" s="59"/>
      <x:c r="F43" s="59"/>
      <x:c r="G43" s="59"/>
      <x:c r="H43" s="59"/>
      <x:c r="I43" s="59"/>
      <x:c r="J43" s="59"/>
      <x:c r="K43" s="59"/>
      <x:c r="L43" s="59"/>
      <x:c r="M43" s="59"/>
      <x:c r="N43" s="59"/>
      <x:c r="O43" s="59"/>
      <x:c r="P43" s="59"/>
      <x:c r="Q43" s="59"/>
      <x:c r="R43" s="59"/>
      <x:c r="S43" s="59"/>
      <x:c r="T43" s="59"/>
      <x:c r="U43" s="59"/>
      <x:c r="V43" s="59"/>
      <x:c r="W43" s="59"/>
      <x:c r="X43" s="59"/>
      <x:c r="Y43" s="59"/>
      <x:c r="Z43" s="59"/>
      <x:c r="AA43" s="59"/>
      <x:c r="AB43" s="59"/>
      <x:c r="AC43" s="59"/>
      <x:c r="AD43" s="59"/>
      <x:c r="AE43" s="59"/>
      <x:c r="AF43" s="59"/>
      <x:c r="AG43" s="59"/>
      <x:c r="AH43" s="59"/>
      <x:c r="AI43" s="59"/>
      <x:c r="AJ43" s="59"/>
      <x:c r="AK43" s="59"/>
      <x:c r="AL43" s="59"/>
      <x:c r="AM43" s="59"/>
      <x:c r="AN43" s="59"/>
    </x:row>
    <x:row r="44">
      <x:c r="A44" s="59"/>
      <x:c r="B44" s="59"/>
      <x:c r="C44" s="59"/>
      <x:c r="D44" s="59"/>
      <x:c r="E44" s="59"/>
      <x:c r="F44" s="59"/>
      <x:c r="G44" s="59"/>
      <x:c r="H44" s="59"/>
      <x:c r="I44" s="59"/>
      <x:c r="J44" s="59"/>
      <x:c r="K44" s="59"/>
      <x:c r="L44" s="59"/>
      <x:c r="M44" s="59"/>
      <x:c r="N44" s="59"/>
      <x:c r="O44" s="59"/>
      <x:c r="P44" s="59"/>
      <x:c r="Q44" s="59"/>
      <x:c r="R44" s="59"/>
      <x:c r="S44" s="59"/>
      <x:c r="T44" s="59"/>
      <x:c r="U44" s="59"/>
      <x:c r="V44" s="59"/>
      <x:c r="W44" s="59"/>
      <x:c r="X44" s="59"/>
      <x:c r="Y44" s="59"/>
      <x:c r="Z44" s="59"/>
      <x:c r="AA44" s="59"/>
      <x:c r="AB44" s="59"/>
      <x:c r="AC44" s="59"/>
      <x:c r="AD44" s="59"/>
      <x:c r="AE44" s="59"/>
      <x:c r="AF44" s="59"/>
      <x:c r="AG44" s="59"/>
      <x:c r="AH44" s="59"/>
      <x:c r="AI44" s="59"/>
      <x:c r="AJ44" s="59"/>
      <x:c r="AK44" s="59"/>
      <x:c r="AL44" s="59"/>
      <x:c r="AM44" s="59"/>
      <x:c r="AN44" s="59"/>
    </x:row>
    <x:row r="45">
      <x:c r="A45" s="59"/>
      <x:c r="B45" s="59"/>
      <x:c r="C45" s="59"/>
      <x:c r="D45" s="59"/>
      <x:c r="E45" s="59"/>
      <x:c r="F45" s="59"/>
      <x:c r="G45" s="59"/>
      <x:c r="H45" s="59"/>
      <x:c r="I45" s="59"/>
      <x:c r="J45" s="59"/>
      <x:c r="K45" s="59"/>
      <x:c r="L45" s="59"/>
      <x:c r="M45" s="59"/>
      <x:c r="N45" s="59"/>
      <x:c r="O45" s="59"/>
      <x:c r="P45" s="59"/>
      <x:c r="Q45" s="59"/>
      <x:c r="R45" s="59"/>
      <x:c r="S45" s="59"/>
      <x:c r="T45" s="59"/>
      <x:c r="U45" s="59"/>
      <x:c r="V45" s="59"/>
      <x:c r="W45" s="59"/>
      <x:c r="X45" s="59"/>
      <x:c r="Y45" s="59"/>
      <x:c r="Z45" s="59"/>
      <x:c r="AA45" s="59"/>
      <x:c r="AB45" s="59"/>
      <x:c r="AC45" s="59"/>
      <x:c r="AD45" s="59"/>
      <x:c r="AE45" s="59"/>
      <x:c r="AF45" s="59"/>
      <x:c r="AG45" s="59"/>
      <x:c r="AH45" s="59"/>
      <x:c r="AI45" s="59"/>
      <x:c r="AJ45" s="59"/>
      <x:c r="AK45" s="59"/>
      <x:c r="AL45" s="59"/>
      <x:c r="AM45" s="59"/>
      <x:c r="AN45" s="59"/>
    </x:row>
    <x:row r="46">
      <x:c r="A46" s="59"/>
      <x:c r="B46" s="59"/>
      <x:c r="C46" s="59"/>
      <x:c r="D46" s="59"/>
      <x:c r="E46" s="59"/>
      <x:c r="F46" s="59"/>
      <x:c r="G46" s="59"/>
      <x:c r="H46" s="59"/>
      <x:c r="I46" s="59"/>
      <x:c r="J46" s="59"/>
      <x:c r="K46" s="59"/>
      <x:c r="L46" s="59"/>
      <x:c r="M46" s="59"/>
      <x:c r="N46" s="59"/>
      <x:c r="O46" s="59"/>
      <x:c r="P46" s="59"/>
      <x:c r="Q46" s="59"/>
      <x:c r="R46" s="59"/>
      <x:c r="S46" s="59"/>
      <x:c r="T46" s="59"/>
      <x:c r="U46" s="59"/>
      <x:c r="V46" s="59"/>
      <x:c r="W46" s="59"/>
      <x:c r="X46" s="59"/>
      <x:c r="Y46" s="59"/>
      <x:c r="Z46" s="59"/>
      <x:c r="AA46" s="59"/>
      <x:c r="AB46" s="59"/>
      <x:c r="AC46" s="59"/>
      <x:c r="AD46" s="59"/>
      <x:c r="AE46" s="59"/>
      <x:c r="AF46" s="59"/>
      <x:c r="AG46" s="59"/>
      <x:c r="AH46" s="59"/>
      <x:c r="AI46" s="59"/>
      <x:c r="AJ46" s="59"/>
      <x:c r="AK46" s="59"/>
      <x:c r="AL46" s="59"/>
      <x:c r="AM46" s="59"/>
      <x:c r="AN46" s="59"/>
    </x:row>
    <x:row r="47">
      <x:c r="A47" s="59"/>
      <x:c r="B47" s="59"/>
      <x:c r="C47" s="59"/>
      <x:c r="D47" s="59"/>
      <x:c r="E47" s="59"/>
      <x:c r="F47" s="59"/>
      <x:c r="G47" s="59"/>
      <x:c r="H47" s="59"/>
      <x:c r="I47" s="59"/>
      <x:c r="J47" s="59"/>
      <x:c r="K47" s="59"/>
      <x:c r="L47" s="59"/>
      <x:c r="M47" s="59"/>
      <x:c r="N47" s="59"/>
      <x:c r="O47" s="59"/>
      <x:c r="P47" s="59"/>
      <x:c r="Q47" s="59"/>
      <x:c r="R47" s="59"/>
      <x:c r="S47" s="59"/>
      <x:c r="T47" s="59"/>
      <x:c r="U47" s="59"/>
      <x:c r="V47" s="59"/>
      <x:c r="W47" s="59"/>
      <x:c r="X47" s="59"/>
      <x:c r="Y47" s="59"/>
      <x:c r="Z47" s="59"/>
      <x:c r="AA47" s="59"/>
      <x:c r="AB47" s="59"/>
      <x:c r="AC47" s="59"/>
      <x:c r="AD47" s="59"/>
      <x:c r="AE47" s="59"/>
      <x:c r="AF47" s="59"/>
      <x:c r="AG47" s="59"/>
      <x:c r="AH47" s="59"/>
      <x:c r="AI47" s="59"/>
      <x:c r="AJ47" s="59"/>
      <x:c r="AK47" s="59"/>
      <x:c r="AL47" s="59"/>
      <x:c r="AM47" s="59"/>
      <x:c r="AN47" s="59"/>
    </x:row>
    <x:row r="48">
      <x:c r="A48" s="59"/>
      <x:c r="B48" s="59"/>
      <x:c r="C48" s="59"/>
      <x:c r="D48" s="59"/>
      <x:c r="E48" s="59"/>
      <x:c r="F48" s="59"/>
      <x:c r="G48" s="59"/>
      <x:c r="H48" s="59"/>
      <x:c r="I48" s="59"/>
      <x:c r="J48" s="59"/>
      <x:c r="K48" s="59"/>
      <x:c r="L48" s="59"/>
      <x:c r="M48" s="59"/>
      <x:c r="N48" s="59"/>
      <x:c r="O48" s="59"/>
      <x:c r="P48" s="59"/>
      <x:c r="Q48" s="59"/>
      <x:c r="R48" s="59"/>
      <x:c r="S48" s="59"/>
      <x:c r="T48" s="59"/>
      <x:c r="U48" s="59"/>
      <x:c r="V48" s="59"/>
      <x:c r="W48" s="59"/>
      <x:c r="X48" s="59"/>
      <x:c r="Y48" s="59"/>
      <x:c r="Z48" s="59"/>
      <x:c r="AA48" s="59"/>
      <x:c r="AB48" s="59"/>
      <x:c r="AC48" s="59"/>
      <x:c r="AD48" s="59"/>
      <x:c r="AE48" s="59"/>
      <x:c r="AF48" s="59"/>
      <x:c r="AG48" s="59"/>
      <x:c r="AH48" s="59"/>
      <x:c r="AI48" s="59"/>
      <x:c r="AJ48" s="59"/>
      <x:c r="AK48" s="59"/>
      <x:c r="AL48" s="59"/>
      <x:c r="AM48" s="59"/>
      <x:c r="AN48" s="59"/>
    </x:row>
    <x:row r="49">
      <x:c r="A49" s="59"/>
      <x:c r="B49" s="59"/>
      <x:c r="C49" s="59"/>
      <x:c r="D49" s="59"/>
      <x:c r="E49" s="59"/>
      <x:c r="F49" s="59"/>
      <x:c r="G49" s="59"/>
      <x:c r="H49" s="59"/>
      <x:c r="I49" s="59"/>
      <x:c r="J49" s="59"/>
      <x:c r="K49" s="59"/>
      <x:c r="L49" s="59"/>
      <x:c r="M49" s="59"/>
      <x:c r="N49" s="59"/>
      <x:c r="O49" s="59"/>
      <x:c r="P49" s="59"/>
      <x:c r="Q49" s="59"/>
      <x:c r="R49" s="59"/>
      <x:c r="S49" s="59"/>
      <x:c r="T49" s="59"/>
      <x:c r="U49" s="59"/>
      <x:c r="V49" s="59"/>
      <x:c r="W49" s="59"/>
      <x:c r="X49" s="59"/>
      <x:c r="Y49" s="59"/>
      <x:c r="Z49" s="59"/>
      <x:c r="AA49" s="59"/>
      <x:c r="AB49" s="59"/>
      <x:c r="AC49" s="59"/>
      <x:c r="AD49" s="59"/>
      <x:c r="AE49" s="59"/>
      <x:c r="AF49" s="59"/>
      <x:c r="AG49" s="59"/>
      <x:c r="AH49" s="59"/>
      <x:c r="AI49" s="59"/>
      <x:c r="AJ49" s="59"/>
      <x:c r="AK49" s="59"/>
      <x:c r="AL49" s="59"/>
      <x:c r="AM49" s="59"/>
      <x:c r="AN49" s="59"/>
    </x:row>
    <x:row r="50">
      <x:c r="A50" s="59"/>
      <x:c r="B50" s="59"/>
      <x:c r="C50" s="59"/>
      <x:c r="D50" s="59"/>
      <x:c r="E50" s="59"/>
      <x:c r="F50" s="59"/>
      <x:c r="G50" s="59"/>
      <x:c r="H50" s="59"/>
      <x:c r="I50" s="59"/>
      <x:c r="J50" s="59"/>
      <x:c r="K50" s="59"/>
      <x:c r="L50" s="59"/>
      <x:c r="M50" s="59"/>
      <x:c r="N50" s="59"/>
      <x:c r="O50" s="59"/>
      <x:c r="P50" s="59"/>
      <x:c r="Q50" s="59"/>
      <x:c r="R50" s="59"/>
      <x:c r="S50" s="59"/>
      <x:c r="T50" s="59"/>
      <x:c r="U50" s="59"/>
      <x:c r="V50" s="59"/>
      <x:c r="W50" s="59"/>
      <x:c r="X50" s="59"/>
      <x:c r="Y50" s="59"/>
      <x:c r="Z50" s="59"/>
      <x:c r="AA50" s="59"/>
      <x:c r="AB50" s="59"/>
      <x:c r="AC50" s="59"/>
      <x:c r="AD50" s="59"/>
      <x:c r="AE50" s="59"/>
      <x:c r="AF50" s="59"/>
      <x:c r="AG50" s="59"/>
      <x:c r="AH50" s="59"/>
      <x:c r="AI50" s="59"/>
      <x:c r="AJ50" s="59"/>
      <x:c r="AK50" s="59"/>
      <x:c r="AL50" s="59"/>
      <x:c r="AM50" s="59"/>
      <x:c r="AN50" s="59"/>
    </x:row>
    <x:row r="51">
      <x:c r="A51" s="59"/>
      <x:c r="B51" s="59"/>
      <x:c r="C51" s="59"/>
      <x:c r="D51" s="59"/>
      <x:c r="E51" s="59"/>
      <x:c r="F51" s="59"/>
      <x:c r="G51" s="59"/>
      <x:c r="H51" s="59"/>
      <x:c r="I51" s="59"/>
      <x:c r="J51" s="59"/>
      <x:c r="K51" s="59"/>
      <x:c r="L51" s="59"/>
      <x:c r="M51" s="59"/>
      <x:c r="N51" s="59"/>
      <x:c r="O51" s="59"/>
      <x:c r="P51" s="59"/>
      <x:c r="Q51" s="59"/>
      <x:c r="R51" s="59"/>
      <x:c r="S51" s="59"/>
      <x:c r="T51" s="59"/>
      <x:c r="U51" s="59"/>
      <x:c r="V51" s="59"/>
      <x:c r="W51" s="59"/>
      <x:c r="X51" s="59"/>
      <x:c r="Y51" s="59"/>
      <x:c r="Z51" s="59"/>
      <x:c r="AA51" s="59"/>
      <x:c r="AB51" s="59"/>
      <x:c r="AC51" s="59"/>
      <x:c r="AD51" s="59"/>
      <x:c r="AE51" s="59"/>
      <x:c r="AF51" s="59"/>
      <x:c r="AG51" s="59"/>
      <x:c r="AH51" s="59"/>
      <x:c r="AI51" s="59"/>
      <x:c r="AJ51" s="59"/>
      <x:c r="AK51" s="59"/>
      <x:c r="AL51" s="59"/>
      <x:c r="AM51" s="59"/>
      <x:c r="AN51" s="59"/>
    </x:row>
    <x:row r="52">
      <x:c r="A52" s="59"/>
      <x:c r="B52" s="59"/>
      <x:c r="C52" s="59"/>
      <x:c r="D52" s="59"/>
      <x:c r="E52" s="59"/>
      <x:c r="F52" s="59"/>
      <x:c r="G52" s="59"/>
      <x:c r="H52" s="59"/>
      <x:c r="I52" s="59"/>
      <x:c r="J52" s="59"/>
      <x:c r="K52" s="59"/>
      <x:c r="L52" s="59"/>
      <x:c r="M52" s="59"/>
      <x:c r="N52" s="59"/>
      <x:c r="O52" s="59"/>
      <x:c r="P52" s="59"/>
      <x:c r="Q52" s="59"/>
      <x:c r="R52" s="59"/>
      <x:c r="S52" s="59"/>
      <x:c r="T52" s="59"/>
      <x:c r="U52" s="59"/>
      <x:c r="V52" s="59"/>
      <x:c r="W52" s="59"/>
      <x:c r="X52" s="59"/>
      <x:c r="Y52" s="59"/>
      <x:c r="Z52" s="59"/>
      <x:c r="AA52" s="59"/>
      <x:c r="AB52" s="59"/>
      <x:c r="AC52" s="59"/>
      <x:c r="AD52" s="59"/>
      <x:c r="AE52" s="59"/>
      <x:c r="AF52" s="59"/>
      <x:c r="AG52" s="59"/>
      <x:c r="AH52" s="59"/>
      <x:c r="AI52" s="59"/>
      <x:c r="AJ52" s="59"/>
      <x:c r="AK52" s="59"/>
      <x:c r="AL52" s="59"/>
      <x:c r="AM52" s="59"/>
      <x:c r="AN52" s="59"/>
    </x:row>
    <x:row r="53">
      <x:c r="A53" s="59"/>
      <x:c r="B53" s="59"/>
      <x:c r="C53" s="59"/>
      <x:c r="D53" s="59"/>
      <x:c r="E53" s="59"/>
      <x:c r="F53" s="59"/>
      <x:c r="G53" s="59"/>
      <x:c r="H53" s="59"/>
      <x:c r="I53" s="59"/>
      <x:c r="J53" s="59"/>
      <x:c r="K53" s="59"/>
      <x:c r="L53" s="59"/>
      <x:c r="M53" s="59"/>
      <x:c r="N53" s="59"/>
      <x:c r="O53" s="59"/>
      <x:c r="P53" s="59"/>
      <x:c r="Q53" s="59"/>
      <x:c r="R53" s="59"/>
      <x:c r="S53" s="59"/>
      <x:c r="T53" s="59"/>
      <x:c r="U53" s="59"/>
      <x:c r="V53" s="59"/>
      <x:c r="W53" s="59"/>
      <x:c r="X53" s="59"/>
      <x:c r="Y53" s="59"/>
      <x:c r="Z53" s="59"/>
      <x:c r="AA53" s="59"/>
      <x:c r="AB53" s="59"/>
      <x:c r="AC53" s="59"/>
      <x:c r="AD53" s="59"/>
      <x:c r="AE53" s="59"/>
      <x:c r="AF53" s="59"/>
      <x:c r="AG53" s="59"/>
      <x:c r="AH53" s="59"/>
      <x:c r="AI53" s="59"/>
      <x:c r="AJ53" s="59"/>
      <x:c r="AK53" s="59"/>
      <x:c r="AL53" s="59"/>
      <x:c r="AM53" s="59"/>
      <x:c r="AN53" s="59"/>
    </x:row>
    <x:row r="54">
      <x:c r="A54" s="59"/>
      <x:c r="B54" s="59"/>
      <x:c r="C54" s="59"/>
      <x:c r="D54" s="59"/>
      <x:c r="E54" s="59"/>
      <x:c r="F54" s="59"/>
      <x:c r="G54" s="59"/>
      <x:c r="H54" s="59"/>
      <x:c r="I54" s="59"/>
      <x:c r="J54" s="59"/>
      <x:c r="K54" s="59"/>
      <x:c r="L54" s="59"/>
      <x:c r="M54" s="59"/>
      <x:c r="N54" s="59"/>
      <x:c r="O54" s="59"/>
      <x:c r="P54" s="59"/>
      <x:c r="Q54" s="59"/>
      <x:c r="R54" s="59"/>
      <x:c r="S54" s="59"/>
      <x:c r="T54" s="59"/>
      <x:c r="U54" s="59"/>
      <x:c r="V54" s="59"/>
      <x:c r="W54" s="59"/>
      <x:c r="X54" s="59"/>
      <x:c r="Y54" s="59"/>
      <x:c r="Z54" s="59"/>
      <x:c r="AA54" s="59"/>
      <x:c r="AB54" s="59"/>
      <x:c r="AC54" s="59"/>
      <x:c r="AD54" s="59"/>
      <x:c r="AE54" s="59"/>
      <x:c r="AF54" s="59"/>
      <x:c r="AG54" s="59"/>
      <x:c r="AH54" s="59"/>
      <x:c r="AI54" s="59"/>
      <x:c r="AJ54" s="59"/>
      <x:c r="AK54" s="59"/>
      <x:c r="AL54" s="59"/>
      <x:c r="AM54" s="59"/>
      <x:c r="AN54" s="59"/>
    </x:row>
    <x:row r="55">
      <x:c r="A55" s="59"/>
      <x:c r="B55" s="59"/>
      <x:c r="C55" s="59"/>
      <x:c r="D55" s="59"/>
      <x:c r="E55" s="59"/>
      <x:c r="F55" s="59"/>
      <x:c r="G55" s="59"/>
      <x:c r="H55" s="59"/>
      <x:c r="I55" s="59"/>
      <x:c r="J55" s="59"/>
      <x:c r="K55" s="59"/>
      <x:c r="L55" s="59"/>
      <x:c r="M55" s="59"/>
      <x:c r="N55" s="59"/>
      <x:c r="O55" s="59"/>
      <x:c r="P55" s="59"/>
      <x:c r="Q55" s="59"/>
      <x:c r="R55" s="59"/>
      <x:c r="S55" s="59"/>
      <x:c r="T55" s="59"/>
      <x:c r="U55" s="59"/>
      <x:c r="V55" s="59"/>
      <x:c r="W55" s="59"/>
      <x:c r="X55" s="59"/>
      <x:c r="Y55" s="59"/>
      <x:c r="Z55" s="59"/>
      <x:c r="AA55" s="59"/>
      <x:c r="AB55" s="59"/>
      <x:c r="AC55" s="59"/>
      <x:c r="AD55" s="59"/>
      <x:c r="AE55" s="59"/>
      <x:c r="AF55" s="59"/>
      <x:c r="AG55" s="59"/>
      <x:c r="AH55" s="59"/>
      <x:c r="AI55" s="59"/>
      <x:c r="AJ55" s="59"/>
      <x:c r="AK55" s="59"/>
      <x:c r="AL55" s="59"/>
      <x:c r="AM55" s="59"/>
      <x:c r="AN55" s="59"/>
    </x:row>
    <x:row r="56">
      <x:c r="A56" s="59"/>
      <x:c r="B56" s="59"/>
      <x:c r="C56" s="59"/>
      <x:c r="D56" s="59"/>
      <x:c r="E56" s="59"/>
      <x:c r="F56" s="59"/>
      <x:c r="G56" s="59"/>
      <x:c r="H56" s="59"/>
      <x:c r="I56" s="59"/>
      <x:c r="J56" s="59"/>
      <x:c r="K56" s="59"/>
      <x:c r="L56" s="59"/>
      <x:c r="M56" s="59"/>
      <x:c r="N56" s="59"/>
      <x:c r="O56" s="59"/>
      <x:c r="P56" s="59"/>
      <x:c r="Q56" s="59"/>
      <x:c r="R56" s="59"/>
      <x:c r="S56" s="59"/>
      <x:c r="T56" s="59"/>
      <x:c r="U56" s="59"/>
      <x:c r="V56" s="59"/>
      <x:c r="W56" s="59"/>
      <x:c r="X56" s="59"/>
      <x:c r="Y56" s="59"/>
      <x:c r="Z56" s="59"/>
      <x:c r="AA56" s="59"/>
      <x:c r="AB56" s="59"/>
      <x:c r="AC56" s="59"/>
      <x:c r="AD56" s="59"/>
      <x:c r="AE56" s="59"/>
      <x:c r="AF56" s="59"/>
      <x:c r="AG56" s="59"/>
      <x:c r="AH56" s="59"/>
      <x:c r="AI56" s="59"/>
      <x:c r="AJ56" s="59"/>
      <x:c r="AK56" s="59"/>
      <x:c r="AL56" s="59"/>
      <x:c r="AM56" s="59"/>
      <x:c r="AN56" s="59"/>
    </x:row>
    <x:row r="57">
      <x:c r="A57" s="59"/>
      <x:c r="B57" s="59"/>
      <x:c r="C57" s="59"/>
      <x:c r="D57" s="59"/>
      <x:c r="E57" s="59"/>
      <x:c r="F57" s="59"/>
      <x:c r="G57" s="59"/>
      <x:c r="H57" s="59"/>
      <x:c r="I57" s="59"/>
      <x:c r="J57" s="59"/>
      <x:c r="K57" s="59"/>
      <x:c r="L57" s="59"/>
      <x:c r="M57" s="59"/>
      <x:c r="N57" s="59"/>
      <x:c r="O57" s="59"/>
      <x:c r="P57" s="59"/>
      <x:c r="Q57" s="59"/>
      <x:c r="R57" s="59"/>
      <x:c r="S57" s="59"/>
      <x:c r="T57" s="59"/>
      <x:c r="U57" s="59"/>
      <x:c r="V57" s="59"/>
      <x:c r="W57" s="59"/>
      <x:c r="X57" s="59"/>
      <x:c r="Y57" s="59"/>
      <x:c r="Z57" s="59"/>
      <x:c r="AA57" s="59"/>
      <x:c r="AB57" s="59"/>
      <x:c r="AC57" s="59"/>
      <x:c r="AD57" s="59"/>
      <x:c r="AE57" s="59"/>
      <x:c r="AF57" s="59"/>
      <x:c r="AG57" s="59"/>
      <x:c r="AH57" s="59"/>
      <x:c r="AI57" s="59"/>
      <x:c r="AJ57" s="59"/>
      <x:c r="AK57" s="59"/>
      <x:c r="AL57" s="59"/>
      <x:c r="AM57" s="59"/>
      <x:c r="AN57" s="59"/>
    </x:row>
    <x:row r="58">
      <x:c r="A58" s="59"/>
      <x:c r="B58" s="59"/>
      <x:c r="C58" s="59"/>
      <x:c r="D58" s="59"/>
      <x:c r="E58" s="59"/>
      <x:c r="F58" s="59"/>
      <x:c r="G58" s="59"/>
      <x:c r="H58" s="59"/>
      <x:c r="I58" s="59"/>
      <x:c r="J58" s="59"/>
      <x:c r="K58" s="59"/>
      <x:c r="L58" s="59"/>
      <x:c r="M58" s="59"/>
      <x:c r="N58" s="59"/>
      <x:c r="O58" s="59"/>
      <x:c r="P58" s="59"/>
      <x:c r="Q58" s="59"/>
      <x:c r="R58" s="59"/>
      <x:c r="S58" s="59"/>
      <x:c r="T58" s="59"/>
      <x:c r="U58" s="59"/>
      <x:c r="V58" s="59"/>
      <x:c r="W58" s="59"/>
      <x:c r="X58" s="59"/>
      <x:c r="Y58" s="59"/>
      <x:c r="Z58" s="59"/>
      <x:c r="AA58" s="59"/>
      <x:c r="AB58" s="59"/>
      <x:c r="AC58" s="59"/>
      <x:c r="AD58" s="59"/>
      <x:c r="AE58" s="59"/>
      <x:c r="AF58" s="59"/>
      <x:c r="AG58" s="59"/>
      <x:c r="AH58" s="59"/>
      <x:c r="AI58" s="59"/>
      <x:c r="AJ58" s="59"/>
      <x:c r="AK58" s="59"/>
      <x:c r="AL58" s="59"/>
      <x:c r="AM58" s="59"/>
      <x:c r="AN58" s="59"/>
    </x:row>
    <x:row r="59">
      <x:c r="A59" s="59"/>
      <x:c r="B59" s="59"/>
      <x:c r="C59" s="59"/>
      <x:c r="D59" s="59"/>
      <x:c r="E59" s="59"/>
      <x:c r="F59" s="59"/>
      <x:c r="G59" s="59"/>
      <x:c r="H59" s="59"/>
      <x:c r="I59" s="59"/>
      <x:c r="J59" s="59"/>
      <x:c r="K59" s="59"/>
      <x:c r="L59" s="59"/>
      <x:c r="M59" s="59"/>
      <x:c r="N59" s="59"/>
      <x:c r="O59" s="59"/>
      <x:c r="P59" s="59"/>
      <x:c r="Q59" s="59"/>
      <x:c r="R59" s="59"/>
      <x:c r="S59" s="59"/>
      <x:c r="T59" s="59"/>
      <x:c r="U59" s="59"/>
      <x:c r="V59" s="59"/>
      <x:c r="W59" s="59"/>
      <x:c r="X59" s="59"/>
      <x:c r="Y59" s="59"/>
      <x:c r="Z59" s="59"/>
      <x:c r="AA59" s="59"/>
      <x:c r="AB59" s="59"/>
      <x:c r="AC59" s="59"/>
      <x:c r="AD59" s="59"/>
      <x:c r="AE59" s="59"/>
      <x:c r="AF59" s="59"/>
      <x:c r="AG59" s="59"/>
      <x:c r="AH59" s="59"/>
      <x:c r="AI59" s="59"/>
      <x:c r="AJ59" s="59"/>
      <x:c r="AK59" s="59"/>
      <x:c r="AL59" s="59"/>
      <x:c r="AM59" s="59"/>
      <x:c r="AN59" s="59"/>
    </x:row>
    <x:row r="60">
      <x:c r="A60" s="59"/>
      <x:c r="B60" s="59"/>
      <x:c r="C60" s="59"/>
      <x:c r="D60" s="59"/>
      <x:c r="E60" s="59"/>
      <x:c r="F60" s="59"/>
      <x:c r="G60" s="59"/>
      <x:c r="H60" s="59"/>
      <x:c r="I60" s="59"/>
      <x:c r="J60" s="59"/>
      <x:c r="K60" s="59"/>
      <x:c r="L60" s="59"/>
      <x:c r="M60" s="59"/>
      <x:c r="N60" s="59"/>
      <x:c r="O60" s="59"/>
      <x:c r="P60" s="59"/>
      <x:c r="Q60" s="59"/>
      <x:c r="R60" s="59"/>
      <x:c r="S60" s="59"/>
      <x:c r="T60" s="59"/>
      <x:c r="U60" s="59"/>
      <x:c r="V60" s="59"/>
      <x:c r="W60" s="59"/>
      <x:c r="X60" s="59"/>
      <x:c r="Y60" s="59"/>
      <x:c r="Z60" s="59"/>
      <x:c r="AA60" s="59"/>
      <x:c r="AB60" s="59"/>
      <x:c r="AC60" s="59"/>
      <x:c r="AD60" s="59"/>
      <x:c r="AE60" s="59"/>
      <x:c r="AF60" s="59"/>
      <x:c r="AG60" s="59"/>
      <x:c r="AH60" s="59"/>
      <x:c r="AI60" s="59"/>
      <x:c r="AJ60" s="59"/>
      <x:c r="AK60" s="59"/>
      <x:c r="AL60" s="59"/>
      <x:c r="AM60" s="59"/>
      <x:c r="AN60" s="59"/>
    </x:row>
    <x:row r="61">
      <x:c r="A61" s="59"/>
      <x:c r="B61" s="59"/>
      <x:c r="C61" s="59"/>
      <x:c r="D61" s="59"/>
      <x:c r="E61" s="59"/>
      <x:c r="F61" s="59"/>
      <x:c r="G61" s="59"/>
      <x:c r="H61" s="59"/>
      <x:c r="I61" s="59"/>
      <x:c r="J61" s="59"/>
      <x:c r="K61" s="59"/>
      <x:c r="L61" s="59"/>
      <x:c r="M61" s="59"/>
      <x:c r="N61" s="59"/>
      <x:c r="O61" s="59"/>
      <x:c r="P61" s="59"/>
      <x:c r="Q61" s="59"/>
      <x:c r="R61" s="59"/>
      <x:c r="S61" s="59"/>
      <x:c r="T61" s="59"/>
      <x:c r="U61" s="59"/>
      <x:c r="V61" s="59"/>
      <x:c r="W61" s="59"/>
      <x:c r="X61" s="59"/>
      <x:c r="Y61" s="59"/>
      <x:c r="Z61" s="59"/>
      <x:c r="AA61" s="59"/>
      <x:c r="AB61" s="59"/>
      <x:c r="AC61" s="59"/>
      <x:c r="AD61" s="59"/>
      <x:c r="AE61" s="59"/>
      <x:c r="AF61" s="59"/>
      <x:c r="AG61" s="59"/>
      <x:c r="AH61" s="59"/>
      <x:c r="AI61" s="59"/>
      <x:c r="AJ61" s="59"/>
      <x:c r="AK61" s="59"/>
      <x:c r="AL61" s="59"/>
      <x:c r="AM61" s="59"/>
      <x:c r="AN61" s="59"/>
    </x:row>
    <x:row r="62">
      <x:c r="A62" s="59"/>
      <x:c r="B62" s="59"/>
      <x:c r="C62" s="59"/>
      <x:c r="D62" s="59"/>
      <x:c r="E62" s="59"/>
      <x:c r="F62" s="59"/>
      <x:c r="G62" s="59"/>
      <x:c r="H62" s="59"/>
      <x:c r="I62" s="59"/>
      <x:c r="J62" s="59"/>
      <x:c r="K62" s="59"/>
      <x:c r="L62" s="59"/>
      <x:c r="M62" s="59"/>
      <x:c r="N62" s="59"/>
      <x:c r="O62" s="59"/>
      <x:c r="P62" s="59"/>
      <x:c r="Q62" s="59"/>
      <x:c r="R62" s="59"/>
      <x:c r="S62" s="59"/>
      <x:c r="T62" s="59"/>
      <x:c r="U62" s="59"/>
      <x:c r="V62" s="59"/>
      <x:c r="W62" s="59"/>
      <x:c r="X62" s="59"/>
      <x:c r="Y62" s="59"/>
      <x:c r="Z62" s="59"/>
      <x:c r="AA62" s="59"/>
      <x:c r="AB62" s="59"/>
      <x:c r="AC62" s="59"/>
      <x:c r="AD62" s="59"/>
      <x:c r="AE62" s="59"/>
      <x:c r="AF62" s="59"/>
      <x:c r="AG62" s="59"/>
      <x:c r="AH62" s="59"/>
      <x:c r="AI62" s="59"/>
      <x:c r="AJ62" s="59"/>
      <x:c r="AK62" s="59"/>
      <x:c r="AL62" s="59"/>
      <x:c r="AM62" s="59"/>
      <x:c r="AN62" s="59"/>
    </x:row>
    <x:row r="63">
      <x:c r="A63" s="59"/>
      <x:c r="B63" s="59"/>
      <x:c r="C63" s="59"/>
      <x:c r="D63" s="59"/>
      <x:c r="E63" s="59"/>
      <x:c r="F63" s="59"/>
      <x:c r="G63" s="59"/>
      <x:c r="H63" s="59"/>
      <x:c r="I63" s="59"/>
      <x:c r="J63" s="59"/>
      <x:c r="K63" s="59"/>
      <x:c r="L63" s="59"/>
      <x:c r="M63" s="59"/>
      <x:c r="N63" s="59"/>
      <x:c r="O63" s="59"/>
      <x:c r="P63" s="59"/>
      <x:c r="Q63" s="59"/>
      <x:c r="R63" s="59"/>
      <x:c r="S63" s="59"/>
      <x:c r="T63" s="59"/>
      <x:c r="U63" s="59"/>
      <x:c r="V63" s="59"/>
      <x:c r="W63" s="59"/>
      <x:c r="X63" s="59"/>
      <x:c r="Y63" s="59"/>
      <x:c r="Z63" s="59"/>
      <x:c r="AA63" s="59"/>
      <x:c r="AB63" s="59"/>
      <x:c r="AC63" s="59"/>
      <x:c r="AD63" s="59"/>
      <x:c r="AE63" s="59"/>
      <x:c r="AF63" s="59"/>
      <x:c r="AG63" s="59"/>
      <x:c r="AH63" s="59"/>
      <x:c r="AI63" s="59"/>
      <x:c r="AJ63" s="59"/>
      <x:c r="AK63" s="59"/>
      <x:c r="AL63" s="59"/>
      <x:c r="AM63" s="59"/>
      <x:c r="AN63" s="59"/>
    </x:row>
    <x:row r="64">
      <x:c r="A64" s="59"/>
      <x:c r="B64" s="59"/>
      <x:c r="C64" s="59"/>
      <x:c r="D64" s="59"/>
      <x:c r="E64" s="59"/>
      <x:c r="F64" s="59"/>
      <x:c r="G64" s="59"/>
      <x:c r="H64" s="59"/>
      <x:c r="I64" s="59"/>
      <x:c r="J64" s="59"/>
      <x:c r="K64" s="59"/>
      <x:c r="L64" s="59"/>
      <x:c r="M64" s="59"/>
      <x:c r="N64" s="59"/>
      <x:c r="O64" s="59"/>
      <x:c r="P64" s="59"/>
      <x:c r="Q64" s="59"/>
      <x:c r="R64" s="59"/>
      <x:c r="S64" s="59"/>
      <x:c r="T64" s="59"/>
      <x:c r="U64" s="59"/>
      <x:c r="V64" s="59"/>
      <x:c r="W64" s="59"/>
      <x:c r="X64" s="59"/>
      <x:c r="Y64" s="59"/>
      <x:c r="Z64" s="59"/>
      <x:c r="AA64" s="59"/>
      <x:c r="AB64" s="59"/>
      <x:c r="AC64" s="59"/>
      <x:c r="AD64" s="59"/>
      <x:c r="AE64" s="59"/>
      <x:c r="AF64" s="59"/>
      <x:c r="AG64" s="59"/>
      <x:c r="AH64" s="59"/>
      <x:c r="AI64" s="59"/>
      <x:c r="AJ64" s="59"/>
      <x:c r="AK64" s="59"/>
      <x:c r="AL64" s="59"/>
      <x:c r="AM64" s="59"/>
      <x:c r="AN64" s="59"/>
    </x:row>
    <x:row r="65">
      <x:c r="A65" s="59"/>
      <x:c r="B65" s="59"/>
      <x:c r="C65" s="59"/>
      <x:c r="D65" s="59"/>
      <x:c r="E65" s="59"/>
      <x:c r="F65" s="59"/>
      <x:c r="G65" s="59"/>
      <x:c r="H65" s="59"/>
      <x:c r="I65" s="59"/>
      <x:c r="J65" s="59"/>
      <x:c r="K65" s="59"/>
      <x:c r="L65" s="59"/>
      <x:c r="M65" s="59"/>
      <x:c r="N65" s="59"/>
      <x:c r="O65" s="59"/>
      <x:c r="P65" s="59"/>
      <x:c r="Q65" s="59"/>
      <x:c r="R65" s="59"/>
      <x:c r="S65" s="59"/>
      <x:c r="T65" s="59"/>
      <x:c r="U65" s="59"/>
      <x:c r="V65" s="59"/>
      <x:c r="W65" s="59"/>
      <x:c r="X65" s="59"/>
      <x:c r="Y65" s="59"/>
      <x:c r="Z65" s="59"/>
      <x:c r="AA65" s="59"/>
      <x:c r="AB65" s="59"/>
      <x:c r="AC65" s="59"/>
      <x:c r="AD65" s="59"/>
      <x:c r="AE65" s="59"/>
      <x:c r="AF65" s="59"/>
      <x:c r="AG65" s="59"/>
      <x:c r="AH65" s="59"/>
      <x:c r="AI65" s="59"/>
      <x:c r="AJ65" s="59"/>
      <x:c r="AK65" s="59"/>
      <x:c r="AL65" s="59"/>
      <x:c r="AM65" s="59"/>
      <x:c r="AN65" s="59"/>
    </x:row>
    <x:row r="66">
      <x:c r="A66" s="59"/>
      <x:c r="B66" s="59"/>
      <x:c r="C66" s="59"/>
      <x:c r="D66" s="59"/>
      <x:c r="E66" s="59"/>
      <x:c r="F66" s="59"/>
      <x:c r="G66" s="59"/>
      <x:c r="H66" s="59"/>
      <x:c r="I66" s="59"/>
      <x:c r="J66" s="59"/>
      <x:c r="K66" s="59"/>
      <x:c r="L66" s="59"/>
      <x:c r="M66" s="59"/>
      <x:c r="N66" s="59"/>
      <x:c r="O66" s="59"/>
      <x:c r="P66" s="59"/>
      <x:c r="Q66" s="59"/>
      <x:c r="R66" s="59"/>
      <x:c r="S66" s="59"/>
      <x:c r="T66" s="59"/>
      <x:c r="U66" s="59"/>
      <x:c r="V66" s="59"/>
      <x:c r="W66" s="59"/>
      <x:c r="X66" s="59"/>
      <x:c r="Y66" s="59"/>
      <x:c r="Z66" s="59"/>
      <x:c r="AA66" s="59"/>
      <x:c r="AB66" s="59"/>
      <x:c r="AC66" s="59"/>
      <x:c r="AD66" s="59"/>
      <x:c r="AE66" s="59"/>
      <x:c r="AF66" s="59"/>
      <x:c r="AG66" s="59"/>
      <x:c r="AH66" s="59"/>
      <x:c r="AI66" s="59"/>
      <x:c r="AJ66" s="59"/>
      <x:c r="AK66" s="59"/>
      <x:c r="AL66" s="59"/>
      <x:c r="AM66" s="59"/>
      <x:c r="AN66" s="59"/>
    </x:row>
    <x:row r="67">
      <x:c r="A67" s="59"/>
      <x:c r="B67" s="59"/>
      <x:c r="C67" s="59"/>
      <x:c r="D67" s="59"/>
      <x:c r="E67" s="59"/>
      <x:c r="F67" s="59"/>
      <x:c r="G67" s="59"/>
      <x:c r="H67" s="59"/>
      <x:c r="I67" s="59"/>
      <x:c r="J67" s="59"/>
      <x:c r="K67" s="59"/>
      <x:c r="L67" s="59"/>
      <x:c r="M67" s="59"/>
      <x:c r="N67" s="59"/>
      <x:c r="O67" s="59"/>
      <x:c r="P67" s="59"/>
      <x:c r="Q67" s="59"/>
      <x:c r="R67" s="59"/>
      <x:c r="S67" s="59"/>
      <x:c r="T67" s="59"/>
      <x:c r="U67" s="59"/>
      <x:c r="V67" s="59"/>
      <x:c r="W67" s="59"/>
      <x:c r="X67" s="59"/>
      <x:c r="Y67" s="59"/>
      <x:c r="Z67" s="59"/>
      <x:c r="AA67" s="59"/>
      <x:c r="AB67" s="59"/>
      <x:c r="AC67" s="59"/>
      <x:c r="AD67" s="59"/>
      <x:c r="AE67" s="59"/>
      <x:c r="AF67" s="59"/>
      <x:c r="AG67" s="59"/>
      <x:c r="AH67" s="59"/>
      <x:c r="AI67" s="59"/>
      <x:c r="AJ67" s="59"/>
      <x:c r="AK67" s="59"/>
      <x:c r="AL67" s="59"/>
      <x:c r="AM67" s="59"/>
      <x:c r="AN67" s="59"/>
    </x:row>
    <x:row r="68">
      <x:c r="A68" s="59"/>
      <x:c r="B68" s="59"/>
      <x:c r="C68" s="59"/>
      <x:c r="D68" s="59"/>
      <x:c r="E68" s="59"/>
      <x:c r="F68" s="59"/>
      <x:c r="G68" s="59"/>
      <x:c r="H68" s="59"/>
      <x:c r="I68" s="59"/>
      <x:c r="J68" s="59"/>
      <x:c r="K68" s="59"/>
      <x:c r="L68" s="59"/>
      <x:c r="M68" s="59"/>
      <x:c r="N68" s="59"/>
      <x:c r="O68" s="59"/>
      <x:c r="P68" s="59"/>
      <x:c r="Q68" s="59"/>
      <x:c r="R68" s="59"/>
      <x:c r="S68" s="59"/>
      <x:c r="T68" s="59"/>
      <x:c r="U68" s="59"/>
      <x:c r="V68" s="59"/>
      <x:c r="W68" s="59"/>
      <x:c r="X68" s="59"/>
      <x:c r="Y68" s="59"/>
      <x:c r="Z68" s="59"/>
      <x:c r="AA68" s="59"/>
      <x:c r="AB68" s="59"/>
      <x:c r="AC68" s="59"/>
      <x:c r="AD68" s="59"/>
      <x:c r="AE68" s="59"/>
      <x:c r="AF68" s="59"/>
      <x:c r="AG68" s="59"/>
      <x:c r="AH68" s="59"/>
      <x:c r="AI68" s="59"/>
      <x:c r="AJ68" s="59"/>
      <x:c r="AK68" s="59"/>
      <x:c r="AL68" s="59"/>
      <x:c r="AM68" s="59"/>
      <x:c r="AN68" s="59"/>
    </x:row>
    <x:row r="69">
      <x:c r="A69" s="59"/>
      <x:c r="B69" s="59"/>
      <x:c r="C69" s="59"/>
      <x:c r="D69" s="59"/>
      <x:c r="E69" s="59"/>
      <x:c r="F69" s="59"/>
      <x:c r="G69" s="59"/>
      <x:c r="H69" s="59"/>
      <x:c r="I69" s="59"/>
      <x:c r="J69" s="59"/>
      <x:c r="K69" s="59"/>
      <x:c r="L69" s="59"/>
      <x:c r="M69" s="59"/>
      <x:c r="N69" s="59"/>
      <x:c r="O69" s="59"/>
      <x:c r="P69" s="59"/>
      <x:c r="Q69" s="59"/>
      <x:c r="R69" s="59"/>
      <x:c r="S69" s="59"/>
      <x:c r="T69" s="59"/>
      <x:c r="U69" s="59"/>
      <x:c r="V69" s="59"/>
      <x:c r="W69" s="59"/>
      <x:c r="X69" s="59"/>
      <x:c r="Y69" s="59"/>
      <x:c r="Z69" s="59"/>
      <x:c r="AA69" s="59"/>
      <x:c r="AB69" s="59"/>
      <x:c r="AC69" s="59"/>
      <x:c r="AD69" s="59"/>
      <x:c r="AE69" s="59"/>
      <x:c r="AF69" s="59"/>
      <x:c r="AG69" s="59"/>
      <x:c r="AH69" s="59"/>
      <x:c r="AI69" s="59"/>
      <x:c r="AJ69" s="59"/>
      <x:c r="AK69" s="59"/>
      <x:c r="AL69" s="59"/>
      <x:c r="AM69" s="59"/>
      <x:c r="AN69" s="59"/>
    </x:row>
    <x:row r="70">
      <x:c r="A70" s="59"/>
      <x:c r="B70" s="59"/>
      <x:c r="C70" s="59"/>
      <x:c r="D70" s="59"/>
      <x:c r="E70" s="59"/>
      <x:c r="F70" s="59"/>
      <x:c r="G70" s="59"/>
      <x:c r="H70" s="59"/>
      <x:c r="I70" s="59"/>
      <x:c r="J70" s="59"/>
      <x:c r="K70" s="59"/>
      <x:c r="L70" s="59"/>
      <x:c r="M70" s="59"/>
      <x:c r="N70" s="59"/>
      <x:c r="O70" s="59"/>
      <x:c r="P70" s="59"/>
      <x:c r="Q70" s="59"/>
      <x:c r="R70" s="59"/>
      <x:c r="S70" s="59"/>
      <x:c r="T70" s="59"/>
      <x:c r="U70" s="59"/>
      <x:c r="V70" s="59"/>
      <x:c r="W70" s="59"/>
      <x:c r="X70" s="59"/>
      <x:c r="Y70" s="59"/>
      <x:c r="Z70" s="59"/>
      <x:c r="AA70" s="59"/>
      <x:c r="AB70" s="59"/>
      <x:c r="AC70" s="59"/>
      <x:c r="AD70" s="59"/>
      <x:c r="AE70" s="59"/>
      <x:c r="AF70" s="59"/>
      <x:c r="AG70" s="59"/>
      <x:c r="AH70" s="59"/>
      <x:c r="AI70" s="59"/>
      <x:c r="AJ70" s="59"/>
      <x:c r="AK70" s="59"/>
      <x:c r="AL70" s="59"/>
      <x:c r="AM70" s="59"/>
      <x:c r="AN70" s="59"/>
    </x:row>
    <x:row r="71">
      <x:c r="A71" s="59"/>
      <x:c r="B71" s="59"/>
      <x:c r="C71" s="59"/>
      <x:c r="D71" s="59"/>
      <x:c r="E71" s="59"/>
      <x:c r="F71" s="59"/>
      <x:c r="G71" s="59"/>
      <x:c r="H71" s="59"/>
      <x:c r="I71" s="59"/>
      <x:c r="J71" s="59"/>
      <x:c r="K71" s="59"/>
      <x:c r="L71" s="59"/>
      <x:c r="M71" s="59"/>
      <x:c r="N71" s="59"/>
      <x:c r="O71" s="59"/>
      <x:c r="P71" s="59"/>
      <x:c r="Q71" s="59"/>
      <x:c r="R71" s="59"/>
      <x:c r="S71" s="59"/>
      <x:c r="T71" s="59"/>
      <x:c r="U71" s="59"/>
      <x:c r="V71" s="59"/>
      <x:c r="W71" s="59"/>
      <x:c r="X71" s="59"/>
      <x:c r="Y71" s="59"/>
      <x:c r="Z71" s="59"/>
      <x:c r="AA71" s="59"/>
      <x:c r="AB71" s="59"/>
      <x:c r="AC71" s="59"/>
      <x:c r="AD71" s="59"/>
      <x:c r="AE71" s="59"/>
      <x:c r="AF71" s="59"/>
      <x:c r="AG71" s="59"/>
      <x:c r="AH71" s="59"/>
      <x:c r="AI71" s="59"/>
      <x:c r="AJ71" s="59"/>
      <x:c r="AK71" s="59"/>
      <x:c r="AL71" s="59"/>
      <x:c r="AM71" s="59"/>
      <x:c r="AN71" s="59"/>
    </x:row>
    <x:row r="72">
      <x:c r="A72" s="59"/>
      <x:c r="B72" s="59"/>
      <x:c r="C72" s="59"/>
      <x:c r="D72" s="59"/>
      <x:c r="E72" s="59"/>
      <x:c r="F72" s="59"/>
      <x:c r="G72" s="59"/>
      <x:c r="H72" s="59"/>
      <x:c r="I72" s="59"/>
      <x:c r="J72" s="59"/>
      <x:c r="K72" s="59"/>
      <x:c r="L72" s="59"/>
      <x:c r="M72" s="59"/>
      <x:c r="N72" s="59"/>
      <x:c r="O72" s="59"/>
      <x:c r="P72" s="59"/>
      <x:c r="Q72" s="59"/>
      <x:c r="R72" s="59"/>
      <x:c r="S72" s="59"/>
      <x:c r="T72" s="59"/>
      <x:c r="U72" s="59"/>
      <x:c r="V72" s="59"/>
      <x:c r="W72" s="59"/>
      <x:c r="X72" s="59"/>
      <x:c r="Y72" s="59"/>
      <x:c r="Z72" s="59"/>
      <x:c r="AA72" s="59"/>
      <x:c r="AB72" s="59"/>
      <x:c r="AC72" s="59"/>
      <x:c r="AD72" s="59"/>
      <x:c r="AE72" s="59"/>
      <x:c r="AF72" s="59"/>
      <x:c r="AG72" s="59"/>
      <x:c r="AH72" s="59"/>
      <x:c r="AI72" s="59"/>
      <x:c r="AJ72" s="59"/>
      <x:c r="AK72" s="59"/>
      <x:c r="AL72" s="59"/>
      <x:c r="AM72" s="59"/>
      <x:c r="AN72" s="59"/>
    </x:row>
    <x:row r="73">
      <x:c r="A73" s="59"/>
      <x:c r="B73" s="59"/>
      <x:c r="C73" s="59"/>
      <x:c r="D73" s="59"/>
      <x:c r="E73" s="59"/>
      <x:c r="F73" s="59"/>
      <x:c r="G73" s="59"/>
      <x:c r="H73" s="59"/>
      <x:c r="I73" s="59"/>
      <x:c r="J73" s="59"/>
      <x:c r="K73" s="59"/>
      <x:c r="L73" s="59"/>
      <x:c r="M73" s="59"/>
      <x:c r="N73" s="59"/>
      <x:c r="O73" s="59"/>
      <x:c r="P73" s="59"/>
      <x:c r="Q73" s="59"/>
      <x:c r="R73" s="59"/>
      <x:c r="S73" s="59"/>
      <x:c r="T73" s="59"/>
      <x:c r="U73" s="59"/>
      <x:c r="V73" s="59"/>
      <x:c r="W73" s="59"/>
      <x:c r="X73" s="59"/>
      <x:c r="Y73" s="59"/>
      <x:c r="Z73" s="59"/>
      <x:c r="AA73" s="59"/>
      <x:c r="AB73" s="59"/>
      <x:c r="AC73" s="59"/>
      <x:c r="AD73" s="59"/>
      <x:c r="AE73" s="59"/>
      <x:c r="AF73" s="59"/>
      <x:c r="AG73" s="59"/>
      <x:c r="AH73" s="59"/>
      <x:c r="AI73" s="59"/>
      <x:c r="AJ73" s="59"/>
      <x:c r="AK73" s="59"/>
      <x:c r="AL73" s="59"/>
      <x:c r="AM73" s="59"/>
      <x:c r="AN73" s="59"/>
    </x:row>
    <x:row r="74">
      <x:c r="A74" s="59"/>
      <x:c r="B74" s="59"/>
      <x:c r="C74" s="59"/>
      <x:c r="D74" s="59"/>
      <x:c r="E74" s="59"/>
      <x:c r="F74" s="59"/>
      <x:c r="G74" s="59"/>
      <x:c r="H74" s="59"/>
      <x:c r="I74" s="59"/>
      <x:c r="J74" s="59"/>
      <x:c r="K74" s="59"/>
      <x:c r="L74" s="59"/>
      <x:c r="M74" s="59"/>
      <x:c r="N74" s="59"/>
      <x:c r="O74" s="59"/>
      <x:c r="P74" s="59"/>
      <x:c r="Q74" s="59"/>
      <x:c r="R74" s="59"/>
      <x:c r="S74" s="59"/>
      <x:c r="T74" s="59"/>
      <x:c r="U74" s="59"/>
      <x:c r="V74" s="59"/>
      <x:c r="W74" s="59"/>
      <x:c r="X74" s="59"/>
      <x:c r="Y74" s="59"/>
      <x:c r="Z74" s="59"/>
      <x:c r="AA74" s="59"/>
      <x:c r="AB74" s="59"/>
      <x:c r="AC74" s="59"/>
      <x:c r="AD74" s="59"/>
      <x:c r="AE74" s="59"/>
      <x:c r="AF74" s="59"/>
      <x:c r="AG74" s="59"/>
      <x:c r="AH74" s="59"/>
      <x:c r="AI74" s="59"/>
      <x:c r="AJ74" s="59"/>
      <x:c r="AK74" s="59"/>
      <x:c r="AL74" s="59"/>
      <x:c r="AM74" s="59"/>
      <x:c r="AN74" s="59"/>
    </x:row>
    <x:row r="75">
      <x:c r="A75" s="59"/>
      <x:c r="B75" s="59"/>
      <x:c r="C75" s="59"/>
      <x:c r="D75" s="59"/>
      <x:c r="E75" s="59"/>
      <x:c r="F75" s="59"/>
      <x:c r="G75" s="59"/>
      <x:c r="H75" s="59"/>
      <x:c r="I75" s="59"/>
      <x:c r="J75" s="59"/>
      <x:c r="K75" s="59"/>
      <x:c r="L75" s="59"/>
      <x:c r="M75" s="59"/>
      <x:c r="N75" s="59"/>
      <x:c r="O75" s="59"/>
      <x:c r="P75" s="59"/>
      <x:c r="Q75" s="59"/>
      <x:c r="R75" s="59"/>
      <x:c r="S75" s="59"/>
      <x:c r="T75" s="59"/>
      <x:c r="U75" s="59"/>
      <x:c r="V75" s="59"/>
      <x:c r="W75" s="59"/>
      <x:c r="X75" s="59"/>
      <x:c r="Y75" s="59"/>
      <x:c r="Z75" s="59"/>
      <x:c r="AA75" s="59"/>
      <x:c r="AB75" s="59"/>
      <x:c r="AC75" s="59"/>
      <x:c r="AD75" s="59"/>
      <x:c r="AE75" s="59"/>
      <x:c r="AF75" s="59"/>
      <x:c r="AG75" s="59"/>
      <x:c r="AH75" s="59"/>
      <x:c r="AI75" s="59"/>
      <x:c r="AJ75" s="59"/>
      <x:c r="AK75" s="59"/>
      <x:c r="AL75" s="59"/>
      <x:c r="AM75" s="59"/>
      <x:c r="AN75" s="59"/>
    </x:row>
    <x:row r="76">
      <x:c r="A76" s="59"/>
      <x:c r="B76" s="59"/>
      <x:c r="C76" s="59"/>
      <x:c r="D76" s="59"/>
      <x:c r="E76" s="59"/>
      <x:c r="F76" s="59"/>
      <x:c r="G76" s="59"/>
      <x:c r="H76" s="59"/>
      <x:c r="I76" s="59"/>
      <x:c r="J76" s="59"/>
      <x:c r="K76" s="59"/>
      <x:c r="L76" s="59"/>
      <x:c r="M76" s="59"/>
      <x:c r="N76" s="59"/>
      <x:c r="O76" s="59"/>
      <x:c r="P76" s="59"/>
      <x:c r="Q76" s="59"/>
      <x:c r="R76" s="59"/>
      <x:c r="S76" s="59"/>
      <x:c r="T76" s="59"/>
      <x:c r="U76" s="59"/>
      <x:c r="V76" s="59"/>
      <x:c r="W76" s="59"/>
      <x:c r="X76" s="59"/>
      <x:c r="Y76" s="59"/>
      <x:c r="Z76" s="59"/>
      <x:c r="AA76" s="59"/>
      <x:c r="AB76" s="59"/>
      <x:c r="AC76" s="59"/>
      <x:c r="AD76" s="59"/>
      <x:c r="AE76" s="59"/>
      <x:c r="AF76" s="59"/>
      <x:c r="AG76" s="59"/>
      <x:c r="AH76" s="59"/>
      <x:c r="AI76" s="59"/>
      <x:c r="AJ76" s="59"/>
      <x:c r="AK76" s="59"/>
      <x:c r="AL76" s="59"/>
      <x:c r="AM76" s="59"/>
      <x:c r="AN76" s="59"/>
    </x:row>
    <x:row r="77">
      <x:c r="A77" s="59"/>
      <x:c r="B77" s="59"/>
      <x:c r="C77" s="59"/>
      <x:c r="D77" s="59"/>
      <x:c r="E77" s="59"/>
      <x:c r="F77" s="59"/>
      <x:c r="G77" s="59"/>
      <x:c r="H77" s="59"/>
      <x:c r="I77" s="59"/>
      <x:c r="J77" s="59"/>
      <x:c r="K77" s="59"/>
      <x:c r="L77" s="59"/>
      <x:c r="M77" s="59"/>
      <x:c r="N77" s="59"/>
      <x:c r="O77" s="59"/>
      <x:c r="P77" s="59"/>
      <x:c r="Q77" s="59"/>
      <x:c r="R77" s="59"/>
      <x:c r="S77" s="59"/>
      <x:c r="T77" s="59"/>
      <x:c r="U77" s="59"/>
      <x:c r="V77" s="59"/>
      <x:c r="W77" s="59"/>
      <x:c r="X77" s="59"/>
      <x:c r="Y77" s="59"/>
      <x:c r="Z77" s="59"/>
      <x:c r="AA77" s="59"/>
      <x:c r="AB77" s="59"/>
      <x:c r="AC77" s="59"/>
      <x:c r="AD77" s="59"/>
      <x:c r="AE77" s="59"/>
      <x:c r="AF77" s="59"/>
      <x:c r="AG77" s="59"/>
      <x:c r="AH77" s="59"/>
      <x:c r="AI77" s="59"/>
      <x:c r="AJ77" s="59"/>
      <x:c r="AK77" s="59"/>
      <x:c r="AL77" s="59"/>
      <x:c r="AM77" s="59"/>
      <x:c r="AN77" s="59"/>
    </x:row>
    <x:row r="78">
      <x:c r="A78" s="59"/>
      <x:c r="B78" s="59"/>
      <x:c r="C78" s="59"/>
      <x:c r="D78" s="59"/>
      <x:c r="E78" s="59"/>
      <x:c r="F78" s="59"/>
      <x:c r="G78" s="59"/>
      <x:c r="H78" s="59"/>
      <x:c r="I78" s="59"/>
      <x:c r="J78" s="59"/>
      <x:c r="K78" s="59"/>
      <x:c r="L78" s="59"/>
      <x:c r="M78" s="59"/>
      <x:c r="N78" s="59"/>
      <x:c r="O78" s="59"/>
      <x:c r="P78" s="59"/>
      <x:c r="Q78" s="59"/>
      <x:c r="R78" s="59"/>
      <x:c r="S78" s="59"/>
      <x:c r="T78" s="59"/>
      <x:c r="U78" s="59"/>
      <x:c r="V78" s="59"/>
      <x:c r="W78" s="59"/>
      <x:c r="X78" s="59"/>
      <x:c r="Y78" s="59"/>
      <x:c r="Z78" s="59"/>
      <x:c r="AA78" s="59"/>
      <x:c r="AB78" s="59"/>
      <x:c r="AC78" s="59"/>
      <x:c r="AD78" s="59"/>
      <x:c r="AE78" s="59"/>
      <x:c r="AF78" s="59"/>
      <x:c r="AG78" s="59"/>
      <x:c r="AH78" s="59"/>
      <x:c r="AI78" s="59"/>
      <x:c r="AJ78" s="59"/>
      <x:c r="AK78" s="59"/>
      <x:c r="AL78" s="59"/>
      <x:c r="AM78" s="59"/>
      <x:c r="AN78" s="59"/>
    </x:row>
    <x:row r="79">
      <x:c r="A79" s="59"/>
      <x:c r="B79" s="59"/>
      <x:c r="C79" s="59"/>
      <x:c r="D79" s="59"/>
      <x:c r="E79" s="59"/>
      <x:c r="F79" s="59"/>
      <x:c r="G79" s="59"/>
      <x:c r="H79" s="59"/>
      <x:c r="I79" s="59"/>
      <x:c r="J79" s="59"/>
      <x:c r="K79" s="59"/>
      <x:c r="L79" s="59"/>
      <x:c r="M79" s="59"/>
      <x:c r="N79" s="59"/>
      <x:c r="O79" s="59"/>
      <x:c r="P79" s="59"/>
      <x:c r="Q79" s="59"/>
      <x:c r="R79" s="59"/>
      <x:c r="S79" s="59"/>
      <x:c r="T79" s="59"/>
      <x:c r="U79" s="59"/>
      <x:c r="V79" s="59"/>
      <x:c r="W79" s="59"/>
      <x:c r="X79" s="59"/>
      <x:c r="Y79" s="59"/>
      <x:c r="Z79" s="59"/>
      <x:c r="AA79" s="59"/>
      <x:c r="AB79" s="59"/>
      <x:c r="AC79" s="59"/>
      <x:c r="AD79" s="59"/>
      <x:c r="AE79" s="59"/>
      <x:c r="AF79" s="59"/>
      <x:c r="AG79" s="59"/>
      <x:c r="AH79" s="59"/>
      <x:c r="AI79" s="59"/>
      <x:c r="AJ79" s="59"/>
      <x:c r="AK79" s="59"/>
      <x:c r="AL79" s="59"/>
      <x:c r="AM79" s="59"/>
      <x:c r="AN79" s="59"/>
    </x:row>
    <x:row r="80">
      <x:c r="A80" s="59"/>
      <x:c r="B80" s="59"/>
      <x:c r="C80" s="59"/>
      <x:c r="D80" s="59"/>
      <x:c r="E80" s="59"/>
      <x:c r="F80" s="59"/>
      <x:c r="G80" s="59"/>
      <x:c r="H80" s="59"/>
      <x:c r="I80" s="59"/>
      <x:c r="J80" s="59"/>
      <x:c r="K80" s="59"/>
      <x:c r="L80" s="59"/>
      <x:c r="M80" s="59"/>
      <x:c r="N80" s="59"/>
      <x:c r="O80" s="59"/>
      <x:c r="P80" s="59"/>
      <x:c r="Q80" s="59"/>
      <x:c r="R80" s="59"/>
      <x:c r="S80" s="59"/>
      <x:c r="T80" s="59"/>
      <x:c r="U80" s="59"/>
      <x:c r="V80" s="59"/>
      <x:c r="W80" s="59"/>
      <x:c r="X80" s="59"/>
      <x:c r="Y80" s="59"/>
      <x:c r="Z80" s="59"/>
      <x:c r="AA80" s="59"/>
      <x:c r="AB80" s="59"/>
      <x:c r="AC80" s="59"/>
      <x:c r="AD80" s="59"/>
      <x:c r="AE80" s="59"/>
      <x:c r="AF80" s="59"/>
      <x:c r="AG80" s="59"/>
      <x:c r="AH80" s="59"/>
      <x:c r="AI80" s="59"/>
      <x:c r="AJ80" s="59"/>
      <x:c r="AK80" s="59"/>
      <x:c r="AL80" s="59"/>
      <x:c r="AM80" s="59"/>
      <x:c r="AN80" s="59"/>
    </x:row>
    <x:row r="81">
      <x:c r="A81" s="59"/>
      <x:c r="B81" s="59"/>
      <x:c r="C81" s="59"/>
      <x:c r="D81" s="59"/>
      <x:c r="E81" s="59"/>
      <x:c r="F81" s="59"/>
      <x:c r="G81" s="59"/>
      <x:c r="H81" s="59"/>
      <x:c r="I81" s="59"/>
      <x:c r="J81" s="59"/>
      <x:c r="K81" s="59"/>
      <x:c r="L81" s="59"/>
      <x:c r="M81" s="59"/>
      <x:c r="N81" s="59"/>
      <x:c r="O81" s="59"/>
      <x:c r="P81" s="59"/>
      <x:c r="Q81" s="59"/>
      <x:c r="R81" s="59"/>
      <x:c r="S81" s="59"/>
      <x:c r="T81" s="59"/>
      <x:c r="U81" s="59"/>
      <x:c r="V81" s="59"/>
      <x:c r="W81" s="59"/>
      <x:c r="X81" s="59"/>
      <x:c r="Y81" s="59"/>
      <x:c r="Z81" s="59"/>
      <x:c r="AA81" s="59"/>
      <x:c r="AB81" s="59"/>
      <x:c r="AC81" s="59"/>
      <x:c r="AD81" s="59"/>
      <x:c r="AE81" s="59"/>
      <x:c r="AF81" s="59"/>
      <x:c r="AG81" s="59"/>
      <x:c r="AH81" s="59"/>
      <x:c r="AI81" s="59"/>
      <x:c r="AJ81" s="59"/>
      <x:c r="AK81" s="59"/>
      <x:c r="AL81" s="59"/>
      <x:c r="AM81" s="59"/>
      <x:c r="AN81" s="59"/>
    </x:row>
    <x:row r="82">
      <x:c r="A82" s="59"/>
      <x:c r="B82" s="59"/>
      <x:c r="C82" s="59"/>
      <x:c r="D82" s="59"/>
      <x:c r="E82" s="59"/>
      <x:c r="F82" s="59"/>
      <x:c r="G82" s="59"/>
      <x:c r="H82" s="59"/>
      <x:c r="I82" s="59"/>
      <x:c r="J82" s="59"/>
      <x:c r="K82" s="59"/>
      <x:c r="L82" s="59"/>
      <x:c r="M82" s="59"/>
      <x:c r="N82" s="59"/>
      <x:c r="O82" s="59"/>
      <x:c r="P82" s="59"/>
      <x:c r="Q82" s="59"/>
      <x:c r="R82" s="59"/>
      <x:c r="S82" s="59"/>
      <x:c r="T82" s="59"/>
      <x:c r="U82" s="59"/>
      <x:c r="V82" s="59"/>
      <x:c r="W82" s="59"/>
      <x:c r="X82" s="59"/>
      <x:c r="Y82" s="59"/>
      <x:c r="Z82" s="59"/>
      <x:c r="AA82" s="59"/>
      <x:c r="AB82" s="59"/>
      <x:c r="AC82" s="59"/>
      <x:c r="AD82" s="59"/>
      <x:c r="AE82" s="59"/>
      <x:c r="AF82" s="59"/>
      <x:c r="AG82" s="59"/>
      <x:c r="AH82" s="59"/>
      <x:c r="AI82" s="59"/>
      <x:c r="AJ82" s="59"/>
      <x:c r="AK82" s="59"/>
      <x:c r="AL82" s="59"/>
      <x:c r="AM82" s="59"/>
      <x:c r="AN82" s="59"/>
    </x:row>
    <x:row r="83">
      <x:c r="A83" s="59"/>
      <x:c r="B83" s="59"/>
      <x:c r="C83" s="59"/>
      <x:c r="D83" s="59"/>
      <x:c r="E83" s="59"/>
      <x:c r="F83" s="59"/>
      <x:c r="G83" s="59"/>
      <x:c r="H83" s="59"/>
      <x:c r="I83" s="59"/>
      <x:c r="J83" s="59"/>
      <x:c r="K83" s="59"/>
      <x:c r="L83" s="59"/>
      <x:c r="M83" s="59"/>
      <x:c r="N83" s="59"/>
      <x:c r="O83" s="59"/>
      <x:c r="P83" s="59"/>
      <x:c r="Q83" s="59"/>
      <x:c r="R83" s="59"/>
      <x:c r="S83" s="59"/>
      <x:c r="T83" s="59"/>
      <x:c r="U83" s="59"/>
      <x:c r="V83" s="59"/>
      <x:c r="W83" s="59"/>
      <x:c r="X83" s="59"/>
      <x:c r="Y83" s="59"/>
      <x:c r="Z83" s="59"/>
      <x:c r="AA83" s="59"/>
      <x:c r="AB83" s="59"/>
      <x:c r="AC83" s="59"/>
      <x:c r="AD83" s="59"/>
      <x:c r="AE83" s="59"/>
      <x:c r="AF83" s="59"/>
      <x:c r="AG83" s="59"/>
      <x:c r="AH83" s="59"/>
      <x:c r="AI83" s="59"/>
      <x:c r="AJ83" s="59"/>
      <x:c r="AK83" s="59"/>
      <x:c r="AL83" s="59"/>
      <x:c r="AM83" s="59"/>
      <x:c r="AN83" s="59"/>
    </x:row>
    <x:row r="84">
      <x:c r="A84" s="59"/>
      <x:c r="B84" s="59"/>
      <x:c r="C84" s="59"/>
      <x:c r="D84" s="59"/>
      <x:c r="E84" s="59"/>
      <x:c r="F84" s="59"/>
      <x:c r="G84" s="59"/>
      <x:c r="H84" s="59"/>
      <x:c r="I84" s="59"/>
      <x:c r="J84" s="59"/>
      <x:c r="K84" s="59"/>
      <x:c r="L84" s="59"/>
      <x:c r="M84" s="59"/>
      <x:c r="N84" s="59"/>
      <x:c r="O84" s="59"/>
      <x:c r="P84" s="59"/>
      <x:c r="Q84" s="59"/>
      <x:c r="R84" s="59"/>
      <x:c r="S84" s="59"/>
      <x:c r="T84" s="59"/>
      <x:c r="U84" s="59"/>
      <x:c r="V84" s="59"/>
      <x:c r="W84" s="59"/>
      <x:c r="X84" s="59"/>
      <x:c r="Y84" s="59"/>
      <x:c r="Z84" s="59"/>
      <x:c r="AA84" s="59"/>
      <x:c r="AB84" s="59"/>
      <x:c r="AC84" s="59"/>
      <x:c r="AD84" s="59"/>
      <x:c r="AE84" s="59"/>
      <x:c r="AF84" s="59"/>
      <x:c r="AG84" s="59"/>
      <x:c r="AH84" s="59"/>
      <x:c r="AI84" s="59"/>
      <x:c r="AJ84" s="59"/>
      <x:c r="AK84" s="59"/>
      <x:c r="AL84" s="59"/>
      <x:c r="AM84" s="59"/>
      <x:c r="AN84" s="59"/>
    </x:row>
    <x:row r="85">
      <x:c r="A85" s="59"/>
      <x:c r="B85" s="59"/>
      <x:c r="C85" s="59"/>
      <x:c r="D85" s="59"/>
      <x:c r="E85" s="59"/>
      <x:c r="F85" s="59"/>
      <x:c r="G85" s="59"/>
      <x:c r="H85" s="59"/>
      <x:c r="I85" s="59"/>
      <x:c r="J85" s="59"/>
      <x:c r="K85" s="59"/>
      <x:c r="L85" s="59"/>
      <x:c r="M85" s="59"/>
      <x:c r="N85" s="59"/>
      <x:c r="O85" s="59"/>
      <x:c r="P85" s="59"/>
      <x:c r="Q85" s="59"/>
      <x:c r="R85" s="59"/>
      <x:c r="S85" s="59"/>
      <x:c r="T85" s="59"/>
      <x:c r="U85" s="59"/>
      <x:c r="V85" s="59"/>
      <x:c r="W85" s="59"/>
      <x:c r="X85" s="59"/>
      <x:c r="Y85" s="59"/>
      <x:c r="Z85" s="59"/>
      <x:c r="AA85" s="59"/>
      <x:c r="AB85" s="59"/>
      <x:c r="AC85" s="59"/>
      <x:c r="AD85" s="59"/>
      <x:c r="AE85" s="59"/>
      <x:c r="AF85" s="59"/>
      <x:c r="AG85" s="59"/>
      <x:c r="AH85" s="59"/>
      <x:c r="AI85" s="59"/>
      <x:c r="AJ85" s="59"/>
      <x:c r="AK85" s="59"/>
      <x:c r="AL85" s="59"/>
      <x:c r="AM85" s="59"/>
      <x:c r="AN85" s="59"/>
    </x:row>
    <x:row r="86">
      <x:c r="A86" s="59"/>
      <x:c r="B86" s="59"/>
      <x:c r="C86" s="59"/>
      <x:c r="D86" s="59"/>
      <x:c r="E86" s="59"/>
      <x:c r="F86" s="59"/>
      <x:c r="G86" s="59"/>
      <x:c r="H86" s="59"/>
      <x:c r="I86" s="59"/>
      <x:c r="J86" s="59"/>
      <x:c r="K86" s="59"/>
      <x:c r="L86" s="59"/>
      <x:c r="M86" s="59"/>
      <x:c r="N86" s="59"/>
      <x:c r="O86" s="59"/>
      <x:c r="P86" s="59"/>
      <x:c r="Q86" s="59"/>
      <x:c r="R86" s="59"/>
      <x:c r="S86" s="59"/>
      <x:c r="T86" s="59"/>
      <x:c r="U86" s="59"/>
      <x:c r="V86" s="59"/>
      <x:c r="W86" s="59"/>
      <x:c r="X86" s="59"/>
      <x:c r="Y86" s="59"/>
      <x:c r="Z86" s="59"/>
      <x:c r="AA86" s="59"/>
      <x:c r="AB86" s="59"/>
      <x:c r="AC86" s="59"/>
      <x:c r="AD86" s="59"/>
      <x:c r="AE86" s="59"/>
      <x:c r="AF86" s="59"/>
      <x:c r="AG86" s="59"/>
      <x:c r="AH86" s="59"/>
      <x:c r="AI86" s="59"/>
      <x:c r="AJ86" s="59"/>
      <x:c r="AK86" s="59"/>
      <x:c r="AL86" s="59"/>
      <x:c r="AM86" s="59"/>
      <x:c r="AN86" s="59"/>
    </x:row>
    <x:row r="87">
      <x:c r="A87" s="59"/>
      <x:c r="B87" s="59"/>
      <x:c r="C87" s="59"/>
      <x:c r="D87" s="59"/>
      <x:c r="E87" s="59"/>
      <x:c r="F87" s="59"/>
      <x:c r="G87" s="59"/>
      <x:c r="H87" s="59"/>
      <x:c r="I87" s="59"/>
      <x:c r="J87" s="59"/>
      <x:c r="K87" s="59"/>
      <x:c r="L87" s="59"/>
      <x:c r="M87" s="59"/>
      <x:c r="N87" s="59"/>
      <x:c r="O87" s="59"/>
      <x:c r="P87" s="59"/>
      <x:c r="Q87" s="59"/>
      <x:c r="R87" s="59"/>
      <x:c r="S87" s="59"/>
      <x:c r="T87" s="59"/>
      <x:c r="U87" s="59"/>
      <x:c r="V87" s="59"/>
      <x:c r="W87" s="59"/>
      <x:c r="X87" s="59"/>
      <x:c r="Y87" s="59"/>
      <x:c r="Z87" s="59"/>
      <x:c r="AA87" s="59"/>
      <x:c r="AB87" s="59"/>
      <x:c r="AC87" s="59"/>
      <x:c r="AD87" s="59"/>
      <x:c r="AE87" s="59"/>
      <x:c r="AF87" s="59"/>
      <x:c r="AG87" s="59"/>
      <x:c r="AH87" s="59"/>
      <x:c r="AI87" s="59"/>
      <x:c r="AJ87" s="59"/>
      <x:c r="AK87" s="59"/>
      <x:c r="AL87" s="59"/>
      <x:c r="AM87" s="59"/>
      <x:c r="AN87" s="59"/>
    </x:row>
    <x:row r="88">
      <x:c r="A88" s="59"/>
      <x:c r="B88" s="59"/>
      <x:c r="C88" s="59"/>
      <x:c r="D88" s="59"/>
      <x:c r="E88" s="59"/>
      <x:c r="F88" s="59"/>
      <x:c r="G88" s="59"/>
      <x:c r="H88" s="59"/>
      <x:c r="I88" s="59"/>
      <x:c r="J88" s="59"/>
      <x:c r="K88" s="59"/>
      <x:c r="L88" s="59"/>
      <x:c r="M88" s="59"/>
      <x:c r="N88" s="59"/>
      <x:c r="O88" s="59"/>
      <x:c r="P88" s="59"/>
      <x:c r="Q88" s="59"/>
      <x:c r="R88" s="59"/>
      <x:c r="S88" s="59"/>
      <x:c r="T88" s="59"/>
      <x:c r="U88" s="59"/>
      <x:c r="V88" s="59"/>
      <x:c r="W88" s="59"/>
      <x:c r="X88" s="59"/>
      <x:c r="Y88" s="59"/>
      <x:c r="Z88" s="59"/>
      <x:c r="AA88" s="59"/>
      <x:c r="AB88" s="59"/>
      <x:c r="AC88" s="59"/>
      <x:c r="AD88" s="59"/>
      <x:c r="AE88" s="59"/>
      <x:c r="AF88" s="59"/>
      <x:c r="AG88" s="59"/>
      <x:c r="AH88" s="59"/>
      <x:c r="AI88" s="59"/>
      <x:c r="AJ88" s="59"/>
      <x:c r="AK88" s="59"/>
      <x:c r="AL88" s="59"/>
      <x:c r="AM88" s="59"/>
      <x:c r="AN88" s="59"/>
    </x:row>
    <x:row r="89">
      <x:c r="A89" s="59"/>
      <x:c r="B89" s="59"/>
      <x:c r="C89" s="59"/>
      <x:c r="D89" s="59"/>
      <x:c r="E89" s="59"/>
      <x:c r="F89" s="59"/>
      <x:c r="G89" s="59"/>
      <x:c r="H89" s="59"/>
      <x:c r="I89" s="59"/>
      <x:c r="J89" s="59"/>
      <x:c r="K89" s="59"/>
      <x:c r="L89" s="59"/>
      <x:c r="M89" s="59"/>
      <x:c r="N89" s="59"/>
      <x:c r="O89" s="59"/>
      <x:c r="P89" s="59"/>
      <x:c r="Q89" s="59"/>
      <x:c r="R89" s="59"/>
      <x:c r="S89" s="59"/>
      <x:c r="T89" s="59"/>
      <x:c r="U89" s="59"/>
      <x:c r="V89" s="59"/>
      <x:c r="W89" s="59"/>
      <x:c r="X89" s="59"/>
      <x:c r="Y89" s="59"/>
      <x:c r="Z89" s="59"/>
      <x:c r="AA89" s="59"/>
      <x:c r="AB89" s="59"/>
      <x:c r="AC89" s="59"/>
      <x:c r="AD89" s="59"/>
      <x:c r="AE89" s="59"/>
      <x:c r="AF89" s="59"/>
      <x:c r="AG89" s="59"/>
      <x:c r="AH89" s="59"/>
      <x:c r="AI89" s="59"/>
      <x:c r="AJ89" s="59"/>
      <x:c r="AK89" s="59"/>
      <x:c r="AL89" s="59"/>
      <x:c r="AM89" s="59"/>
      <x:c r="AN89" s="59"/>
    </x:row>
    <x:row r="90">
      <x:c r="A90" s="59"/>
      <x:c r="B90" s="59"/>
      <x:c r="C90" s="59"/>
      <x:c r="D90" s="59"/>
      <x:c r="E90" s="59"/>
      <x:c r="F90" s="59"/>
      <x:c r="G90" s="59"/>
      <x:c r="H90" s="59"/>
      <x:c r="I90" s="59"/>
      <x:c r="J90" s="59"/>
      <x:c r="K90" s="59"/>
      <x:c r="L90" s="59"/>
      <x:c r="M90" s="59"/>
      <x:c r="N90" s="59"/>
      <x:c r="O90" s="59"/>
      <x:c r="P90" s="59"/>
      <x:c r="Q90" s="59"/>
      <x:c r="R90" s="59"/>
      <x:c r="S90" s="59"/>
      <x:c r="T90" s="59"/>
      <x:c r="U90" s="59"/>
      <x:c r="V90" s="59"/>
      <x:c r="W90" s="59"/>
      <x:c r="X90" s="59"/>
      <x:c r="Y90" s="59"/>
      <x:c r="Z90" s="59"/>
      <x:c r="AA90" s="59"/>
      <x:c r="AB90" s="59"/>
      <x:c r="AC90" s="59"/>
      <x:c r="AD90" s="59"/>
      <x:c r="AE90" s="59"/>
      <x:c r="AF90" s="59"/>
      <x:c r="AG90" s="59"/>
      <x:c r="AH90" s="59"/>
      <x:c r="AI90" s="59"/>
      <x:c r="AJ90" s="59"/>
      <x:c r="AK90" s="59"/>
      <x:c r="AL90" s="59"/>
      <x:c r="AM90" s="59"/>
      <x:c r="AN90" s="59"/>
    </x:row>
    <x:row r="91">
      <x:c r="A91" s="59"/>
      <x:c r="B91" s="59"/>
      <x:c r="C91" s="59"/>
      <x:c r="D91" s="59"/>
      <x:c r="E91" s="59"/>
      <x:c r="F91" s="59"/>
      <x:c r="G91" s="59"/>
      <x:c r="H91" s="59"/>
      <x:c r="I91" s="59"/>
      <x:c r="J91" s="59"/>
      <x:c r="K91" s="59"/>
      <x:c r="L91" s="59"/>
      <x:c r="M91" s="59"/>
      <x:c r="N91" s="59"/>
      <x:c r="O91" s="59"/>
      <x:c r="P91" s="59"/>
      <x:c r="Q91" s="59"/>
      <x:c r="R91" s="59"/>
      <x:c r="S91" s="59"/>
      <x:c r="T91" s="59"/>
      <x:c r="U91" s="59"/>
      <x:c r="V91" s="59"/>
      <x:c r="W91" s="59"/>
      <x:c r="X91" s="59"/>
      <x:c r="Y91" s="59"/>
      <x:c r="Z91" s="59"/>
      <x:c r="AA91" s="59"/>
      <x:c r="AB91" s="59"/>
      <x:c r="AC91" s="59"/>
      <x:c r="AD91" s="59"/>
      <x:c r="AE91" s="59"/>
      <x:c r="AF91" s="59"/>
      <x:c r="AG91" s="59"/>
      <x:c r="AH91" s="59"/>
      <x:c r="AI91" s="59"/>
      <x:c r="AJ91" s="59"/>
      <x:c r="AK91" s="59"/>
      <x:c r="AL91" s="59"/>
      <x:c r="AM91" s="59"/>
      <x:c r="AN91" s="59"/>
    </x:row>
    <x:row r="92">
      <x:c r="A92" s="59"/>
      <x:c r="B92" s="59"/>
      <x:c r="C92" s="59"/>
      <x:c r="D92" s="59"/>
      <x:c r="E92" s="59"/>
      <x:c r="F92" s="59"/>
      <x:c r="G92" s="59"/>
      <x:c r="H92" s="59"/>
      <x:c r="I92" s="59"/>
      <x:c r="J92" s="59"/>
      <x:c r="K92" s="59"/>
      <x:c r="L92" s="59"/>
      <x:c r="M92" s="59"/>
      <x:c r="N92" s="59"/>
      <x:c r="O92" s="59"/>
      <x:c r="P92" s="59"/>
      <x:c r="Q92" s="59"/>
      <x:c r="R92" s="59"/>
      <x:c r="S92" s="59"/>
      <x:c r="T92" s="59"/>
      <x:c r="U92" s="59"/>
      <x:c r="V92" s="59"/>
      <x:c r="W92" s="59"/>
      <x:c r="X92" s="59"/>
      <x:c r="Y92" s="59"/>
      <x:c r="Z92" s="59"/>
      <x:c r="AA92" s="59"/>
      <x:c r="AB92" s="59"/>
      <x:c r="AC92" s="59"/>
      <x:c r="AD92" s="59"/>
      <x:c r="AE92" s="59"/>
      <x:c r="AF92" s="59"/>
      <x:c r="AG92" s="59"/>
      <x:c r="AH92" s="59"/>
      <x:c r="AI92" s="59"/>
      <x:c r="AJ92" s="59"/>
      <x:c r="AK92" s="59"/>
      <x:c r="AL92" s="59"/>
      <x:c r="AM92" s="59"/>
      <x:c r="AN92" s="59"/>
    </x:row>
    <x:row r="93">
      <x:c r="A93" s="59"/>
      <x:c r="B93" s="59"/>
      <x:c r="C93" s="59"/>
      <x:c r="D93" s="59"/>
      <x:c r="E93" s="59"/>
      <x:c r="F93" s="59"/>
      <x:c r="G93" s="59"/>
      <x:c r="H93" s="59"/>
      <x:c r="I93" s="59"/>
      <x:c r="J93" s="59"/>
      <x:c r="K93" s="59"/>
      <x:c r="L93" s="59"/>
      <x:c r="M93" s="59"/>
      <x:c r="N93" s="59"/>
      <x:c r="O93" s="59"/>
      <x:c r="P93" s="59"/>
      <x:c r="Q93" s="59"/>
      <x:c r="R93" s="59"/>
      <x:c r="S93" s="59"/>
      <x:c r="T93" s="59"/>
      <x:c r="U93" s="59"/>
      <x:c r="V93" s="59"/>
      <x:c r="W93" s="59"/>
      <x:c r="X93" s="59"/>
      <x:c r="Y93" s="59"/>
      <x:c r="Z93" s="59"/>
      <x:c r="AA93" s="59"/>
      <x:c r="AB93" s="59"/>
      <x:c r="AC93" s="59"/>
      <x:c r="AD93" s="59"/>
      <x:c r="AE93" s="59"/>
      <x:c r="AF93" s="59"/>
      <x:c r="AG93" s="59"/>
      <x:c r="AH93" s="59"/>
      <x:c r="AI93" s="59"/>
      <x:c r="AJ93" s="59"/>
      <x:c r="AK93" s="59"/>
      <x:c r="AL93" s="59"/>
      <x:c r="AM93" s="59"/>
      <x:c r="AN93" s="59"/>
    </x:row>
    <x:row r="94">
      <x:c r="A94" s="59"/>
      <x:c r="B94" s="59"/>
      <x:c r="C94" s="59"/>
      <x:c r="D94" s="59"/>
      <x:c r="E94" s="59"/>
      <x:c r="F94" s="59"/>
      <x:c r="G94" s="59"/>
      <x:c r="H94" s="59"/>
      <x:c r="I94" s="59"/>
      <x:c r="J94" s="59"/>
      <x:c r="K94" s="59"/>
      <x:c r="L94" s="59"/>
      <x:c r="M94" s="59"/>
      <x:c r="N94" s="59"/>
      <x:c r="O94" s="59"/>
      <x:c r="P94" s="59"/>
      <x:c r="Q94" s="59"/>
      <x:c r="R94" s="59"/>
      <x:c r="S94" s="59"/>
      <x:c r="T94" s="59"/>
      <x:c r="U94" s="59"/>
      <x:c r="V94" s="59"/>
      <x:c r="W94" s="59"/>
      <x:c r="X94" s="59"/>
      <x:c r="Y94" s="59"/>
      <x:c r="Z94" s="59"/>
      <x:c r="AA94" s="59"/>
      <x:c r="AB94" s="59"/>
      <x:c r="AC94" s="59"/>
      <x:c r="AD94" s="59"/>
      <x:c r="AE94" s="59"/>
      <x:c r="AF94" s="59"/>
      <x:c r="AG94" s="59"/>
      <x:c r="AH94" s="59"/>
      <x:c r="AI94" s="59"/>
      <x:c r="AJ94" s="59"/>
      <x:c r="AK94" s="59"/>
      <x:c r="AL94" s="59"/>
      <x:c r="AM94" s="59"/>
      <x:c r="AN94" s="59"/>
    </x:row>
    <x:row r="95">
      <x:c r="A95" s="59"/>
      <x:c r="B95" s="59"/>
      <x:c r="C95" s="59"/>
      <x:c r="D95" s="59"/>
      <x:c r="E95" s="59"/>
      <x:c r="F95" s="59"/>
      <x:c r="G95" s="59"/>
      <x:c r="H95" s="59"/>
      <x:c r="I95" s="59"/>
      <x:c r="J95" s="59"/>
      <x:c r="K95" s="59"/>
      <x:c r="L95" s="59"/>
      <x:c r="M95" s="59"/>
      <x:c r="N95" s="59"/>
      <x:c r="O95" s="59"/>
      <x:c r="P95" s="59"/>
      <x:c r="Q95" s="59"/>
      <x:c r="R95" s="59"/>
      <x:c r="S95" s="59"/>
      <x:c r="T95" s="59"/>
      <x:c r="U95" s="59"/>
      <x:c r="V95" s="59"/>
      <x:c r="W95" s="59"/>
      <x:c r="X95" s="59"/>
      <x:c r="Y95" s="59"/>
      <x:c r="Z95" s="59"/>
      <x:c r="AA95" s="59"/>
      <x:c r="AB95" s="59"/>
      <x:c r="AC95" s="59"/>
      <x:c r="AD95" s="59"/>
      <x:c r="AE95" s="59"/>
      <x:c r="AF95" s="59"/>
      <x:c r="AG95" s="59"/>
      <x:c r="AH95" s="59"/>
      <x:c r="AI95" s="59"/>
      <x:c r="AJ95" s="59"/>
      <x:c r="AK95" s="59"/>
      <x:c r="AL95" s="59"/>
      <x:c r="AM95" s="59"/>
      <x:c r="AN95" s="59"/>
    </x:row>
    <x:row r="96">
      <x:c r="A96" s="59"/>
      <x:c r="B96" s="59"/>
      <x:c r="C96" s="59"/>
      <x:c r="D96" s="59"/>
      <x:c r="E96" s="59"/>
      <x:c r="F96" s="59"/>
      <x:c r="G96" s="59"/>
      <x:c r="H96" s="59"/>
      <x:c r="I96" s="59"/>
      <x:c r="J96" s="59"/>
      <x:c r="K96" s="59"/>
      <x:c r="L96" s="59"/>
      <x:c r="M96" s="59"/>
      <x:c r="N96" s="59"/>
      <x:c r="O96" s="59"/>
      <x:c r="P96" s="59"/>
      <x:c r="Q96" s="59"/>
      <x:c r="R96" s="59"/>
      <x:c r="S96" s="59"/>
      <x:c r="T96" s="59"/>
      <x:c r="U96" s="59"/>
      <x:c r="V96" s="59"/>
      <x:c r="W96" s="59"/>
      <x:c r="X96" s="59"/>
      <x:c r="Y96" s="59"/>
      <x:c r="Z96" s="59"/>
      <x:c r="AA96" s="59"/>
      <x:c r="AB96" s="59"/>
      <x:c r="AC96" s="59"/>
      <x:c r="AD96" s="59"/>
      <x:c r="AE96" s="59"/>
      <x:c r="AF96" s="59"/>
      <x:c r="AG96" s="59"/>
      <x:c r="AH96" s="59"/>
      <x:c r="AI96" s="59"/>
      <x:c r="AJ96" s="59"/>
      <x:c r="AK96" s="59"/>
      <x:c r="AL96" s="59"/>
      <x:c r="AM96" s="59"/>
      <x:c r="AN96" s="59"/>
    </x:row>
    <x:row r="97">
      <x:c r="A97" s="59"/>
      <x:c r="B97" s="59"/>
      <x:c r="C97" s="59"/>
      <x:c r="D97" s="59"/>
      <x:c r="E97" s="59"/>
      <x:c r="F97" s="59"/>
      <x:c r="G97" s="59"/>
      <x:c r="H97" s="59"/>
      <x:c r="I97" s="59"/>
      <x:c r="J97" s="59"/>
      <x:c r="K97" s="59"/>
      <x:c r="L97" s="59"/>
      <x:c r="M97" s="59"/>
      <x:c r="N97" s="59"/>
      <x:c r="O97" s="59"/>
      <x:c r="P97" s="59"/>
      <x:c r="Q97" s="59"/>
      <x:c r="R97" s="59"/>
      <x:c r="S97" s="59"/>
      <x:c r="T97" s="59"/>
      <x:c r="U97" s="59"/>
      <x:c r="V97" s="59"/>
      <x:c r="W97" s="59"/>
      <x:c r="X97" s="59"/>
      <x:c r="Y97" s="59"/>
      <x:c r="Z97" s="59"/>
      <x:c r="AA97" s="59"/>
      <x:c r="AB97" s="59"/>
      <x:c r="AC97" s="59"/>
      <x:c r="AD97" s="59"/>
      <x:c r="AE97" s="59"/>
      <x:c r="AF97" s="59"/>
      <x:c r="AG97" s="59"/>
      <x:c r="AH97" s="59"/>
      <x:c r="AI97" s="59"/>
      <x:c r="AJ97" s="59"/>
      <x:c r="AK97" s="59"/>
      <x:c r="AL97" s="59"/>
      <x:c r="AM97" s="59"/>
      <x:c r="AN97" s="59"/>
    </x:row>
    <x:row r="98">
      <x:c r="A98" s="59"/>
      <x:c r="B98" s="59"/>
      <x:c r="C98" s="59"/>
      <x:c r="D98" s="59"/>
      <x:c r="E98" s="59"/>
      <x:c r="F98" s="59"/>
      <x:c r="G98" s="59"/>
      <x:c r="H98" s="59"/>
      <x:c r="I98" s="59"/>
      <x:c r="J98" s="59"/>
      <x:c r="K98" s="59"/>
      <x:c r="L98" s="59"/>
      <x:c r="M98" s="59"/>
      <x:c r="N98" s="59"/>
      <x:c r="O98" s="59"/>
      <x:c r="P98" s="59"/>
      <x:c r="Q98" s="59"/>
      <x:c r="R98" s="59"/>
      <x:c r="S98" s="59"/>
      <x:c r="T98" s="59"/>
      <x:c r="U98" s="59"/>
      <x:c r="V98" s="59"/>
      <x:c r="W98" s="59"/>
      <x:c r="X98" s="59"/>
      <x:c r="Y98" s="59"/>
      <x:c r="Z98" s="59"/>
      <x:c r="AA98" s="59"/>
      <x:c r="AB98" s="59"/>
      <x:c r="AC98" s="59"/>
      <x:c r="AD98" s="59"/>
      <x:c r="AE98" s="59"/>
      <x:c r="AF98" s="59"/>
      <x:c r="AG98" s="59"/>
      <x:c r="AH98" s="59"/>
      <x:c r="AI98" s="59"/>
      <x:c r="AJ98" s="59"/>
      <x:c r="AK98" s="59"/>
      <x:c r="AL98" s="59"/>
      <x:c r="AM98" s="59"/>
      <x:c r="AN98" s="59"/>
    </x:row>
    <x:row r="99">
      <x:c r="A99" s="59"/>
      <x:c r="B99" s="59"/>
      <x:c r="C99" s="59"/>
      <x:c r="D99" s="59"/>
      <x:c r="E99" s="59"/>
      <x:c r="F99" s="59"/>
      <x:c r="G99" s="59"/>
      <x:c r="H99" s="59"/>
      <x:c r="I99" s="59"/>
      <x:c r="J99" s="59"/>
      <x:c r="K99" s="59"/>
      <x:c r="L99" s="59"/>
      <x:c r="M99" s="59"/>
      <x:c r="N99" s="59"/>
      <x:c r="O99" s="59"/>
      <x:c r="P99" s="59"/>
      <x:c r="Q99" s="59"/>
      <x:c r="R99" s="59"/>
      <x:c r="S99" s="59"/>
      <x:c r="T99" s="59"/>
      <x:c r="U99" s="59"/>
      <x:c r="V99" s="59"/>
      <x:c r="W99" s="59"/>
      <x:c r="X99" s="59"/>
      <x:c r="Y99" s="59"/>
      <x:c r="Z99" s="59"/>
      <x:c r="AA99" s="59"/>
      <x:c r="AB99" s="59"/>
      <x:c r="AC99" s="59"/>
      <x:c r="AD99" s="59"/>
      <x:c r="AE99" s="59"/>
      <x:c r="AF99" s="59"/>
      <x:c r="AG99" s="59"/>
      <x:c r="AH99" s="59"/>
      <x:c r="AI99" s="59"/>
      <x:c r="AJ99" s="59"/>
      <x:c r="AK99" s="59"/>
      <x:c r="AL99" s="59"/>
      <x:c r="AM99" s="59"/>
      <x:c r="AN99" s="59"/>
    </x:row>
    <x:row r="100">
      <x:c r="A100" s="59"/>
      <x:c r="B100" s="59"/>
      <x:c r="C100" s="59"/>
      <x:c r="D100" s="59"/>
      <x:c r="E100" s="59"/>
      <x:c r="F100" s="59"/>
      <x:c r="G100" s="59"/>
      <x:c r="H100" s="59"/>
      <x:c r="I100" s="59"/>
      <x:c r="J100" s="59"/>
      <x:c r="K100" s="59"/>
      <x:c r="L100" s="59"/>
      <x:c r="M100" s="59"/>
      <x:c r="N100" s="59"/>
      <x:c r="O100" s="59"/>
      <x:c r="P100" s="59"/>
      <x:c r="Q100" s="59"/>
      <x:c r="R100" s="59"/>
      <x:c r="S100" s="59"/>
      <x:c r="T100" s="59"/>
      <x:c r="U100" s="59"/>
      <x:c r="V100" s="59"/>
      <x:c r="W100" s="59"/>
      <x:c r="X100" s="59"/>
      <x:c r="Y100" s="59"/>
      <x:c r="Z100" s="59"/>
      <x:c r="AA100" s="59"/>
      <x:c r="AB100" s="59"/>
      <x:c r="AC100" s="59"/>
      <x:c r="AD100" s="59"/>
      <x:c r="AE100" s="59"/>
      <x:c r="AF100" s="59"/>
      <x:c r="AG100" s="59"/>
      <x:c r="AH100" s="59"/>
      <x:c r="AI100" s="59"/>
      <x:c r="AJ100" s="59"/>
      <x:c r="AK100" s="59"/>
      <x:c r="AL100" s="59"/>
      <x:c r="AM100" s="59"/>
      <x:c r="AN100" s="59"/>
    </x:row>
    <x:row r="101">
      <x:c r="A101" s="59"/>
      <x:c r="B101" s="59"/>
      <x:c r="C101" s="59"/>
      <x:c r="D101" s="59"/>
      <x:c r="E101" s="59"/>
      <x:c r="F101" s="59"/>
      <x:c r="G101" s="59"/>
      <x:c r="H101" s="59"/>
      <x:c r="I101" s="59"/>
      <x:c r="J101" s="59"/>
      <x:c r="K101" s="59"/>
      <x:c r="L101" s="59"/>
      <x:c r="M101" s="59"/>
      <x:c r="N101" s="59"/>
      <x:c r="O101" s="59"/>
      <x:c r="P101" s="59"/>
      <x:c r="Q101" s="59"/>
      <x:c r="R101" s="59"/>
      <x:c r="S101" s="59"/>
      <x:c r="T101" s="59"/>
      <x:c r="U101" s="59"/>
      <x:c r="V101" s="59"/>
      <x:c r="W101" s="59"/>
      <x:c r="X101" s="59"/>
      <x:c r="Y101" s="59"/>
      <x:c r="Z101" s="59"/>
      <x:c r="AA101" s="59"/>
      <x:c r="AB101" s="59"/>
      <x:c r="AC101" s="59"/>
      <x:c r="AD101" s="59"/>
      <x:c r="AE101" s="59"/>
      <x:c r="AF101" s="59"/>
      <x:c r="AG101" s="59"/>
      <x:c r="AH101" s="59"/>
      <x:c r="AI101" s="59"/>
      <x:c r="AJ101" s="59"/>
      <x:c r="AK101" s="59"/>
      <x:c r="AL101" s="59"/>
      <x:c r="AM101" s="59"/>
      <x:c r="AN101" s="59"/>
    </x:row>
    <x:row r="102">
      <x:c r="A102" s="59"/>
      <x:c r="B102" s="59"/>
      <x:c r="C102" s="59"/>
      <x:c r="D102" s="59"/>
      <x:c r="E102" s="59"/>
      <x:c r="F102" s="59"/>
      <x:c r="G102" s="59"/>
      <x:c r="H102" s="59"/>
      <x:c r="I102" s="59"/>
      <x:c r="J102" s="59"/>
      <x:c r="K102" s="59"/>
      <x:c r="L102" s="59"/>
      <x:c r="M102" s="59"/>
      <x:c r="N102" s="59"/>
      <x:c r="O102" s="59"/>
      <x:c r="P102" s="59"/>
      <x:c r="Q102" s="59"/>
      <x:c r="R102" s="59"/>
      <x:c r="S102" s="59"/>
      <x:c r="T102" s="59"/>
      <x:c r="U102" s="59"/>
      <x:c r="V102" s="59"/>
      <x:c r="W102" s="59"/>
      <x:c r="X102" s="59"/>
      <x:c r="Y102" s="59"/>
      <x:c r="Z102" s="59"/>
      <x:c r="AA102" s="59"/>
      <x:c r="AB102" s="59"/>
      <x:c r="AC102" s="59"/>
      <x:c r="AD102" s="59"/>
      <x:c r="AE102" s="59"/>
      <x:c r="AF102" s="59"/>
      <x:c r="AG102" s="59"/>
      <x:c r="AH102" s="59"/>
      <x:c r="AI102" s="59"/>
      <x:c r="AJ102" s="59"/>
      <x:c r="AK102" s="59"/>
      <x:c r="AL102" s="59"/>
      <x:c r="AM102" s="59"/>
      <x:c r="AN102" s="59"/>
    </x:row>
    <x:row r="103">
      <x:c r="A103" s="59"/>
      <x:c r="B103" s="59"/>
      <x:c r="C103" s="59"/>
      <x:c r="D103" s="59"/>
      <x:c r="E103" s="59"/>
      <x:c r="F103" s="59"/>
      <x:c r="G103" s="59"/>
      <x:c r="H103" s="59"/>
      <x:c r="I103" s="59"/>
      <x:c r="J103" s="59"/>
      <x:c r="K103" s="59"/>
      <x:c r="L103" s="59"/>
      <x:c r="M103" s="59"/>
      <x:c r="N103" s="59"/>
      <x:c r="O103" s="59"/>
      <x:c r="P103" s="59"/>
      <x:c r="Q103" s="59"/>
      <x:c r="R103" s="59"/>
      <x:c r="S103" s="59"/>
      <x:c r="T103" s="59"/>
      <x:c r="U103" s="59"/>
      <x:c r="V103" s="59"/>
      <x:c r="W103" s="59"/>
      <x:c r="X103" s="59"/>
      <x:c r="Y103" s="59"/>
      <x:c r="Z103" s="59"/>
      <x:c r="AA103" s="59"/>
      <x:c r="AB103" s="59"/>
      <x:c r="AC103" s="59"/>
      <x:c r="AD103" s="59"/>
      <x:c r="AE103" s="59"/>
      <x:c r="AF103" s="59"/>
      <x:c r="AG103" s="59"/>
      <x:c r="AH103" s="59"/>
      <x:c r="AI103" s="59"/>
      <x:c r="AJ103" s="59"/>
      <x:c r="AK103" s="59"/>
      <x:c r="AL103" s="59"/>
      <x:c r="AM103" s="59"/>
      <x:c r="AN103" s="59"/>
    </x:row>
    <x:row r="104">
      <x:c r="A104" s="59"/>
      <x:c r="B104" s="59"/>
      <x:c r="C104" s="59"/>
      <x:c r="D104" s="59"/>
      <x:c r="E104" s="59"/>
      <x:c r="F104" s="59"/>
      <x:c r="G104" s="59"/>
      <x:c r="H104" s="59"/>
      <x:c r="I104" s="59"/>
      <x:c r="J104" s="59"/>
      <x:c r="K104" s="59"/>
      <x:c r="L104" s="59"/>
      <x:c r="M104" s="59"/>
      <x:c r="N104" s="59"/>
      <x:c r="O104" s="59"/>
      <x:c r="P104" s="59"/>
      <x:c r="Q104" s="59"/>
      <x:c r="R104" s="59"/>
      <x:c r="S104" s="59"/>
      <x:c r="T104" s="59"/>
      <x:c r="U104" s="59"/>
      <x:c r="V104" s="59"/>
      <x:c r="W104" s="59"/>
      <x:c r="X104" s="59"/>
      <x:c r="Y104" s="59"/>
      <x:c r="Z104" s="59"/>
      <x:c r="AA104" s="59"/>
      <x:c r="AB104" s="59"/>
      <x:c r="AC104" s="59"/>
      <x:c r="AD104" s="59"/>
      <x:c r="AE104" s="59"/>
      <x:c r="AF104" s="59"/>
      <x:c r="AG104" s="59"/>
      <x:c r="AH104" s="59"/>
      <x:c r="AI104" s="59"/>
      <x:c r="AJ104" s="59"/>
      <x:c r="AK104" s="59"/>
      <x:c r="AL104" s="59"/>
      <x:c r="AM104" s="59"/>
      <x:c r="AN104" s="59"/>
    </x:row>
    <x:row r="105">
      <x:c r="A105" s="59"/>
      <x:c r="B105" s="59"/>
      <x:c r="C105" s="59"/>
      <x:c r="D105" s="59"/>
      <x:c r="E105" s="59"/>
      <x:c r="F105" s="59"/>
      <x:c r="G105" s="59"/>
      <x:c r="H105" s="59"/>
      <x:c r="I105" s="59"/>
      <x:c r="J105" s="59"/>
      <x:c r="K105" s="59"/>
      <x:c r="L105" s="59"/>
      <x:c r="M105" s="59"/>
      <x:c r="N105" s="59"/>
      <x:c r="O105" s="59"/>
      <x:c r="P105" s="59"/>
      <x:c r="Q105" s="59"/>
      <x:c r="R105" s="59"/>
      <x:c r="S105" s="59"/>
      <x:c r="T105" s="59"/>
      <x:c r="U105" s="59"/>
      <x:c r="V105" s="59"/>
      <x:c r="W105" s="59"/>
      <x:c r="X105" s="59"/>
      <x:c r="Y105" s="59"/>
      <x:c r="Z105" s="59"/>
      <x:c r="AA105" s="59"/>
      <x:c r="AB105" s="59"/>
      <x:c r="AC105" s="59"/>
      <x:c r="AD105" s="59"/>
      <x:c r="AE105" s="59"/>
      <x:c r="AF105" s="59"/>
      <x:c r="AG105" s="59"/>
      <x:c r="AH105" s="59"/>
      <x:c r="AI105" s="59"/>
      <x:c r="AJ105" s="59"/>
      <x:c r="AK105" s="59"/>
      <x:c r="AL105" s="59"/>
      <x:c r="AM105" s="59"/>
      <x:c r="AN105" s="59"/>
    </x:row>
    <x:row r="106">
      <x:c r="A106" s="59"/>
      <x:c r="B106" s="59"/>
      <x:c r="C106" s="59"/>
      <x:c r="D106" s="59"/>
      <x:c r="E106" s="59"/>
      <x:c r="F106" s="59"/>
      <x:c r="G106" s="59"/>
      <x:c r="H106" s="59"/>
      <x:c r="I106" s="59"/>
      <x:c r="J106" s="59"/>
      <x:c r="K106" s="59"/>
      <x:c r="L106" s="59"/>
      <x:c r="M106" s="59"/>
      <x:c r="N106" s="59"/>
      <x:c r="O106" s="59"/>
      <x:c r="P106" s="59"/>
      <x:c r="Q106" s="59"/>
      <x:c r="R106" s="59"/>
      <x:c r="S106" s="59"/>
      <x:c r="T106" s="59"/>
      <x:c r="U106" s="59"/>
      <x:c r="V106" s="59"/>
      <x:c r="W106" s="59"/>
      <x:c r="X106" s="59"/>
      <x:c r="Y106" s="59"/>
      <x:c r="Z106" s="59"/>
      <x:c r="AA106" s="59"/>
      <x:c r="AB106" s="59"/>
      <x:c r="AC106" s="59"/>
      <x:c r="AD106" s="59"/>
      <x:c r="AE106" s="59"/>
      <x:c r="AF106" s="59"/>
      <x:c r="AG106" s="59"/>
      <x:c r="AH106" s="59"/>
      <x:c r="AI106" s="59"/>
      <x:c r="AJ106" s="59"/>
      <x:c r="AK106" s="59"/>
      <x:c r="AL106" s="59"/>
      <x:c r="AM106" s="59"/>
      <x:c r="AN106" s="59"/>
    </x:row>
    <x:row r="107">
      <x:c r="A107" s="59"/>
      <x:c r="B107" s="59"/>
      <x:c r="C107" s="59"/>
      <x:c r="D107" s="59"/>
      <x:c r="E107" s="59"/>
      <x:c r="F107" s="59"/>
      <x:c r="G107" s="59"/>
      <x:c r="H107" s="59"/>
      <x:c r="I107" s="59"/>
      <x:c r="J107" s="59"/>
      <x:c r="K107" s="59"/>
      <x:c r="L107" s="59"/>
      <x:c r="M107" s="59"/>
      <x:c r="N107" s="59"/>
      <x:c r="O107" s="59"/>
      <x:c r="P107" s="59"/>
      <x:c r="Q107" s="59"/>
      <x:c r="R107" s="59"/>
      <x:c r="S107" s="59"/>
      <x:c r="T107" s="59"/>
      <x:c r="U107" s="59"/>
      <x:c r="V107" s="59"/>
      <x:c r="W107" s="59"/>
      <x:c r="X107" s="59"/>
      <x:c r="Y107" s="59"/>
      <x:c r="Z107" s="59"/>
      <x:c r="AA107" s="59"/>
      <x:c r="AB107" s="59"/>
      <x:c r="AC107" s="59"/>
      <x:c r="AD107" s="59"/>
      <x:c r="AE107" s="59"/>
      <x:c r="AF107" s="59"/>
      <x:c r="AG107" s="59"/>
      <x:c r="AH107" s="59"/>
      <x:c r="AI107" s="59"/>
      <x:c r="AJ107" s="59"/>
      <x:c r="AK107" s="59"/>
      <x:c r="AL107" s="59"/>
      <x:c r="AM107" s="59"/>
      <x:c r="AN107" s="59"/>
    </x:row>
    <x:row r="108">
      <x:c r="A108" s="59"/>
      <x:c r="B108" s="59"/>
      <x:c r="C108" s="59"/>
      <x:c r="D108" s="59"/>
      <x:c r="E108" s="59"/>
      <x:c r="F108" s="59"/>
      <x:c r="G108" s="59"/>
      <x:c r="H108" s="59"/>
      <x:c r="I108" s="59"/>
      <x:c r="J108" s="59"/>
      <x:c r="K108" s="59"/>
      <x:c r="L108" s="59"/>
      <x:c r="M108" s="59"/>
      <x:c r="N108" s="59"/>
      <x:c r="O108" s="59"/>
      <x:c r="P108" s="59"/>
      <x:c r="Q108" s="59"/>
      <x:c r="R108" s="59"/>
      <x:c r="S108" s="59"/>
      <x:c r="T108" s="59"/>
      <x:c r="U108" s="59"/>
      <x:c r="V108" s="59"/>
      <x:c r="W108" s="59"/>
      <x:c r="X108" s="59"/>
      <x:c r="Y108" s="59"/>
      <x:c r="Z108" s="59"/>
      <x:c r="AA108" s="59"/>
      <x:c r="AB108" s="59"/>
      <x:c r="AC108" s="59"/>
      <x:c r="AD108" s="59"/>
      <x:c r="AE108" s="59"/>
      <x:c r="AF108" s="59"/>
      <x:c r="AG108" s="59"/>
      <x:c r="AH108" s="59"/>
      <x:c r="AI108" s="59"/>
      <x:c r="AJ108" s="59"/>
      <x:c r="AK108" s="59"/>
      <x:c r="AL108" s="59"/>
      <x:c r="AM108" s="59"/>
      <x:c r="AN108" s="59"/>
    </x:row>
    <x:row r="109">
      <x:c r="A109" s="59"/>
      <x:c r="B109" s="59"/>
      <x:c r="C109" s="59"/>
      <x:c r="D109" s="59"/>
      <x:c r="E109" s="59"/>
      <x:c r="F109" s="59"/>
      <x:c r="G109" s="59"/>
      <x:c r="H109" s="59"/>
      <x:c r="I109" s="59"/>
      <x:c r="J109" s="59"/>
      <x:c r="K109" s="59"/>
      <x:c r="L109" s="59"/>
      <x:c r="M109" s="59"/>
      <x:c r="N109" s="59"/>
      <x:c r="O109" s="59"/>
      <x:c r="P109" s="59"/>
      <x:c r="Q109" s="59"/>
      <x:c r="R109" s="59"/>
      <x:c r="S109" s="59"/>
      <x:c r="T109" s="59"/>
      <x:c r="U109" s="59"/>
      <x:c r="V109" s="59"/>
      <x:c r="W109" s="59"/>
      <x:c r="X109" s="59"/>
      <x:c r="Y109" s="59"/>
      <x:c r="Z109" s="59"/>
      <x:c r="AA109" s="59"/>
      <x:c r="AB109" s="59"/>
      <x:c r="AC109" s="59"/>
      <x:c r="AD109" s="59"/>
      <x:c r="AE109" s="59"/>
      <x:c r="AF109" s="59"/>
      <x:c r="AG109" s="59"/>
      <x:c r="AH109" s="59"/>
      <x:c r="AI109" s="59"/>
      <x:c r="AJ109" s="59"/>
      <x:c r="AK109" s="59"/>
      <x:c r="AL109" s="59"/>
      <x:c r="AM109" s="59"/>
      <x:c r="AN109" s="59"/>
    </x:row>
    <x:row r="110">
      <x:c r="A110" s="59"/>
      <x:c r="B110" s="59"/>
      <x:c r="C110" s="59"/>
      <x:c r="D110" s="59"/>
      <x:c r="E110" s="59"/>
      <x:c r="F110" s="59"/>
      <x:c r="G110" s="59"/>
      <x:c r="H110" s="59"/>
      <x:c r="I110" s="59"/>
      <x:c r="J110" s="59"/>
      <x:c r="K110" s="59"/>
      <x:c r="L110" s="59"/>
      <x:c r="M110" s="59"/>
      <x:c r="N110" s="59"/>
      <x:c r="O110" s="59"/>
      <x:c r="P110" s="59"/>
      <x:c r="Q110" s="59"/>
      <x:c r="R110" s="59"/>
      <x:c r="S110" s="59"/>
      <x:c r="T110" s="59"/>
      <x:c r="U110" s="59"/>
      <x:c r="V110" s="59"/>
      <x:c r="W110" s="59"/>
      <x:c r="X110" s="59"/>
      <x:c r="Y110" s="59"/>
      <x:c r="Z110" s="59"/>
      <x:c r="AA110" s="59"/>
      <x:c r="AB110" s="59"/>
      <x:c r="AC110" s="59"/>
      <x:c r="AD110" s="59"/>
      <x:c r="AE110" s="59"/>
      <x:c r="AF110" s="59"/>
      <x:c r="AG110" s="59"/>
      <x:c r="AH110" s="59"/>
      <x:c r="AI110" s="59"/>
      <x:c r="AJ110" s="59"/>
      <x:c r="AK110" s="59"/>
      <x:c r="AL110" s="59"/>
      <x:c r="AM110" s="59"/>
      <x:c r="AN110" s="59"/>
    </x:row>
    <x:row r="111">
      <x:c r="A111" s="59"/>
      <x:c r="B111" s="59"/>
      <x:c r="C111" s="59"/>
      <x:c r="D111" s="59"/>
      <x:c r="E111" s="59"/>
      <x:c r="F111" s="59"/>
      <x:c r="G111" s="59"/>
      <x:c r="H111" s="59"/>
      <x:c r="I111" s="59"/>
      <x:c r="J111" s="59"/>
      <x:c r="K111" s="59"/>
      <x:c r="L111" s="59"/>
      <x:c r="M111" s="59"/>
      <x:c r="N111" s="59"/>
      <x:c r="O111" s="59"/>
      <x:c r="P111" s="59"/>
      <x:c r="Q111" s="59"/>
      <x:c r="R111" s="59"/>
      <x:c r="S111" s="59"/>
      <x:c r="T111" s="59"/>
      <x:c r="U111" s="59"/>
      <x:c r="V111" s="59"/>
      <x:c r="W111" s="59"/>
      <x:c r="X111" s="59"/>
      <x:c r="Y111" s="59"/>
      <x:c r="Z111" s="59"/>
      <x:c r="AA111" s="59"/>
      <x:c r="AB111" s="59"/>
      <x:c r="AC111" s="59"/>
      <x:c r="AD111" s="59"/>
      <x:c r="AE111" s="59"/>
      <x:c r="AF111" s="59"/>
      <x:c r="AG111" s="59"/>
      <x:c r="AH111" s="59"/>
      <x:c r="AI111" s="59"/>
      <x:c r="AJ111" s="59"/>
      <x:c r="AK111" s="59"/>
      <x:c r="AL111" s="59"/>
      <x:c r="AM111" s="59"/>
      <x:c r="AN111" s="59"/>
    </x:row>
    <x:row r="112">
      <x:c r="A112" s="59"/>
      <x:c r="B112" s="59"/>
      <x:c r="C112" s="59"/>
      <x:c r="D112" s="59"/>
      <x:c r="E112" s="59"/>
      <x:c r="F112" s="59"/>
      <x:c r="G112" s="59"/>
      <x:c r="H112" s="59"/>
      <x:c r="I112" s="59"/>
      <x:c r="J112" s="59"/>
      <x:c r="K112" s="59"/>
      <x:c r="L112" s="59"/>
      <x:c r="M112" s="59"/>
      <x:c r="N112" s="59"/>
      <x:c r="O112" s="59"/>
      <x:c r="P112" s="59"/>
      <x:c r="Q112" s="59"/>
      <x:c r="R112" s="59"/>
      <x:c r="S112" s="59"/>
      <x:c r="T112" s="59"/>
      <x:c r="U112" s="59"/>
      <x:c r="V112" s="59"/>
      <x:c r="W112" s="59"/>
      <x:c r="X112" s="59"/>
      <x:c r="Y112" s="59"/>
      <x:c r="Z112" s="59"/>
      <x:c r="AA112" s="59"/>
      <x:c r="AB112" s="59"/>
      <x:c r="AC112" s="59"/>
      <x:c r="AD112" s="59"/>
      <x:c r="AE112" s="59"/>
      <x:c r="AF112" s="59"/>
      <x:c r="AG112" s="59"/>
      <x:c r="AH112" s="59"/>
      <x:c r="AI112" s="59"/>
      <x:c r="AJ112" s="59"/>
      <x:c r="AK112" s="59"/>
      <x:c r="AL112" s="59"/>
      <x:c r="AM112" s="59"/>
      <x:c r="AN112" s="59"/>
    </x:row>
    <x:row r="113">
      <x:c r="A113" s="59"/>
      <x:c r="B113" s="59"/>
      <x:c r="C113" s="59"/>
      <x:c r="D113" s="59"/>
      <x:c r="E113" s="59"/>
      <x:c r="F113" s="59"/>
      <x:c r="G113" s="59"/>
      <x:c r="H113" s="59"/>
      <x:c r="I113" s="59"/>
      <x:c r="J113" s="59"/>
      <x:c r="K113" s="59"/>
      <x:c r="L113" s="59"/>
      <x:c r="M113" s="59"/>
      <x:c r="N113" s="59"/>
      <x:c r="O113" s="59"/>
      <x:c r="P113" s="59"/>
      <x:c r="Q113" s="59"/>
      <x:c r="R113" s="59"/>
      <x:c r="S113" s="59"/>
      <x:c r="T113" s="59"/>
      <x:c r="U113" s="59"/>
      <x:c r="V113" s="59"/>
      <x:c r="W113" s="59"/>
      <x:c r="X113" s="59"/>
      <x:c r="Y113" s="59"/>
      <x:c r="Z113" s="59"/>
      <x:c r="AA113" s="59"/>
      <x:c r="AB113" s="59"/>
      <x:c r="AC113" s="59"/>
      <x:c r="AD113" s="59"/>
      <x:c r="AE113" s="59"/>
      <x:c r="AF113" s="59"/>
      <x:c r="AG113" s="59"/>
      <x:c r="AH113" s="59"/>
      <x:c r="AI113" s="59"/>
      <x:c r="AJ113" s="59"/>
      <x:c r="AK113" s="59"/>
      <x:c r="AL113" s="59"/>
      <x:c r="AM113" s="59"/>
      <x:c r="AN113" s="59"/>
    </x:row>
    <x:row r="114">
      <x:c r="A114" s="59"/>
      <x:c r="B114" s="59"/>
      <x:c r="C114" s="59"/>
      <x:c r="D114" s="59"/>
      <x:c r="E114" s="59"/>
      <x:c r="F114" s="59"/>
      <x:c r="G114" s="59"/>
      <x:c r="H114" s="59"/>
      <x:c r="I114" s="59"/>
      <x:c r="J114" s="59"/>
      <x:c r="K114" s="59"/>
      <x:c r="L114" s="59"/>
      <x:c r="M114" s="59"/>
      <x:c r="N114" s="59"/>
      <x:c r="O114" s="59"/>
      <x:c r="P114" s="59"/>
      <x:c r="Q114" s="59"/>
      <x:c r="R114" s="59"/>
      <x:c r="S114" s="59"/>
      <x:c r="T114" s="59"/>
      <x:c r="U114" s="59"/>
      <x:c r="V114" s="59"/>
      <x:c r="W114" s="59"/>
      <x:c r="X114" s="59"/>
      <x:c r="Y114" s="59"/>
      <x:c r="Z114" s="59"/>
      <x:c r="AA114" s="59"/>
      <x:c r="AB114" s="59"/>
      <x:c r="AC114" s="59"/>
      <x:c r="AD114" s="59"/>
      <x:c r="AE114" s="59"/>
      <x:c r="AF114" s="59"/>
      <x:c r="AG114" s="59"/>
      <x:c r="AH114" s="59"/>
      <x:c r="AI114" s="59"/>
      <x:c r="AJ114" s="59"/>
      <x:c r="AK114" s="59"/>
      <x:c r="AL114" s="59"/>
      <x:c r="AM114" s="59"/>
      <x:c r="AN114" s="59"/>
    </x:row>
    <x:row r="115">
      <x:c r="A115" s="59"/>
      <x:c r="B115" s="59"/>
      <x:c r="C115" s="59"/>
      <x:c r="D115" s="59"/>
      <x:c r="E115" s="59"/>
      <x:c r="F115" s="59"/>
      <x:c r="G115" s="59"/>
      <x:c r="H115" s="59"/>
      <x:c r="I115" s="59"/>
      <x:c r="J115" s="59"/>
      <x:c r="K115" s="59"/>
      <x:c r="L115" s="59"/>
      <x:c r="M115" s="59"/>
      <x:c r="N115" s="59"/>
      <x:c r="O115" s="59"/>
      <x:c r="P115" s="59"/>
      <x:c r="Q115" s="59"/>
      <x:c r="R115" s="59"/>
      <x:c r="S115" s="59"/>
      <x:c r="T115" s="59"/>
      <x:c r="U115" s="59"/>
      <x:c r="V115" s="59"/>
      <x:c r="W115" s="59"/>
      <x:c r="X115" s="59"/>
      <x:c r="Y115" s="59"/>
      <x:c r="Z115" s="59"/>
      <x:c r="AA115" s="59"/>
      <x:c r="AB115" s="59"/>
      <x:c r="AC115" s="59"/>
      <x:c r="AD115" s="59"/>
      <x:c r="AE115" s="59"/>
      <x:c r="AF115" s="59"/>
      <x:c r="AG115" s="59"/>
      <x:c r="AH115" s="59"/>
      <x:c r="AI115" s="59"/>
      <x:c r="AJ115" s="59"/>
      <x:c r="AK115" s="59"/>
      <x:c r="AL115" s="59"/>
      <x:c r="AM115" s="59"/>
      <x:c r="AN115" s="59"/>
    </x:row>
    <x:row r="116">
      <x:c r="A116" s="59"/>
      <x:c r="B116" s="59"/>
      <x:c r="C116" s="59"/>
      <x:c r="D116" s="59"/>
      <x:c r="E116" s="59"/>
      <x:c r="F116" s="59"/>
      <x:c r="G116" s="59"/>
      <x:c r="H116" s="59"/>
      <x:c r="I116" s="59"/>
      <x:c r="J116" s="59"/>
      <x:c r="K116" s="59"/>
      <x:c r="L116" s="59"/>
      <x:c r="M116" s="59"/>
      <x:c r="N116" s="59"/>
      <x:c r="O116" s="59"/>
      <x:c r="P116" s="59"/>
      <x:c r="Q116" s="59"/>
      <x:c r="R116" s="59"/>
      <x:c r="S116" s="59"/>
      <x:c r="T116" s="59"/>
      <x:c r="U116" s="59"/>
      <x:c r="V116" s="59"/>
      <x:c r="W116" s="59"/>
      <x:c r="X116" s="59"/>
      <x:c r="Y116" s="59"/>
      <x:c r="Z116" s="59"/>
      <x:c r="AA116" s="59"/>
      <x:c r="AB116" s="59"/>
      <x:c r="AC116" s="59"/>
      <x:c r="AD116" s="59"/>
      <x:c r="AE116" s="59"/>
      <x:c r="AF116" s="59"/>
      <x:c r="AG116" s="59"/>
      <x:c r="AH116" s="59"/>
      <x:c r="AI116" s="59"/>
      <x:c r="AJ116" s="59"/>
      <x:c r="AK116" s="59"/>
      <x:c r="AL116" s="59"/>
      <x:c r="AM116" s="59"/>
      <x:c r="AN116" s="59"/>
    </x:row>
    <x:row r="117">
      <x:c r="A117" s="59"/>
      <x:c r="B117" s="59"/>
      <x:c r="C117" s="59"/>
      <x:c r="D117" s="59"/>
      <x:c r="E117" s="59"/>
      <x:c r="F117" s="59"/>
      <x:c r="G117" s="59"/>
      <x:c r="H117" s="59"/>
      <x:c r="I117" s="59"/>
      <x:c r="J117" s="59"/>
      <x:c r="K117" s="59"/>
      <x:c r="L117" s="59"/>
      <x:c r="M117" s="59"/>
      <x:c r="N117" s="59"/>
      <x:c r="O117" s="59"/>
      <x:c r="P117" s="59"/>
      <x:c r="Q117" s="59"/>
      <x:c r="R117" s="59"/>
      <x:c r="S117" s="59"/>
      <x:c r="T117" s="59"/>
      <x:c r="U117" s="59"/>
      <x:c r="V117" s="59"/>
      <x:c r="W117" s="59"/>
      <x:c r="X117" s="59"/>
      <x:c r="Y117" s="59"/>
      <x:c r="Z117" s="59"/>
      <x:c r="AA117" s="59"/>
      <x:c r="AB117" s="59"/>
      <x:c r="AC117" s="59"/>
      <x:c r="AD117" s="59"/>
      <x:c r="AE117" s="59"/>
      <x:c r="AF117" s="59"/>
      <x:c r="AG117" s="59"/>
      <x:c r="AH117" s="59"/>
      <x:c r="AI117" s="59"/>
      <x:c r="AJ117" s="59"/>
      <x:c r="AK117" s="59"/>
      <x:c r="AL117" s="59"/>
      <x:c r="AM117" s="59"/>
      <x:c r="AN117" s="59"/>
    </x:row>
    <x:row r="118">
      <x:c r="A118" s="59"/>
      <x:c r="B118" s="59"/>
      <x:c r="C118" s="59"/>
      <x:c r="D118" s="59"/>
      <x:c r="E118" s="59"/>
      <x:c r="F118" s="59"/>
      <x:c r="G118" s="59"/>
      <x:c r="H118" s="59"/>
      <x:c r="I118" s="59"/>
      <x:c r="J118" s="59"/>
      <x:c r="K118" s="59"/>
      <x:c r="L118" s="59"/>
      <x:c r="M118" s="59"/>
      <x:c r="N118" s="59"/>
      <x:c r="O118" s="59"/>
      <x:c r="P118" s="59"/>
      <x:c r="Q118" s="59"/>
      <x:c r="R118" s="59"/>
      <x:c r="S118" s="59"/>
      <x:c r="T118" s="59"/>
      <x:c r="U118" s="59"/>
      <x:c r="V118" s="59"/>
      <x:c r="W118" s="59"/>
      <x:c r="X118" s="59"/>
      <x:c r="Y118" s="59"/>
      <x:c r="Z118" s="59"/>
      <x:c r="AA118" s="59"/>
      <x:c r="AB118" s="59"/>
      <x:c r="AC118" s="59"/>
      <x:c r="AD118" s="59"/>
      <x:c r="AE118" s="59"/>
      <x:c r="AF118" s="59"/>
      <x:c r="AG118" s="59"/>
      <x:c r="AH118" s="59"/>
      <x:c r="AI118" s="59"/>
      <x:c r="AJ118" s="59"/>
      <x:c r="AK118" s="59"/>
      <x:c r="AL118" s="59"/>
      <x:c r="AM118" s="59"/>
      <x:c r="AN118" s="59"/>
    </x:row>
    <x:row r="119">
      <x:c r="A119" s="59"/>
      <x:c r="B119" s="59"/>
      <x:c r="C119" s="59"/>
      <x:c r="D119" s="59"/>
      <x:c r="E119" s="59"/>
      <x:c r="F119" s="59"/>
      <x:c r="G119" s="59"/>
      <x:c r="H119" s="59"/>
      <x:c r="I119" s="59"/>
      <x:c r="J119" s="59"/>
      <x:c r="K119" s="59"/>
      <x:c r="L119" s="59"/>
      <x:c r="M119" s="59"/>
      <x:c r="N119" s="59"/>
      <x:c r="O119" s="59"/>
      <x:c r="P119" s="59"/>
      <x:c r="Q119" s="59"/>
      <x:c r="R119" s="59"/>
      <x:c r="S119" s="59"/>
      <x:c r="T119" s="59"/>
      <x:c r="U119" s="59"/>
      <x:c r="V119" s="59"/>
      <x:c r="W119" s="59"/>
      <x:c r="X119" s="59"/>
      <x:c r="Y119" s="59"/>
      <x:c r="Z119" s="59"/>
      <x:c r="AA119" s="59"/>
      <x:c r="AB119" s="59"/>
      <x:c r="AC119" s="59"/>
      <x:c r="AD119" s="59"/>
      <x:c r="AE119" s="59"/>
      <x:c r="AF119" s="59"/>
      <x:c r="AG119" s="59"/>
      <x:c r="AH119" s="59"/>
      <x:c r="AI119" s="59"/>
      <x:c r="AJ119" s="59"/>
      <x:c r="AK119" s="59"/>
      <x:c r="AL119" s="59"/>
      <x:c r="AM119" s="59"/>
      <x:c r="AN119" s="59"/>
    </x:row>
    <x:row r="120">
      <x:c r="A120" s="59"/>
      <x:c r="B120" s="59"/>
      <x:c r="C120" s="59"/>
      <x:c r="D120" s="59"/>
      <x:c r="E120" s="59"/>
      <x:c r="F120" s="59"/>
      <x:c r="G120" s="59"/>
      <x:c r="H120" s="59"/>
      <x:c r="I120" s="59"/>
      <x:c r="J120" s="59"/>
      <x:c r="K120" s="59"/>
      <x:c r="L120" s="59"/>
      <x:c r="M120" s="59"/>
      <x:c r="N120" s="59"/>
      <x:c r="O120" s="59"/>
      <x:c r="P120" s="59"/>
      <x:c r="Q120" s="59"/>
      <x:c r="R120" s="59"/>
      <x:c r="S120" s="59"/>
      <x:c r="T120" s="59"/>
      <x:c r="U120" s="59"/>
      <x:c r="V120" s="59"/>
      <x:c r="W120" s="59"/>
      <x:c r="X120" s="59"/>
      <x:c r="Y120" s="59"/>
      <x:c r="Z120" s="59"/>
      <x:c r="AA120" s="59"/>
      <x:c r="AB120" s="59"/>
      <x:c r="AC120" s="59"/>
      <x:c r="AD120" s="59"/>
      <x:c r="AE120" s="59"/>
      <x:c r="AF120" s="59"/>
      <x:c r="AG120" s="59"/>
      <x:c r="AH120" s="59"/>
      <x:c r="AI120" s="59"/>
      <x:c r="AJ120" s="59"/>
      <x:c r="AK120" s="59"/>
      <x:c r="AL120" s="59"/>
      <x:c r="AM120" s="59"/>
      <x:c r="AN120" s="59"/>
    </x:row>
    <x:row r="121">
      <x:c r="A121" s="59"/>
      <x:c r="B121" s="59"/>
      <x:c r="C121" s="59"/>
      <x:c r="D121" s="59"/>
      <x:c r="E121" s="59"/>
      <x:c r="F121" s="59"/>
      <x:c r="G121" s="59"/>
      <x:c r="H121" s="59"/>
      <x:c r="I121" s="59"/>
      <x:c r="J121" s="59"/>
      <x:c r="K121" s="59"/>
      <x:c r="L121" s="59"/>
      <x:c r="M121" s="59"/>
      <x:c r="N121" s="59"/>
      <x:c r="O121" s="59"/>
      <x:c r="P121" s="59"/>
      <x:c r="Q121" s="59"/>
      <x:c r="R121" s="59"/>
      <x:c r="S121" s="59"/>
      <x:c r="T121" s="59"/>
      <x:c r="U121" s="59"/>
      <x:c r="V121" s="59"/>
      <x:c r="W121" s="59"/>
      <x:c r="X121" s="59"/>
      <x:c r="Y121" s="59"/>
      <x:c r="Z121" s="59"/>
      <x:c r="AA121" s="59"/>
      <x:c r="AB121" s="59"/>
      <x:c r="AC121" s="59"/>
      <x:c r="AD121" s="59"/>
      <x:c r="AE121" s="59"/>
      <x:c r="AF121" s="59"/>
      <x:c r="AG121" s="59"/>
      <x:c r="AH121" s="59"/>
      <x:c r="AI121" s="59"/>
      <x:c r="AJ121" s="59"/>
      <x:c r="AK121" s="59"/>
      <x:c r="AL121" s="59"/>
      <x:c r="AM121" s="59"/>
      <x:c r="AN121" s="59"/>
    </x:row>
    <x:row r="122">
      <x:c r="A122" s="59"/>
      <x:c r="B122" s="59"/>
      <x:c r="C122" s="59"/>
      <x:c r="D122" s="59"/>
      <x:c r="E122" s="59"/>
      <x:c r="F122" s="59"/>
      <x:c r="G122" s="59"/>
      <x:c r="H122" s="59"/>
      <x:c r="I122" s="59"/>
      <x:c r="J122" s="59"/>
      <x:c r="K122" s="59"/>
      <x:c r="L122" s="59"/>
      <x:c r="M122" s="59"/>
      <x:c r="N122" s="59"/>
      <x:c r="O122" s="59"/>
      <x:c r="P122" s="59"/>
      <x:c r="Q122" s="59"/>
      <x:c r="R122" s="59"/>
      <x:c r="S122" s="59"/>
      <x:c r="T122" s="59"/>
      <x:c r="U122" s="59"/>
      <x:c r="V122" s="59"/>
      <x:c r="W122" s="59"/>
      <x:c r="X122" s="59"/>
      <x:c r="Y122" s="59"/>
      <x:c r="Z122" s="59"/>
      <x:c r="AA122" s="59"/>
      <x:c r="AB122" s="59"/>
      <x:c r="AC122" s="59"/>
      <x:c r="AD122" s="59"/>
      <x:c r="AE122" s="59"/>
      <x:c r="AF122" s="59"/>
      <x:c r="AG122" s="59"/>
      <x:c r="AH122" s="59"/>
      <x:c r="AI122" s="59"/>
      <x:c r="AJ122" s="59"/>
      <x:c r="AK122" s="59"/>
      <x:c r="AL122" s="59"/>
      <x:c r="AM122" s="59"/>
      <x:c r="AN122" s="59"/>
    </x:row>
    <x:row r="123">
      <x:c r="A123" s="59"/>
      <x:c r="B123" s="59"/>
      <x:c r="C123" s="59"/>
      <x:c r="D123" s="59"/>
      <x:c r="E123" s="59"/>
      <x:c r="F123" s="59"/>
      <x:c r="G123" s="59"/>
      <x:c r="H123" s="59"/>
      <x:c r="I123" s="59"/>
      <x:c r="J123" s="59"/>
      <x:c r="K123" s="59"/>
      <x:c r="L123" s="59"/>
      <x:c r="M123" s="59"/>
      <x:c r="N123" s="59"/>
      <x:c r="O123" s="59"/>
      <x:c r="P123" s="59"/>
      <x:c r="Q123" s="59"/>
      <x:c r="R123" s="59"/>
      <x:c r="S123" s="59"/>
      <x:c r="T123" s="59"/>
      <x:c r="U123" s="59"/>
      <x:c r="V123" s="59"/>
      <x:c r="W123" s="59"/>
      <x:c r="X123" s="59"/>
      <x:c r="Y123" s="59"/>
      <x:c r="Z123" s="59"/>
      <x:c r="AA123" s="59"/>
      <x:c r="AB123" s="59"/>
      <x:c r="AC123" s="59"/>
      <x:c r="AD123" s="59"/>
      <x:c r="AE123" s="59"/>
      <x:c r="AF123" s="59"/>
      <x:c r="AG123" s="59"/>
      <x:c r="AH123" s="59"/>
      <x:c r="AI123" s="59"/>
      <x:c r="AJ123" s="59"/>
      <x:c r="AK123" s="59"/>
      <x:c r="AL123" s="59"/>
      <x:c r="AM123" s="59"/>
      <x:c r="AN123" s="59"/>
    </x:row>
    <x:row r="124">
      <x:c r="A124" s="59"/>
      <x:c r="B124" s="59"/>
      <x:c r="C124" s="59"/>
      <x:c r="D124" s="59"/>
      <x:c r="E124" s="59"/>
      <x:c r="F124" s="59"/>
      <x:c r="G124" s="59"/>
      <x:c r="H124" s="59"/>
      <x:c r="I124" s="59"/>
      <x:c r="J124" s="59"/>
      <x:c r="K124" s="59"/>
      <x:c r="L124" s="59"/>
      <x:c r="M124" s="59"/>
      <x:c r="N124" s="59"/>
      <x:c r="O124" s="59"/>
      <x:c r="P124" s="59"/>
      <x:c r="Q124" s="59"/>
      <x:c r="R124" s="59"/>
      <x:c r="S124" s="59"/>
      <x:c r="T124" s="59"/>
      <x:c r="U124" s="59"/>
      <x:c r="V124" s="59"/>
      <x:c r="W124" s="59"/>
      <x:c r="X124" s="59"/>
      <x:c r="Y124" s="59"/>
      <x:c r="Z124" s="59"/>
      <x:c r="AA124" s="59"/>
      <x:c r="AB124" s="59"/>
      <x:c r="AC124" s="59"/>
      <x:c r="AD124" s="59"/>
      <x:c r="AE124" s="59"/>
      <x:c r="AF124" s="59"/>
      <x:c r="AG124" s="59"/>
      <x:c r="AH124" s="59"/>
      <x:c r="AI124" s="59"/>
      <x:c r="AJ124" s="59"/>
      <x:c r="AK124" s="59"/>
      <x:c r="AL124" s="59"/>
      <x:c r="AM124" s="59"/>
      <x:c r="AN124" s="59"/>
    </x:row>
    <x:row r="125">
      <x:c r="A125" s="59"/>
      <x:c r="B125" s="59"/>
      <x:c r="C125" s="59"/>
      <x:c r="D125" s="59"/>
      <x:c r="E125" s="59"/>
      <x:c r="F125" s="59"/>
      <x:c r="G125" s="59"/>
      <x:c r="H125" s="59"/>
      <x:c r="I125" s="59"/>
      <x:c r="J125" s="59"/>
      <x:c r="K125" s="59"/>
      <x:c r="L125" s="59"/>
      <x:c r="M125" s="59"/>
      <x:c r="N125" s="59"/>
      <x:c r="O125" s="59"/>
      <x:c r="P125" s="59"/>
      <x:c r="Q125" s="59"/>
      <x:c r="R125" s="59"/>
      <x:c r="S125" s="59"/>
      <x:c r="T125" s="59"/>
      <x:c r="U125" s="59"/>
      <x:c r="V125" s="59"/>
      <x:c r="W125" s="59"/>
      <x:c r="X125" s="59"/>
      <x:c r="Y125" s="59"/>
      <x:c r="Z125" s="59"/>
      <x:c r="AA125" s="59"/>
      <x:c r="AB125" s="59"/>
      <x:c r="AC125" s="59"/>
      <x:c r="AD125" s="59"/>
      <x:c r="AE125" s="59"/>
      <x:c r="AF125" s="59"/>
      <x:c r="AG125" s="59"/>
      <x:c r="AH125" s="59"/>
      <x:c r="AI125" s="59"/>
      <x:c r="AJ125" s="59"/>
      <x:c r="AK125" s="59"/>
      <x:c r="AL125" s="59"/>
      <x:c r="AM125" s="59"/>
      <x:c r="AN125" s="59"/>
    </x:row>
    <x:row r="126">
      <x:c r="A126" s="59"/>
      <x:c r="B126" s="59"/>
      <x:c r="C126" s="59"/>
      <x:c r="D126" s="59"/>
      <x:c r="E126" s="59"/>
      <x:c r="F126" s="59"/>
      <x:c r="G126" s="59"/>
      <x:c r="H126" s="59"/>
      <x:c r="I126" s="59"/>
      <x:c r="J126" s="59"/>
      <x:c r="K126" s="59"/>
      <x:c r="L126" s="59"/>
      <x:c r="M126" s="59"/>
      <x:c r="N126" s="59"/>
      <x:c r="O126" s="59"/>
      <x:c r="P126" s="59"/>
      <x:c r="Q126" s="59"/>
      <x:c r="R126" s="59"/>
      <x:c r="S126" s="59"/>
      <x:c r="T126" s="59"/>
      <x:c r="U126" s="59"/>
      <x:c r="V126" s="59"/>
      <x:c r="W126" s="59"/>
      <x:c r="X126" s="59"/>
      <x:c r="Y126" s="59"/>
      <x:c r="Z126" s="59"/>
      <x:c r="AA126" s="59"/>
      <x:c r="AB126" s="59"/>
      <x:c r="AC126" s="59"/>
      <x:c r="AD126" s="59"/>
      <x:c r="AE126" s="59"/>
      <x:c r="AF126" s="59"/>
      <x:c r="AG126" s="59"/>
      <x:c r="AH126" s="59"/>
      <x:c r="AI126" s="59"/>
      <x:c r="AJ126" s="59"/>
      <x:c r="AK126" s="59"/>
      <x:c r="AL126" s="59"/>
      <x:c r="AM126" s="59"/>
      <x:c r="AN126" s="59"/>
    </x:row>
    <x:row r="127">
      <x:c r="A127" s="59"/>
      <x:c r="B127" s="59"/>
      <x:c r="C127" s="59"/>
      <x:c r="D127" s="59"/>
      <x:c r="E127" s="59"/>
      <x:c r="F127" s="59"/>
      <x:c r="G127" s="59"/>
      <x:c r="H127" s="59"/>
      <x:c r="I127" s="59"/>
      <x:c r="J127" s="59"/>
      <x:c r="K127" s="59"/>
      <x:c r="L127" s="59"/>
      <x:c r="M127" s="59"/>
      <x:c r="N127" s="59"/>
      <x:c r="O127" s="59"/>
      <x:c r="P127" s="59"/>
      <x:c r="Q127" s="59"/>
      <x:c r="R127" s="59"/>
      <x:c r="S127" s="59"/>
      <x:c r="T127" s="59"/>
      <x:c r="U127" s="59"/>
      <x:c r="V127" s="59"/>
      <x:c r="W127" s="59"/>
      <x:c r="X127" s="59"/>
      <x:c r="Y127" s="59"/>
      <x:c r="Z127" s="59"/>
      <x:c r="AA127" s="59"/>
      <x:c r="AB127" s="59"/>
      <x:c r="AC127" s="59"/>
      <x:c r="AD127" s="59"/>
      <x:c r="AE127" s="59"/>
      <x:c r="AF127" s="59"/>
      <x:c r="AG127" s="59"/>
      <x:c r="AH127" s="59"/>
      <x:c r="AI127" s="59"/>
      <x:c r="AJ127" s="59"/>
      <x:c r="AK127" s="59"/>
      <x:c r="AL127" s="59"/>
      <x:c r="AM127" s="59"/>
      <x:c r="AN127" s="59"/>
    </x:row>
    <x:row r="128">
      <x:c r="A128" s="59"/>
      <x:c r="B128" s="59"/>
      <x:c r="C128" s="59"/>
      <x:c r="D128" s="59"/>
      <x:c r="E128" s="59"/>
      <x:c r="F128" s="59"/>
      <x:c r="G128" s="59"/>
      <x:c r="H128" s="59"/>
      <x:c r="I128" s="59"/>
      <x:c r="J128" s="59"/>
      <x:c r="K128" s="59"/>
      <x:c r="L128" s="59"/>
      <x:c r="M128" s="59"/>
      <x:c r="N128" s="59"/>
      <x:c r="O128" s="59"/>
      <x:c r="P128" s="59"/>
      <x:c r="Q128" s="59"/>
      <x:c r="R128" s="59"/>
      <x:c r="S128" s="59"/>
      <x:c r="T128" s="59"/>
      <x:c r="U128" s="59"/>
      <x:c r="V128" s="59"/>
      <x:c r="W128" s="59"/>
      <x:c r="X128" s="59"/>
      <x:c r="Y128" s="59"/>
      <x:c r="Z128" s="59"/>
      <x:c r="AA128" s="59"/>
      <x:c r="AB128" s="59"/>
      <x:c r="AC128" s="59"/>
      <x:c r="AD128" s="59"/>
      <x:c r="AE128" s="59"/>
      <x:c r="AF128" s="59"/>
      <x:c r="AG128" s="59"/>
      <x:c r="AH128" s="59"/>
      <x:c r="AI128" s="59"/>
      <x:c r="AJ128" s="59"/>
      <x:c r="AK128" s="59"/>
      <x:c r="AL128" s="59"/>
      <x:c r="AM128" s="59"/>
      <x:c r="AN128" s="59"/>
    </x:row>
    <x:row r="129">
      <x:c r="A129" s="59"/>
      <x:c r="B129" s="59"/>
      <x:c r="C129" s="59"/>
      <x:c r="D129" s="59"/>
      <x:c r="E129" s="59"/>
      <x:c r="F129" s="59"/>
      <x:c r="G129" s="59"/>
      <x:c r="H129" s="59"/>
      <x:c r="I129" s="59"/>
      <x:c r="J129" s="59"/>
      <x:c r="K129" s="59"/>
      <x:c r="L129" s="59"/>
      <x:c r="M129" s="59"/>
      <x:c r="N129" s="59"/>
      <x:c r="O129" s="59"/>
      <x:c r="P129" s="59"/>
      <x:c r="Q129" s="59"/>
      <x:c r="R129" s="59"/>
      <x:c r="S129" s="59"/>
      <x:c r="T129" s="59"/>
      <x:c r="U129" s="59"/>
      <x:c r="V129" s="59"/>
      <x:c r="W129" s="59"/>
      <x:c r="X129" s="59"/>
      <x:c r="Y129" s="59"/>
      <x:c r="Z129" s="59"/>
      <x:c r="AA129" s="59"/>
      <x:c r="AB129" s="59"/>
      <x:c r="AC129" s="59"/>
      <x:c r="AD129" s="59"/>
      <x:c r="AE129" s="59"/>
      <x:c r="AF129" s="59"/>
      <x:c r="AG129" s="59"/>
      <x:c r="AH129" s="59"/>
      <x:c r="AI129" s="59"/>
      <x:c r="AJ129" s="59"/>
      <x:c r="AK129" s="59"/>
      <x:c r="AL129" s="59"/>
      <x:c r="AM129" s="59"/>
      <x:c r="AN129" s="59"/>
    </x:row>
    <x:row r="130">
      <x:c r="A130" s="59"/>
      <x:c r="B130" s="59"/>
      <x:c r="C130" s="59"/>
      <x:c r="D130" s="59"/>
      <x:c r="E130" s="59"/>
      <x:c r="F130" s="59"/>
      <x:c r="G130" s="59"/>
      <x:c r="H130" s="59"/>
      <x:c r="I130" s="59"/>
      <x:c r="J130" s="59"/>
      <x:c r="K130" s="59"/>
      <x:c r="L130" s="59"/>
      <x:c r="M130" s="59"/>
      <x:c r="N130" s="59"/>
      <x:c r="O130" s="59"/>
      <x:c r="P130" s="59"/>
      <x:c r="Q130" s="59"/>
      <x:c r="R130" s="59"/>
      <x:c r="S130" s="59"/>
      <x:c r="T130" s="59"/>
      <x:c r="U130" s="59"/>
      <x:c r="V130" s="59"/>
      <x:c r="W130" s="59"/>
      <x:c r="X130" s="59"/>
      <x:c r="Y130" s="59"/>
      <x:c r="Z130" s="59"/>
      <x:c r="AA130" s="59"/>
      <x:c r="AB130" s="59"/>
      <x:c r="AC130" s="59"/>
      <x:c r="AD130" s="59"/>
      <x:c r="AE130" s="59"/>
      <x:c r="AF130" s="59"/>
      <x:c r="AG130" s="59"/>
      <x:c r="AH130" s="59"/>
      <x:c r="AI130" s="59"/>
      <x:c r="AJ130" s="59"/>
      <x:c r="AK130" s="59"/>
      <x:c r="AL130" s="59"/>
      <x:c r="AM130" s="59"/>
      <x:c r="AN130" s="59"/>
    </x:row>
    <x:row r="131">
      <x:c r="A131" s="59"/>
      <x:c r="B131" s="59"/>
      <x:c r="C131" s="59"/>
      <x:c r="D131" s="59"/>
      <x:c r="E131" s="59"/>
      <x:c r="F131" s="59"/>
      <x:c r="G131" s="59"/>
      <x:c r="H131" s="59"/>
      <x:c r="I131" s="59"/>
      <x:c r="J131" s="59"/>
      <x:c r="K131" s="59"/>
      <x:c r="L131" s="59"/>
      <x:c r="M131" s="59"/>
      <x:c r="N131" s="59"/>
      <x:c r="O131" s="59"/>
      <x:c r="P131" s="59"/>
      <x:c r="Q131" s="59"/>
      <x:c r="R131" s="59"/>
      <x:c r="S131" s="59"/>
      <x:c r="T131" s="59"/>
      <x:c r="U131" s="59"/>
      <x:c r="V131" s="59"/>
      <x:c r="W131" s="59"/>
      <x:c r="X131" s="59"/>
      <x:c r="Y131" s="59"/>
      <x:c r="Z131" s="59"/>
      <x:c r="AA131" s="59"/>
      <x:c r="AB131" s="59"/>
      <x:c r="AC131" s="59"/>
      <x:c r="AD131" s="59"/>
      <x:c r="AE131" s="59"/>
      <x:c r="AF131" s="59"/>
      <x:c r="AG131" s="59"/>
      <x:c r="AH131" s="59"/>
      <x:c r="AI131" s="59"/>
      <x:c r="AJ131" s="59"/>
      <x:c r="AK131" s="59"/>
      <x:c r="AL131" s="59"/>
      <x:c r="AM131" s="59"/>
      <x:c r="AN131" s="59"/>
    </x:row>
    <x:row r="132">
      <x:c r="A132" s="59"/>
      <x:c r="B132" s="59"/>
      <x:c r="C132" s="59"/>
      <x:c r="D132" s="59"/>
      <x:c r="E132" s="59"/>
      <x:c r="F132" s="59"/>
      <x:c r="G132" s="59"/>
      <x:c r="H132" s="59"/>
      <x:c r="I132" s="59"/>
      <x:c r="J132" s="59"/>
      <x:c r="K132" s="59"/>
      <x:c r="L132" s="59"/>
      <x:c r="M132" s="59"/>
      <x:c r="N132" s="59"/>
      <x:c r="O132" s="59"/>
      <x:c r="P132" s="59"/>
      <x:c r="Q132" s="59"/>
      <x:c r="R132" s="59"/>
      <x:c r="S132" s="59"/>
      <x:c r="T132" s="59"/>
      <x:c r="U132" s="59"/>
      <x:c r="V132" s="59"/>
      <x:c r="W132" s="59"/>
      <x:c r="X132" s="59"/>
      <x:c r="Y132" s="59"/>
      <x:c r="Z132" s="59"/>
      <x:c r="AA132" s="59"/>
      <x:c r="AB132" s="59"/>
      <x:c r="AC132" s="59"/>
      <x:c r="AD132" s="59"/>
      <x:c r="AE132" s="59"/>
      <x:c r="AF132" s="59"/>
      <x:c r="AG132" s="59"/>
      <x:c r="AH132" s="59"/>
      <x:c r="AI132" s="59"/>
      <x:c r="AJ132" s="59"/>
      <x:c r="AK132" s="59"/>
      <x:c r="AL132" s="59"/>
      <x:c r="AM132" s="59"/>
      <x:c r="AN132" s="59"/>
    </x:row>
    <x:row r="133">
      <x:c r="A133" s="59"/>
      <x:c r="B133" s="59"/>
      <x:c r="C133" s="59"/>
      <x:c r="D133" s="59"/>
      <x:c r="E133" s="59"/>
      <x:c r="F133" s="59"/>
      <x:c r="G133" s="59"/>
      <x:c r="H133" s="59"/>
      <x:c r="I133" s="59"/>
      <x:c r="J133" s="59"/>
      <x:c r="K133" s="59"/>
      <x:c r="L133" s="59"/>
      <x:c r="M133" s="59"/>
      <x:c r="N133" s="59"/>
      <x:c r="O133" s="59"/>
      <x:c r="P133" s="59"/>
      <x:c r="Q133" s="59"/>
      <x:c r="R133" s="59"/>
      <x:c r="S133" s="59"/>
      <x:c r="T133" s="59"/>
      <x:c r="U133" s="59"/>
      <x:c r="V133" s="59"/>
      <x:c r="W133" s="59"/>
      <x:c r="X133" s="59"/>
      <x:c r="Y133" s="59"/>
      <x:c r="Z133" s="59"/>
      <x:c r="AA133" s="59"/>
      <x:c r="AB133" s="59"/>
      <x:c r="AC133" s="59"/>
      <x:c r="AD133" s="59"/>
      <x:c r="AE133" s="59"/>
      <x:c r="AF133" s="59"/>
      <x:c r="AG133" s="59"/>
      <x:c r="AH133" s="59"/>
      <x:c r="AI133" s="59"/>
      <x:c r="AJ133" s="59"/>
      <x:c r="AK133" s="59"/>
      <x:c r="AL133" s="59"/>
      <x:c r="AM133" s="59"/>
      <x:c r="AN133" s="59"/>
    </x:row>
    <x:row r="134">
      <x:c r="A134" s="59"/>
      <x:c r="B134" s="59"/>
      <x:c r="C134" s="59"/>
      <x:c r="D134" s="59"/>
      <x:c r="E134" s="59"/>
      <x:c r="F134" s="59"/>
      <x:c r="G134" s="59"/>
      <x:c r="H134" s="59"/>
      <x:c r="I134" s="59"/>
      <x:c r="J134" s="59"/>
      <x:c r="K134" s="59"/>
      <x:c r="L134" s="59"/>
      <x:c r="M134" s="59"/>
      <x:c r="N134" s="59"/>
      <x:c r="O134" s="59"/>
      <x:c r="P134" s="59"/>
      <x:c r="Q134" s="59"/>
      <x:c r="R134" s="59"/>
      <x:c r="S134" s="59"/>
      <x:c r="T134" s="59"/>
      <x:c r="U134" s="59"/>
      <x:c r="V134" s="59"/>
      <x:c r="W134" s="59"/>
      <x:c r="X134" s="59"/>
      <x:c r="Y134" s="59"/>
      <x:c r="Z134" s="59"/>
      <x:c r="AA134" s="59"/>
      <x:c r="AB134" s="59"/>
      <x:c r="AC134" s="59"/>
      <x:c r="AD134" s="59"/>
      <x:c r="AE134" s="59"/>
      <x:c r="AF134" s="59"/>
      <x:c r="AG134" s="59"/>
      <x:c r="AH134" s="59"/>
      <x:c r="AI134" s="59"/>
      <x:c r="AJ134" s="59"/>
      <x:c r="AK134" s="59"/>
      <x:c r="AL134" s="59"/>
      <x:c r="AM134" s="59"/>
      <x:c r="AN134" s="59"/>
    </x:row>
    <x:row r="135">
      <x:c r="A135" s="59"/>
      <x:c r="B135" s="59"/>
      <x:c r="C135" s="59"/>
      <x:c r="D135" s="59"/>
      <x:c r="E135" s="59"/>
      <x:c r="F135" s="59"/>
      <x:c r="G135" s="59"/>
      <x:c r="H135" s="59"/>
      <x:c r="I135" s="59"/>
      <x:c r="J135" s="59"/>
      <x:c r="K135" s="59"/>
      <x:c r="L135" s="59"/>
      <x:c r="M135" s="59"/>
      <x:c r="N135" s="59"/>
      <x:c r="O135" s="59"/>
      <x:c r="P135" s="59"/>
      <x:c r="Q135" s="59"/>
      <x:c r="R135" s="59"/>
      <x:c r="S135" s="59"/>
      <x:c r="T135" s="59"/>
      <x:c r="U135" s="59"/>
      <x:c r="V135" s="59"/>
      <x:c r="W135" s="59"/>
      <x:c r="X135" s="59"/>
      <x:c r="Y135" s="59"/>
      <x:c r="Z135" s="59"/>
      <x:c r="AA135" s="59"/>
      <x:c r="AB135" s="59"/>
      <x:c r="AC135" s="59"/>
      <x:c r="AD135" s="59"/>
      <x:c r="AE135" s="59"/>
      <x:c r="AF135" s="59"/>
      <x:c r="AG135" s="59"/>
      <x:c r="AH135" s="59"/>
      <x:c r="AI135" s="59"/>
      <x:c r="AJ135" s="59"/>
      <x:c r="AK135" s="59"/>
      <x:c r="AL135" s="59"/>
      <x:c r="AM135" s="59"/>
      <x:c r="AN135" s="59"/>
    </x:row>
    <x:row r="136">
      <x:c r="A136" s="59"/>
      <x:c r="B136" s="59"/>
      <x:c r="C136" s="59"/>
      <x:c r="D136" s="59"/>
      <x:c r="E136" s="59"/>
      <x:c r="F136" s="59"/>
      <x:c r="G136" s="59"/>
      <x:c r="H136" s="59"/>
      <x:c r="I136" s="59"/>
      <x:c r="J136" s="59"/>
      <x:c r="K136" s="59"/>
      <x:c r="L136" s="59"/>
      <x:c r="M136" s="59"/>
      <x:c r="N136" s="59"/>
      <x:c r="O136" s="59"/>
      <x:c r="P136" s="59"/>
      <x:c r="Q136" s="59"/>
      <x:c r="R136" s="59"/>
      <x:c r="S136" s="59"/>
      <x:c r="T136" s="59"/>
      <x:c r="U136" s="59"/>
      <x:c r="V136" s="59"/>
      <x:c r="W136" s="59"/>
      <x:c r="X136" s="59"/>
      <x:c r="Y136" s="59"/>
      <x:c r="Z136" s="59"/>
      <x:c r="AA136" s="59"/>
      <x:c r="AB136" s="59"/>
      <x:c r="AC136" s="59"/>
      <x:c r="AD136" s="59"/>
      <x:c r="AE136" s="59"/>
      <x:c r="AF136" s="59"/>
      <x:c r="AG136" s="59"/>
      <x:c r="AH136" s="59"/>
      <x:c r="AI136" s="59"/>
      <x:c r="AJ136" s="59"/>
      <x:c r="AK136" s="59"/>
      <x:c r="AL136" s="59"/>
      <x:c r="AM136" s="59"/>
      <x:c r="AN136" s="59"/>
    </x:row>
    <x:row r="137">
      <x:c r="A137" s="59"/>
      <x:c r="B137" s="59"/>
      <x:c r="C137" s="59"/>
      <x:c r="D137" s="59"/>
      <x:c r="E137" s="59"/>
      <x:c r="F137" s="59"/>
      <x:c r="G137" s="59"/>
      <x:c r="H137" s="59"/>
      <x:c r="I137" s="59"/>
      <x:c r="J137" s="59"/>
      <x:c r="K137" s="59"/>
      <x:c r="L137" s="59"/>
      <x:c r="M137" s="59"/>
      <x:c r="N137" s="59"/>
      <x:c r="O137" s="59"/>
      <x:c r="P137" s="59"/>
      <x:c r="Q137" s="59"/>
      <x:c r="R137" s="59"/>
      <x:c r="S137" s="59"/>
      <x:c r="T137" s="59"/>
      <x:c r="U137" s="59"/>
      <x:c r="V137" s="59"/>
      <x:c r="W137" s="59"/>
      <x:c r="X137" s="59"/>
      <x:c r="Y137" s="59"/>
      <x:c r="Z137" s="59"/>
      <x:c r="AA137" s="59"/>
      <x:c r="AB137" s="59"/>
      <x:c r="AC137" s="59"/>
      <x:c r="AD137" s="59"/>
      <x:c r="AE137" s="59"/>
      <x:c r="AF137" s="59"/>
      <x:c r="AG137" s="59"/>
      <x:c r="AH137" s="59"/>
      <x:c r="AI137" s="59"/>
      <x:c r="AJ137" s="59"/>
      <x:c r="AK137" s="59"/>
      <x:c r="AL137" s="59"/>
      <x:c r="AM137" s="59"/>
      <x:c r="AN137" s="59"/>
    </x:row>
    <x:row r="138">
      <x:c r="A138" s="59"/>
      <x:c r="B138" s="59"/>
      <x:c r="C138" s="59"/>
      <x:c r="D138" s="59"/>
      <x:c r="E138" s="59"/>
      <x:c r="F138" s="59"/>
      <x:c r="G138" s="59"/>
      <x:c r="H138" s="59"/>
      <x:c r="I138" s="59"/>
      <x:c r="J138" s="59"/>
      <x:c r="K138" s="59"/>
      <x:c r="L138" s="59"/>
      <x:c r="M138" s="59"/>
      <x:c r="N138" s="59"/>
      <x:c r="O138" s="59"/>
      <x:c r="P138" s="59"/>
      <x:c r="Q138" s="59"/>
      <x:c r="R138" s="59"/>
      <x:c r="S138" s="59"/>
      <x:c r="T138" s="59"/>
      <x:c r="U138" s="59"/>
      <x:c r="V138" s="59"/>
      <x:c r="W138" s="59"/>
      <x:c r="X138" s="59"/>
      <x:c r="Y138" s="59"/>
      <x:c r="Z138" s="59"/>
      <x:c r="AA138" s="59"/>
      <x:c r="AB138" s="59"/>
      <x:c r="AC138" s="59"/>
      <x:c r="AD138" s="59"/>
      <x:c r="AE138" s="59"/>
      <x:c r="AF138" s="59"/>
      <x:c r="AG138" s="59"/>
      <x:c r="AH138" s="59"/>
      <x:c r="AI138" s="59"/>
      <x:c r="AJ138" s="59"/>
      <x:c r="AK138" s="59"/>
      <x:c r="AL138" s="59"/>
      <x:c r="AM138" s="59"/>
      <x:c r="AN138" s="59"/>
    </x:row>
    <x:row r="139">
      <x:c r="A139" s="59"/>
      <x:c r="B139" s="59"/>
      <x:c r="C139" s="59"/>
      <x:c r="D139" s="59"/>
      <x:c r="E139" s="59"/>
      <x:c r="F139" s="59"/>
      <x:c r="G139" s="59"/>
      <x:c r="H139" s="59"/>
      <x:c r="I139" s="59"/>
      <x:c r="J139" s="59"/>
      <x:c r="K139" s="59"/>
      <x:c r="L139" s="59"/>
      <x:c r="M139" s="59"/>
      <x:c r="N139" s="59"/>
      <x:c r="O139" s="59"/>
      <x:c r="P139" s="59"/>
      <x:c r="Q139" s="59"/>
      <x:c r="R139" s="59"/>
      <x:c r="S139" s="59"/>
      <x:c r="T139" s="59"/>
      <x:c r="U139" s="59"/>
      <x:c r="V139" s="59"/>
      <x:c r="W139" s="59"/>
      <x:c r="X139" s="59"/>
      <x:c r="Y139" s="59"/>
      <x:c r="Z139" s="59"/>
      <x:c r="AA139" s="59"/>
      <x:c r="AB139" s="59"/>
      <x:c r="AC139" s="59"/>
      <x:c r="AD139" s="59"/>
      <x:c r="AE139" s="59"/>
      <x:c r="AF139" s="59"/>
      <x:c r="AG139" s="59"/>
      <x:c r="AH139" s="59"/>
      <x:c r="AI139" s="59"/>
      <x:c r="AJ139" s="59"/>
      <x:c r="AK139" s="59"/>
      <x:c r="AL139" s="59"/>
      <x:c r="AM139" s="59"/>
      <x:c r="AN139" s="59"/>
    </x:row>
    <x:row r="140">
      <x:c r="A140" s="59"/>
      <x:c r="B140" s="59"/>
      <x:c r="C140" s="59"/>
      <x:c r="D140" s="59"/>
      <x:c r="E140" s="59"/>
      <x:c r="F140" s="59"/>
      <x:c r="G140" s="59"/>
      <x:c r="H140" s="59"/>
      <x:c r="I140" s="59"/>
      <x:c r="J140" s="59"/>
      <x:c r="K140" s="59"/>
      <x:c r="L140" s="59"/>
      <x:c r="M140" s="59"/>
      <x:c r="N140" s="59"/>
      <x:c r="O140" s="59"/>
      <x:c r="P140" s="59"/>
      <x:c r="Q140" s="59"/>
      <x:c r="R140" s="59"/>
      <x:c r="S140" s="59"/>
      <x:c r="T140" s="59"/>
      <x:c r="U140" s="59"/>
      <x:c r="V140" s="59"/>
      <x:c r="W140" s="59"/>
      <x:c r="X140" s="59"/>
      <x:c r="Y140" s="59"/>
      <x:c r="Z140" s="59"/>
      <x:c r="AA140" s="59"/>
      <x:c r="AB140" s="59"/>
      <x:c r="AC140" s="59"/>
      <x:c r="AD140" s="59"/>
      <x:c r="AE140" s="59"/>
      <x:c r="AF140" s="59"/>
      <x:c r="AG140" s="59"/>
      <x:c r="AH140" s="59"/>
      <x:c r="AI140" s="59"/>
      <x:c r="AJ140" s="59"/>
      <x:c r="AK140" s="59"/>
      <x:c r="AL140" s="59"/>
      <x:c r="AM140" s="59"/>
      <x:c r="AN140" s="59"/>
    </x:row>
    <x:row r="141">
      <x:c r="A141" s="59"/>
      <x:c r="B141" s="59"/>
      <x:c r="C141" s="59"/>
      <x:c r="D141" s="59"/>
      <x:c r="E141" s="59"/>
      <x:c r="F141" s="59"/>
      <x:c r="G141" s="59"/>
      <x:c r="H141" s="59"/>
      <x:c r="I141" s="59"/>
      <x:c r="J141" s="59"/>
      <x:c r="K141" s="59"/>
      <x:c r="L141" s="59"/>
      <x:c r="M141" s="59"/>
      <x:c r="N141" s="59"/>
      <x:c r="O141" s="59"/>
      <x:c r="P141" s="59"/>
      <x:c r="Q141" s="59"/>
      <x:c r="R141" s="59"/>
      <x:c r="S141" s="59"/>
      <x:c r="T141" s="59"/>
      <x:c r="U141" s="59"/>
      <x:c r="V141" s="59"/>
      <x:c r="W141" s="59"/>
      <x:c r="X141" s="59"/>
      <x:c r="Y141" s="59"/>
      <x:c r="Z141" s="59"/>
      <x:c r="AA141" s="59"/>
      <x:c r="AB141" s="59"/>
      <x:c r="AC141" s="59"/>
      <x:c r="AD141" s="59"/>
      <x:c r="AE141" s="59"/>
      <x:c r="AF141" s="59"/>
      <x:c r="AG141" s="59"/>
      <x:c r="AH141" s="59"/>
      <x:c r="AI141" s="59"/>
      <x:c r="AJ141" s="59"/>
      <x:c r="AK141" s="59"/>
      <x:c r="AL141" s="59"/>
      <x:c r="AM141" s="59"/>
      <x:c r="AN141" s="59"/>
    </x:row>
    <x:row r="142">
      <x:c r="A142" s="59"/>
      <x:c r="B142" s="59"/>
      <x:c r="C142" s="59"/>
      <x:c r="D142" s="59"/>
      <x:c r="E142" s="59"/>
      <x:c r="F142" s="59"/>
      <x:c r="G142" s="59"/>
      <x:c r="H142" s="59"/>
      <x:c r="I142" s="59"/>
      <x:c r="J142" s="59"/>
      <x:c r="K142" s="59"/>
      <x:c r="L142" s="59"/>
      <x:c r="M142" s="59"/>
      <x:c r="N142" s="59"/>
      <x:c r="O142" s="59"/>
      <x:c r="P142" s="59"/>
      <x:c r="Q142" s="59"/>
      <x:c r="R142" s="59"/>
      <x:c r="S142" s="59"/>
      <x:c r="T142" s="59"/>
      <x:c r="U142" s="59"/>
      <x:c r="V142" s="59"/>
      <x:c r="W142" s="59"/>
      <x:c r="X142" s="59"/>
      <x:c r="Y142" s="59"/>
      <x:c r="Z142" s="59"/>
      <x:c r="AA142" s="59"/>
      <x:c r="AB142" s="59"/>
      <x:c r="AC142" s="59"/>
      <x:c r="AD142" s="59"/>
      <x:c r="AE142" s="59"/>
      <x:c r="AF142" s="59"/>
      <x:c r="AG142" s="59"/>
      <x:c r="AH142" s="59"/>
      <x:c r="AI142" s="59"/>
      <x:c r="AJ142" s="59"/>
      <x:c r="AK142" s="59"/>
      <x:c r="AL142" s="59"/>
      <x:c r="AM142" s="59"/>
      <x:c r="AN142" s="59"/>
    </x:row>
    <x:row r="143">
      <x:c r="A143" s="59"/>
      <x:c r="B143" s="59"/>
      <x:c r="C143" s="59"/>
      <x:c r="D143" s="59"/>
      <x:c r="E143" s="59"/>
      <x:c r="F143" s="59"/>
      <x:c r="G143" s="59"/>
      <x:c r="H143" s="59"/>
      <x:c r="I143" s="59"/>
      <x:c r="J143" s="59"/>
      <x:c r="K143" s="59"/>
      <x:c r="L143" s="59"/>
      <x:c r="M143" s="59"/>
      <x:c r="N143" s="59"/>
      <x:c r="O143" s="59"/>
      <x:c r="P143" s="59"/>
      <x:c r="Q143" s="59"/>
      <x:c r="R143" s="59"/>
      <x:c r="S143" s="59"/>
      <x:c r="T143" s="59"/>
      <x:c r="U143" s="59"/>
      <x:c r="V143" s="59"/>
      <x:c r="W143" s="59"/>
      <x:c r="X143" s="59"/>
      <x:c r="Y143" s="59"/>
      <x:c r="Z143" s="59"/>
      <x:c r="AA143" s="59"/>
      <x:c r="AB143" s="59"/>
      <x:c r="AC143" s="59"/>
      <x:c r="AD143" s="59"/>
      <x:c r="AE143" s="59"/>
      <x:c r="AF143" s="59"/>
      <x:c r="AG143" s="59"/>
      <x:c r="AH143" s="59"/>
      <x:c r="AI143" s="59"/>
      <x:c r="AJ143" s="59"/>
      <x:c r="AK143" s="59"/>
      <x:c r="AL143" s="59"/>
      <x:c r="AM143" s="59"/>
      <x:c r="AN143" s="59"/>
    </x:row>
    <x:row r="144">
      <x:c r="A144" s="59"/>
      <x:c r="B144" s="59"/>
      <x:c r="C144" s="59"/>
      <x:c r="D144" s="59"/>
      <x:c r="E144" s="59"/>
      <x:c r="F144" s="59"/>
      <x:c r="G144" s="59"/>
      <x:c r="H144" s="59"/>
      <x:c r="I144" s="59"/>
      <x:c r="J144" s="59"/>
      <x:c r="K144" s="59"/>
      <x:c r="L144" s="59"/>
      <x:c r="M144" s="59"/>
      <x:c r="N144" s="59"/>
      <x:c r="O144" s="59"/>
      <x:c r="P144" s="59"/>
      <x:c r="Q144" s="59"/>
      <x:c r="R144" s="59"/>
      <x:c r="S144" s="59"/>
      <x:c r="T144" s="59"/>
      <x:c r="U144" s="59"/>
      <x:c r="V144" s="59"/>
      <x:c r="W144" s="59"/>
      <x:c r="X144" s="59"/>
      <x:c r="Y144" s="59"/>
      <x:c r="Z144" s="59"/>
      <x:c r="AA144" s="59"/>
      <x:c r="AB144" s="59"/>
      <x:c r="AC144" s="59"/>
      <x:c r="AD144" s="59"/>
      <x:c r="AE144" s="59"/>
      <x:c r="AF144" s="59"/>
      <x:c r="AG144" s="59"/>
      <x:c r="AH144" s="59"/>
      <x:c r="AI144" s="59"/>
      <x:c r="AJ144" s="59"/>
      <x:c r="AK144" s="59"/>
      <x:c r="AL144" s="59"/>
      <x:c r="AM144" s="59"/>
      <x:c r="AN144" s="59"/>
    </x:row>
    <x:row r="145">
      <x:c r="A145" s="59"/>
      <x:c r="B145" s="59"/>
      <x:c r="C145" s="59"/>
      <x:c r="D145" s="59"/>
      <x:c r="E145" s="59"/>
      <x:c r="F145" s="59"/>
      <x:c r="G145" s="59"/>
      <x:c r="H145" s="59"/>
      <x:c r="I145" s="59"/>
      <x:c r="J145" s="59"/>
      <x:c r="K145" s="59"/>
      <x:c r="L145" s="59"/>
      <x:c r="M145" s="59"/>
      <x:c r="N145" s="59"/>
      <x:c r="O145" s="59"/>
      <x:c r="P145" s="59"/>
      <x:c r="Q145" s="59"/>
      <x:c r="R145" s="59"/>
      <x:c r="S145" s="59"/>
      <x:c r="T145" s="59"/>
      <x:c r="U145" s="59"/>
      <x:c r="V145" s="59"/>
      <x:c r="W145" s="59"/>
      <x:c r="X145" s="59"/>
      <x:c r="Y145" s="59"/>
      <x:c r="Z145" s="59"/>
      <x:c r="AA145" s="59"/>
      <x:c r="AB145" s="59"/>
      <x:c r="AC145" s="59"/>
      <x:c r="AD145" s="59"/>
      <x:c r="AE145" s="59"/>
      <x:c r="AF145" s="59"/>
      <x:c r="AG145" s="59"/>
      <x:c r="AH145" s="59"/>
      <x:c r="AI145" s="59"/>
      <x:c r="AJ145" s="59"/>
      <x:c r="AK145" s="59"/>
      <x:c r="AL145" s="59"/>
      <x:c r="AM145" s="59"/>
      <x:c r="AN145" s="59"/>
    </x:row>
    <x:row r="146">
      <x:c r="A146" s="59"/>
      <x:c r="B146" s="59"/>
      <x:c r="C146" s="59"/>
      <x:c r="D146" s="59"/>
      <x:c r="E146" s="59"/>
      <x:c r="F146" s="59"/>
      <x:c r="G146" s="59"/>
      <x:c r="H146" s="59"/>
      <x:c r="I146" s="59"/>
      <x:c r="J146" s="59"/>
      <x:c r="K146" s="59"/>
      <x:c r="L146" s="59"/>
      <x:c r="M146" s="59"/>
      <x:c r="N146" s="59"/>
      <x:c r="O146" s="59"/>
      <x:c r="P146" s="59"/>
      <x:c r="Q146" s="59"/>
      <x:c r="R146" s="59"/>
      <x:c r="S146" s="59"/>
      <x:c r="T146" s="59"/>
      <x:c r="U146" s="59"/>
      <x:c r="V146" s="59"/>
      <x:c r="W146" s="59"/>
      <x:c r="X146" s="59"/>
      <x:c r="Y146" s="59"/>
      <x:c r="Z146" s="59"/>
      <x:c r="AA146" s="59"/>
      <x:c r="AB146" s="59"/>
      <x:c r="AC146" s="59"/>
      <x:c r="AD146" s="59"/>
      <x:c r="AE146" s="59"/>
      <x:c r="AF146" s="59"/>
      <x:c r="AG146" s="59"/>
      <x:c r="AH146" s="59"/>
      <x:c r="AI146" s="59"/>
      <x:c r="AJ146" s="59"/>
      <x:c r="AK146" s="59"/>
      <x:c r="AL146" s="59"/>
      <x:c r="AM146" s="59"/>
      <x:c r="AN146" s="59"/>
    </x:row>
    <x:row r="147">
      <x:c r="A147" s="59"/>
      <x:c r="B147" s="59"/>
      <x:c r="C147" s="59"/>
      <x:c r="D147" s="59"/>
      <x:c r="E147" s="59"/>
      <x:c r="F147" s="59"/>
      <x:c r="G147" s="59"/>
      <x:c r="H147" s="59"/>
      <x:c r="I147" s="59"/>
      <x:c r="J147" s="59"/>
      <x:c r="K147" s="59"/>
      <x:c r="L147" s="59"/>
      <x:c r="M147" s="59"/>
      <x:c r="N147" s="59"/>
      <x:c r="O147" s="59"/>
      <x:c r="P147" s="59"/>
      <x:c r="Q147" s="59"/>
      <x:c r="R147" s="59"/>
      <x:c r="S147" s="59"/>
      <x:c r="T147" s="59"/>
      <x:c r="U147" s="59"/>
      <x:c r="V147" s="59"/>
      <x:c r="W147" s="59"/>
      <x:c r="X147" s="59"/>
      <x:c r="Y147" s="59"/>
      <x:c r="Z147" s="59"/>
      <x:c r="AA147" s="59"/>
      <x:c r="AB147" s="59"/>
      <x:c r="AC147" s="59"/>
      <x:c r="AD147" s="59"/>
      <x:c r="AE147" s="59"/>
      <x:c r="AF147" s="59"/>
      <x:c r="AG147" s="59"/>
      <x:c r="AH147" s="59"/>
      <x:c r="AI147" s="59"/>
      <x:c r="AJ147" s="59"/>
      <x:c r="AK147" s="59"/>
      <x:c r="AL147" s="59"/>
      <x:c r="AM147" s="59"/>
      <x:c r="AN147" s="59"/>
    </x:row>
    <x:row r="148">
      <x:c r="A148" s="59"/>
      <x:c r="B148" s="59"/>
      <x:c r="C148" s="59"/>
      <x:c r="D148" s="59"/>
      <x:c r="E148" s="59"/>
      <x:c r="F148" s="59"/>
      <x:c r="G148" s="59"/>
      <x:c r="H148" s="59"/>
      <x:c r="I148" s="59"/>
      <x:c r="J148" s="59"/>
      <x:c r="K148" s="59"/>
      <x:c r="L148" s="59"/>
      <x:c r="M148" s="59"/>
      <x:c r="N148" s="59"/>
      <x:c r="O148" s="59"/>
      <x:c r="P148" s="59"/>
      <x:c r="Q148" s="59"/>
      <x:c r="R148" s="59"/>
      <x:c r="S148" s="59"/>
      <x:c r="T148" s="59"/>
      <x:c r="U148" s="59"/>
      <x:c r="V148" s="59"/>
      <x:c r="W148" s="59"/>
      <x:c r="X148" s="59"/>
      <x:c r="Y148" s="59"/>
      <x:c r="Z148" s="59"/>
      <x:c r="AA148" s="59"/>
      <x:c r="AB148" s="59"/>
      <x:c r="AC148" s="59"/>
      <x:c r="AD148" s="59"/>
      <x:c r="AE148" s="59"/>
      <x:c r="AF148" s="59"/>
      <x:c r="AG148" s="59"/>
      <x:c r="AH148" s="59"/>
      <x:c r="AI148" s="59"/>
      <x:c r="AJ148" s="59"/>
      <x:c r="AK148" s="59"/>
      <x:c r="AL148" s="59"/>
      <x:c r="AM148" s="59"/>
      <x:c r="AN148" s="59"/>
    </x:row>
    <x:row r="149">
      <x:c r="A149" s="59"/>
      <x:c r="B149" s="59"/>
      <x:c r="C149" s="59"/>
      <x:c r="D149" s="59"/>
      <x:c r="E149" s="59"/>
      <x:c r="F149" s="59"/>
      <x:c r="G149" s="59"/>
      <x:c r="H149" s="59"/>
      <x:c r="I149" s="59"/>
      <x:c r="J149" s="59"/>
      <x:c r="K149" s="59"/>
      <x:c r="L149" s="59"/>
      <x:c r="M149" s="59"/>
      <x:c r="N149" s="59"/>
      <x:c r="O149" s="59"/>
      <x:c r="P149" s="59"/>
      <x:c r="Q149" s="59"/>
      <x:c r="R149" s="59"/>
      <x:c r="S149" s="59"/>
      <x:c r="T149" s="59"/>
      <x:c r="U149" s="59"/>
      <x:c r="V149" s="59"/>
      <x:c r="W149" s="59"/>
      <x:c r="X149" s="59"/>
      <x:c r="Y149" s="59"/>
      <x:c r="Z149" s="59"/>
      <x:c r="AA149" s="59"/>
      <x:c r="AB149" s="59"/>
      <x:c r="AC149" s="59"/>
      <x:c r="AD149" s="59"/>
      <x:c r="AE149" s="59"/>
      <x:c r="AF149" s="59"/>
      <x:c r="AG149" s="59"/>
      <x:c r="AH149" s="59"/>
      <x:c r="AI149" s="59"/>
      <x:c r="AJ149" s="59"/>
      <x:c r="AK149" s="59"/>
      <x:c r="AL149" s="59"/>
      <x:c r="AM149" s="59"/>
      <x:c r="AN149" s="59"/>
    </x:row>
    <x:row r="150">
      <x:c r="A150" s="59"/>
      <x:c r="B150" s="59"/>
      <x:c r="C150" s="59"/>
      <x:c r="D150" s="59"/>
      <x:c r="E150" s="59"/>
      <x:c r="F150" s="59"/>
      <x:c r="G150" s="59"/>
      <x:c r="H150" s="59"/>
      <x:c r="I150" s="59"/>
      <x:c r="J150" s="59"/>
      <x:c r="K150" s="59"/>
      <x:c r="L150" s="59"/>
      <x:c r="M150" s="59"/>
      <x:c r="N150" s="59"/>
      <x:c r="O150" s="59"/>
      <x:c r="P150" s="59"/>
      <x:c r="Q150" s="59"/>
      <x:c r="R150" s="59"/>
      <x:c r="S150" s="59"/>
      <x:c r="T150" s="59"/>
      <x:c r="U150" s="59"/>
      <x:c r="V150" s="59"/>
      <x:c r="W150" s="59"/>
      <x:c r="X150" s="59"/>
      <x:c r="Y150" s="59"/>
      <x:c r="Z150" s="59"/>
      <x:c r="AA150" s="59"/>
      <x:c r="AB150" s="59"/>
      <x:c r="AC150" s="59"/>
      <x:c r="AD150" s="59"/>
      <x:c r="AE150" s="59"/>
      <x:c r="AF150" s="59"/>
      <x:c r="AG150" s="59"/>
      <x:c r="AH150" s="59"/>
      <x:c r="AI150" s="59"/>
      <x:c r="AJ150" s="59"/>
      <x:c r="AK150" s="59"/>
      <x:c r="AL150" s="59"/>
      <x:c r="AM150" s="59"/>
      <x:c r="AN150" s="59"/>
    </x:row>
    <x:row r="151">
      <x:c r="A151" s="59"/>
      <x:c r="B151" s="59"/>
      <x:c r="C151" s="59"/>
      <x:c r="D151" s="59"/>
      <x:c r="E151" s="59"/>
      <x:c r="F151" s="59"/>
      <x:c r="G151" s="59"/>
      <x:c r="H151" s="59"/>
      <x:c r="I151" s="59"/>
      <x:c r="J151" s="59"/>
      <x:c r="K151" s="59"/>
      <x:c r="L151" s="59"/>
      <x:c r="M151" s="59"/>
      <x:c r="N151" s="59"/>
      <x:c r="O151" s="59"/>
      <x:c r="P151" s="59"/>
      <x:c r="Q151" s="59"/>
      <x:c r="R151" s="59"/>
      <x:c r="S151" s="59"/>
      <x:c r="T151" s="59"/>
      <x:c r="U151" s="59"/>
      <x:c r="V151" s="59"/>
      <x:c r="W151" s="59"/>
      <x:c r="X151" s="59"/>
      <x:c r="Y151" s="59"/>
      <x:c r="Z151" s="59"/>
      <x:c r="AA151" s="59"/>
      <x:c r="AB151" s="59"/>
      <x:c r="AC151" s="59"/>
      <x:c r="AD151" s="59"/>
      <x:c r="AE151" s="59"/>
      <x:c r="AF151" s="59"/>
      <x:c r="AG151" s="59"/>
      <x:c r="AH151" s="59"/>
      <x:c r="AI151" s="59"/>
      <x:c r="AJ151" s="59"/>
      <x:c r="AK151" s="59"/>
      <x:c r="AL151" s="59"/>
      <x:c r="AM151" s="59"/>
      <x:c r="AN151" s="59"/>
    </x:row>
    <x:row r="152">
      <x:c r="A152" s="59"/>
      <x:c r="B152" s="59"/>
      <x:c r="C152" s="59"/>
      <x:c r="D152" s="59"/>
      <x:c r="E152" s="59"/>
      <x:c r="F152" s="59"/>
      <x:c r="G152" s="59"/>
      <x:c r="H152" s="59"/>
      <x:c r="I152" s="59"/>
      <x:c r="J152" s="59"/>
      <x:c r="K152" s="59"/>
      <x:c r="L152" s="59"/>
      <x:c r="M152" s="59"/>
      <x:c r="N152" s="59"/>
      <x:c r="O152" s="59"/>
      <x:c r="P152" s="59"/>
      <x:c r="Q152" s="59"/>
      <x:c r="R152" s="59"/>
      <x:c r="S152" s="59"/>
      <x:c r="T152" s="59"/>
      <x:c r="U152" s="59"/>
      <x:c r="V152" s="59"/>
      <x:c r="W152" s="59"/>
      <x:c r="X152" s="59"/>
      <x:c r="Y152" s="59"/>
      <x:c r="Z152" s="59"/>
      <x:c r="AA152" s="59"/>
      <x:c r="AB152" s="59"/>
      <x:c r="AC152" s="59"/>
      <x:c r="AD152" s="59"/>
      <x:c r="AE152" s="59"/>
      <x:c r="AF152" s="59"/>
      <x:c r="AG152" s="59"/>
      <x:c r="AH152" s="59"/>
      <x:c r="AI152" s="59"/>
      <x:c r="AJ152" s="59"/>
      <x:c r="AK152" s="59"/>
      <x:c r="AL152" s="59"/>
      <x:c r="AM152" s="59"/>
      <x:c r="AN152" s="59"/>
    </x:row>
    <x:row r="153">
      <x:c r="A153" s="59"/>
      <x:c r="B153" s="59"/>
      <x:c r="C153" s="59"/>
      <x:c r="D153" s="59"/>
      <x:c r="E153" s="59"/>
      <x:c r="F153" s="59"/>
      <x:c r="G153" s="59"/>
      <x:c r="H153" s="59"/>
      <x:c r="I153" s="59"/>
      <x:c r="J153" s="59"/>
      <x:c r="K153" s="59"/>
      <x:c r="L153" s="59"/>
      <x:c r="M153" s="59"/>
      <x:c r="N153" s="59"/>
      <x:c r="O153" s="59"/>
      <x:c r="P153" s="59"/>
      <x:c r="Q153" s="59"/>
      <x:c r="R153" s="59"/>
      <x:c r="S153" s="59"/>
      <x:c r="T153" s="59"/>
      <x:c r="U153" s="59"/>
      <x:c r="V153" s="59"/>
      <x:c r="W153" s="59"/>
      <x:c r="X153" s="59"/>
      <x:c r="Y153" s="59"/>
      <x:c r="Z153" s="59"/>
      <x:c r="AA153" s="59"/>
      <x:c r="AB153" s="59"/>
      <x:c r="AC153" s="59"/>
      <x:c r="AD153" s="59"/>
      <x:c r="AE153" s="59"/>
      <x:c r="AF153" s="59"/>
      <x:c r="AG153" s="59"/>
      <x:c r="AH153" s="59"/>
      <x:c r="AI153" s="59"/>
      <x:c r="AJ153" s="59"/>
      <x:c r="AK153" s="59"/>
      <x:c r="AL153" s="59"/>
      <x:c r="AM153" s="59"/>
      <x:c r="AN153" s="59"/>
    </x:row>
    <x:row r="154">
      <x:c r="A154" s="59"/>
      <x:c r="B154" s="59"/>
      <x:c r="C154" s="59"/>
      <x:c r="D154" s="59"/>
      <x:c r="E154" s="59"/>
      <x:c r="F154" s="59"/>
      <x:c r="G154" s="59"/>
      <x:c r="H154" s="59"/>
      <x:c r="I154" s="59"/>
      <x:c r="J154" s="59"/>
      <x:c r="K154" s="59"/>
      <x:c r="L154" s="59"/>
      <x:c r="M154" s="59"/>
      <x:c r="N154" s="59"/>
      <x:c r="O154" s="59"/>
      <x:c r="P154" s="59"/>
      <x:c r="Q154" s="59"/>
      <x:c r="R154" s="59"/>
      <x:c r="S154" s="59"/>
      <x:c r="T154" s="59"/>
      <x:c r="U154" s="59"/>
      <x:c r="V154" s="59"/>
      <x:c r="W154" s="59"/>
      <x:c r="X154" s="59"/>
      <x:c r="Y154" s="59"/>
      <x:c r="Z154" s="59"/>
      <x:c r="AA154" s="59"/>
      <x:c r="AB154" s="59"/>
      <x:c r="AC154" s="59"/>
      <x:c r="AD154" s="59"/>
      <x:c r="AE154" s="59"/>
      <x:c r="AF154" s="59"/>
      <x:c r="AG154" s="59"/>
      <x:c r="AH154" s="59"/>
      <x:c r="AI154" s="59"/>
      <x:c r="AJ154" s="59"/>
      <x:c r="AK154" s="59"/>
      <x:c r="AL154" s="59"/>
      <x:c r="AM154" s="59"/>
      <x:c r="AN154" s="59"/>
    </x:row>
    <x:row r="155">
      <x:c r="A155" s="59"/>
      <x:c r="B155" s="59"/>
      <x:c r="C155" s="59"/>
      <x:c r="D155" s="59"/>
      <x:c r="E155" s="59"/>
      <x:c r="F155" s="59"/>
      <x:c r="G155" s="59"/>
      <x:c r="H155" s="59"/>
      <x:c r="I155" s="59"/>
      <x:c r="J155" s="59"/>
      <x:c r="K155" s="59"/>
      <x:c r="L155" s="59"/>
      <x:c r="M155" s="59"/>
      <x:c r="N155" s="59"/>
      <x:c r="O155" s="59"/>
      <x:c r="P155" s="59"/>
      <x:c r="Q155" s="59"/>
      <x:c r="R155" s="59"/>
      <x:c r="S155" s="59"/>
      <x:c r="T155" s="59"/>
      <x:c r="U155" s="59"/>
      <x:c r="V155" s="59"/>
      <x:c r="W155" s="59"/>
      <x:c r="X155" s="59"/>
      <x:c r="Y155" s="59"/>
      <x:c r="Z155" s="59"/>
      <x:c r="AA155" s="59"/>
      <x:c r="AB155" s="59"/>
      <x:c r="AC155" s="59"/>
      <x:c r="AD155" s="59"/>
      <x:c r="AE155" s="59"/>
      <x:c r="AF155" s="59"/>
      <x:c r="AG155" s="59"/>
      <x:c r="AH155" s="59"/>
      <x:c r="AI155" s="59"/>
      <x:c r="AJ155" s="59"/>
      <x:c r="AK155" s="59"/>
      <x:c r="AL155" s="59"/>
      <x:c r="AM155" s="59"/>
      <x:c r="AN155" s="59"/>
    </x:row>
    <x:row r="156">
      <x:c r="A156" s="59"/>
      <x:c r="B156" s="59"/>
      <x:c r="C156" s="59"/>
      <x:c r="D156" s="59"/>
      <x:c r="E156" s="59"/>
      <x:c r="F156" s="59"/>
      <x:c r="G156" s="59"/>
      <x:c r="H156" s="59"/>
      <x:c r="I156" s="59"/>
      <x:c r="J156" s="59"/>
      <x:c r="K156" s="59"/>
      <x:c r="L156" s="59"/>
      <x:c r="M156" s="59"/>
      <x:c r="N156" s="59"/>
      <x:c r="O156" s="59"/>
      <x:c r="P156" s="59"/>
      <x:c r="Q156" s="59"/>
      <x:c r="R156" s="59"/>
      <x:c r="S156" s="59"/>
      <x:c r="T156" s="59"/>
      <x:c r="U156" s="59"/>
      <x:c r="V156" s="59"/>
      <x:c r="W156" s="59"/>
      <x:c r="X156" s="59"/>
      <x:c r="Y156" s="59"/>
      <x:c r="Z156" s="59"/>
      <x:c r="AA156" s="59"/>
      <x:c r="AB156" s="59"/>
      <x:c r="AC156" s="59"/>
      <x:c r="AD156" s="59"/>
      <x:c r="AE156" s="59"/>
      <x:c r="AF156" s="59"/>
      <x:c r="AG156" s="59"/>
      <x:c r="AH156" s="59"/>
      <x:c r="AI156" s="59"/>
      <x:c r="AJ156" s="59"/>
      <x:c r="AK156" s="59"/>
      <x:c r="AL156" s="59"/>
      <x:c r="AM156" s="59"/>
      <x:c r="AN156" s="59"/>
    </x:row>
    <x:row r="157">
      <x:c r="A157" s="59"/>
      <x:c r="B157" s="59"/>
      <x:c r="C157" s="59"/>
      <x:c r="D157" s="59"/>
      <x:c r="E157" s="59"/>
      <x:c r="F157" s="59"/>
      <x:c r="G157" s="59"/>
      <x:c r="H157" s="59"/>
      <x:c r="I157" s="59"/>
      <x:c r="J157" s="59"/>
      <x:c r="K157" s="59"/>
      <x:c r="L157" s="59"/>
      <x:c r="M157" s="59"/>
      <x:c r="N157" s="59"/>
      <x:c r="O157" s="59"/>
      <x:c r="P157" s="59"/>
      <x:c r="Q157" s="59"/>
      <x:c r="R157" s="59"/>
      <x:c r="S157" s="59"/>
      <x:c r="T157" s="59"/>
      <x:c r="U157" s="59"/>
      <x:c r="V157" s="59"/>
      <x:c r="W157" s="59"/>
      <x:c r="X157" s="59"/>
      <x:c r="Y157" s="59"/>
      <x:c r="Z157" s="59"/>
      <x:c r="AA157" s="59"/>
      <x:c r="AB157" s="59"/>
      <x:c r="AC157" s="59"/>
      <x:c r="AD157" s="59"/>
      <x:c r="AE157" s="59"/>
      <x:c r="AF157" s="59"/>
      <x:c r="AG157" s="59"/>
      <x:c r="AH157" s="59"/>
      <x:c r="AI157" s="59"/>
      <x:c r="AJ157" s="59"/>
      <x:c r="AK157" s="59"/>
      <x:c r="AL157" s="59"/>
      <x:c r="AM157" s="59"/>
      <x:c r="AN157" s="59"/>
    </x:row>
    <x:row r="158">
      <x:c r="A158" s="59"/>
      <x:c r="B158" s="59"/>
      <x:c r="C158" s="59"/>
      <x:c r="D158" s="59"/>
      <x:c r="E158" s="59"/>
      <x:c r="F158" s="59"/>
      <x:c r="G158" s="59"/>
      <x:c r="H158" s="59"/>
      <x:c r="I158" s="59"/>
      <x:c r="J158" s="59"/>
      <x:c r="K158" s="59"/>
      <x:c r="L158" s="59"/>
      <x:c r="M158" s="59"/>
      <x:c r="N158" s="59"/>
      <x:c r="O158" s="59"/>
      <x:c r="P158" s="59"/>
      <x:c r="Q158" s="59"/>
      <x:c r="R158" s="59"/>
      <x:c r="S158" s="59"/>
      <x:c r="T158" s="59"/>
      <x:c r="U158" s="59"/>
      <x:c r="V158" s="59"/>
      <x:c r="W158" s="59"/>
      <x:c r="X158" s="59"/>
      <x:c r="Y158" s="59"/>
      <x:c r="Z158" s="59"/>
      <x:c r="AA158" s="59"/>
      <x:c r="AB158" s="59"/>
      <x:c r="AC158" s="59"/>
      <x:c r="AD158" s="59"/>
      <x:c r="AE158" s="59"/>
      <x:c r="AF158" s="59"/>
      <x:c r="AG158" s="59"/>
      <x:c r="AH158" s="59"/>
      <x:c r="AI158" s="59"/>
      <x:c r="AJ158" s="59"/>
      <x:c r="AK158" s="59"/>
      <x:c r="AL158" s="59"/>
      <x:c r="AM158" s="59"/>
      <x:c r="AN158" s="59"/>
    </x:row>
    <x:row r="159">
      <x:c r="A159" s="59"/>
      <x:c r="B159" s="59"/>
      <x:c r="C159" s="59"/>
      <x:c r="D159" s="59"/>
      <x:c r="E159" s="59"/>
      <x:c r="F159" s="59"/>
      <x:c r="G159" s="59"/>
      <x:c r="H159" s="59"/>
      <x:c r="I159" s="59"/>
      <x:c r="J159" s="59"/>
      <x:c r="K159" s="59"/>
      <x:c r="L159" s="59"/>
      <x:c r="M159" s="59"/>
      <x:c r="N159" s="59"/>
      <x:c r="O159" s="59"/>
      <x:c r="P159" s="59"/>
      <x:c r="Q159" s="59"/>
      <x:c r="R159" s="59"/>
      <x:c r="S159" s="59"/>
      <x:c r="T159" s="59"/>
      <x:c r="U159" s="59"/>
      <x:c r="V159" s="59"/>
      <x:c r="W159" s="59"/>
      <x:c r="X159" s="59"/>
      <x:c r="Y159" s="59"/>
      <x:c r="Z159" s="59"/>
      <x:c r="AA159" s="59"/>
      <x:c r="AB159" s="59"/>
      <x:c r="AC159" s="59"/>
      <x:c r="AD159" s="59"/>
      <x:c r="AE159" s="59"/>
      <x:c r="AF159" s="59"/>
      <x:c r="AG159" s="59"/>
      <x:c r="AH159" s="59"/>
      <x:c r="AI159" s="59"/>
      <x:c r="AJ159" s="59"/>
      <x:c r="AK159" s="59"/>
      <x:c r="AL159" s="59"/>
      <x:c r="AM159" s="59"/>
      <x:c r="AN159" s="59"/>
    </x:row>
    <x:row r="160">
      <x:c r="A160" s="59"/>
      <x:c r="B160" s="59"/>
      <x:c r="C160" s="59"/>
      <x:c r="D160" s="59"/>
      <x:c r="E160" s="59"/>
      <x:c r="F160" s="59"/>
      <x:c r="G160" s="59"/>
      <x:c r="H160" s="59"/>
      <x:c r="I160" s="59"/>
      <x:c r="J160" s="59"/>
      <x:c r="K160" s="59"/>
      <x:c r="L160" s="59"/>
      <x:c r="M160" s="59"/>
      <x:c r="N160" s="59"/>
      <x:c r="O160" s="59"/>
      <x:c r="P160" s="59"/>
      <x:c r="Q160" s="59"/>
      <x:c r="R160" s="59"/>
      <x:c r="S160" s="59"/>
      <x:c r="T160" s="59"/>
      <x:c r="U160" s="59"/>
      <x:c r="V160" s="59"/>
      <x:c r="W160" s="59"/>
      <x:c r="X160" s="59"/>
      <x:c r="Y160" s="59"/>
      <x:c r="Z160" s="59"/>
      <x:c r="AA160" s="59"/>
      <x:c r="AB160" s="59"/>
      <x:c r="AC160" s="59"/>
      <x:c r="AD160" s="59"/>
      <x:c r="AE160" s="59"/>
      <x:c r="AF160" s="59"/>
      <x:c r="AG160" s="59"/>
      <x:c r="AH160" s="59"/>
      <x:c r="AI160" s="59"/>
      <x:c r="AJ160" s="59"/>
      <x:c r="AK160" s="59"/>
      <x:c r="AL160" s="59"/>
      <x:c r="AM160" s="59"/>
      <x:c r="AN160" s="59"/>
    </x:row>
    <x:row r="161">
      <x:c r="A161" s="59"/>
      <x:c r="B161" s="59"/>
      <x:c r="C161" s="59"/>
      <x:c r="D161" s="59"/>
      <x:c r="E161" s="59"/>
      <x:c r="F161" s="59"/>
      <x:c r="G161" s="59"/>
      <x:c r="H161" s="59"/>
      <x:c r="I161" s="59"/>
      <x:c r="J161" s="59"/>
      <x:c r="K161" s="59"/>
      <x:c r="L161" s="59"/>
      <x:c r="M161" s="59"/>
      <x:c r="N161" s="59"/>
      <x:c r="O161" s="59"/>
      <x:c r="P161" s="59"/>
      <x:c r="Q161" s="59"/>
      <x:c r="R161" s="59"/>
      <x:c r="S161" s="59"/>
      <x:c r="T161" s="59"/>
      <x:c r="U161" s="59"/>
      <x:c r="V161" s="59"/>
      <x:c r="W161" s="59"/>
      <x:c r="X161" s="59"/>
      <x:c r="Y161" s="59"/>
      <x:c r="Z161" s="59"/>
      <x:c r="AA161" s="59"/>
      <x:c r="AB161" s="59"/>
      <x:c r="AC161" s="59"/>
      <x:c r="AD161" s="59"/>
      <x:c r="AE161" s="59"/>
      <x:c r="AF161" s="59"/>
      <x:c r="AG161" s="59"/>
      <x:c r="AH161" s="59"/>
      <x:c r="AI161" s="59"/>
      <x:c r="AJ161" s="59"/>
      <x:c r="AK161" s="59"/>
      <x:c r="AL161" s="59"/>
      <x:c r="AM161" s="59"/>
      <x:c r="AN161" s="59"/>
    </x:row>
    <x:row r="162">
      <x:c r="A162" s="59"/>
      <x:c r="B162" s="59"/>
      <x:c r="C162" s="59"/>
      <x:c r="D162" s="59"/>
      <x:c r="E162" s="59"/>
      <x:c r="F162" s="59"/>
      <x:c r="G162" s="59"/>
      <x:c r="H162" s="59"/>
      <x:c r="I162" s="59"/>
      <x:c r="J162" s="59"/>
      <x:c r="K162" s="59"/>
      <x:c r="L162" s="59"/>
      <x:c r="M162" s="59"/>
      <x:c r="N162" s="59"/>
      <x:c r="O162" s="59"/>
      <x:c r="P162" s="59"/>
      <x:c r="Q162" s="59"/>
      <x:c r="R162" s="59"/>
      <x:c r="S162" s="59"/>
      <x:c r="T162" s="59"/>
      <x:c r="U162" s="59"/>
      <x:c r="V162" s="59"/>
      <x:c r="W162" s="59"/>
      <x:c r="X162" s="59"/>
      <x:c r="Y162" s="59"/>
      <x:c r="Z162" s="59"/>
      <x:c r="AA162" s="59"/>
      <x:c r="AB162" s="59"/>
      <x:c r="AC162" s="59"/>
      <x:c r="AD162" s="59"/>
      <x:c r="AE162" s="59"/>
      <x:c r="AF162" s="59"/>
      <x:c r="AG162" s="59"/>
      <x:c r="AH162" s="59"/>
      <x:c r="AI162" s="59"/>
      <x:c r="AJ162" s="59"/>
      <x:c r="AK162" s="59"/>
      <x:c r="AL162" s="59"/>
      <x:c r="AM162" s="59"/>
      <x:c r="AN162" s="59"/>
    </x:row>
    <x:row r="163">
      <x:c r="A163" s="59"/>
      <x:c r="B163" s="59"/>
      <x:c r="C163" s="59"/>
      <x:c r="D163" s="59"/>
      <x:c r="E163" s="59"/>
      <x:c r="F163" s="59"/>
      <x:c r="G163" s="59"/>
      <x:c r="H163" s="59"/>
      <x:c r="I163" s="59"/>
      <x:c r="J163" s="59"/>
      <x:c r="K163" s="59"/>
      <x:c r="L163" s="59"/>
      <x:c r="M163" s="59"/>
      <x:c r="N163" s="59"/>
      <x:c r="O163" s="59"/>
      <x:c r="P163" s="59"/>
      <x:c r="Q163" s="59"/>
      <x:c r="R163" s="59"/>
      <x:c r="S163" s="59"/>
      <x:c r="T163" s="59"/>
      <x:c r="U163" s="59"/>
      <x:c r="V163" s="59"/>
      <x:c r="W163" s="59"/>
      <x:c r="X163" s="59"/>
      <x:c r="Y163" s="59"/>
      <x:c r="Z163" s="59"/>
      <x:c r="AA163" s="59"/>
      <x:c r="AB163" s="59"/>
      <x:c r="AC163" s="59"/>
      <x:c r="AD163" s="59"/>
      <x:c r="AE163" s="59"/>
      <x:c r="AF163" s="59"/>
      <x:c r="AG163" s="59"/>
      <x:c r="AH163" s="59"/>
      <x:c r="AI163" s="59"/>
      <x:c r="AJ163" s="59"/>
      <x:c r="AK163" s="59"/>
      <x:c r="AL163" s="59"/>
      <x:c r="AM163" s="59"/>
      <x:c r="AN163" s="59"/>
    </x:row>
    <x:row r="164">
      <x:c r="A164" s="59"/>
      <x:c r="B164" s="59"/>
      <x:c r="C164" s="59"/>
      <x:c r="D164" s="59"/>
      <x:c r="E164" s="59"/>
      <x:c r="F164" s="59"/>
      <x:c r="G164" s="59"/>
      <x:c r="H164" s="59"/>
      <x:c r="I164" s="59"/>
      <x:c r="J164" s="59"/>
      <x:c r="K164" s="59"/>
      <x:c r="L164" s="59"/>
      <x:c r="M164" s="59"/>
      <x:c r="N164" s="59"/>
      <x:c r="O164" s="59"/>
      <x:c r="P164" s="59"/>
      <x:c r="Q164" s="59"/>
      <x:c r="R164" s="59"/>
      <x:c r="S164" s="59"/>
      <x:c r="T164" s="59"/>
      <x:c r="U164" s="59"/>
      <x:c r="V164" s="59"/>
      <x:c r="W164" s="59"/>
      <x:c r="X164" s="59"/>
      <x:c r="Y164" s="59"/>
      <x:c r="Z164" s="59"/>
      <x:c r="AA164" s="59"/>
      <x:c r="AB164" s="59"/>
      <x:c r="AC164" s="59"/>
      <x:c r="AD164" s="59"/>
      <x:c r="AE164" s="59"/>
      <x:c r="AF164" s="59"/>
      <x:c r="AG164" s="59"/>
      <x:c r="AH164" s="59"/>
      <x:c r="AI164" s="59"/>
      <x:c r="AJ164" s="59"/>
      <x:c r="AK164" s="59"/>
      <x:c r="AL164" s="59"/>
      <x:c r="AM164" s="59"/>
      <x:c r="AN164" s="59"/>
    </x:row>
    <x:row r="165">
      <x:c r="A165" s="59"/>
      <x:c r="B165" s="59"/>
      <x:c r="C165" s="59"/>
      <x:c r="D165" s="59"/>
      <x:c r="E165" s="59"/>
      <x:c r="F165" s="59"/>
      <x:c r="G165" s="59"/>
      <x:c r="H165" s="59"/>
      <x:c r="I165" s="59"/>
      <x:c r="J165" s="59"/>
      <x:c r="K165" s="59"/>
      <x:c r="L165" s="59"/>
      <x:c r="M165" s="59"/>
      <x:c r="N165" s="59"/>
      <x:c r="O165" s="59"/>
      <x:c r="P165" s="59"/>
      <x:c r="Q165" s="59"/>
      <x:c r="R165" s="59"/>
      <x:c r="S165" s="59"/>
      <x:c r="T165" s="59"/>
      <x:c r="U165" s="59"/>
      <x:c r="V165" s="59"/>
      <x:c r="W165" s="59"/>
      <x:c r="X165" s="59"/>
      <x:c r="Y165" s="59"/>
      <x:c r="Z165" s="59"/>
      <x:c r="AA165" s="59"/>
      <x:c r="AB165" s="59"/>
      <x:c r="AC165" s="59"/>
      <x:c r="AD165" s="59"/>
      <x:c r="AE165" s="59"/>
      <x:c r="AF165" s="59"/>
      <x:c r="AG165" s="59"/>
      <x:c r="AH165" s="59"/>
      <x:c r="AI165" s="59"/>
      <x:c r="AJ165" s="59"/>
      <x:c r="AK165" s="59"/>
      <x:c r="AL165" s="59"/>
      <x:c r="AM165" s="59"/>
      <x:c r="AN165" s="59"/>
    </x:row>
    <x:row r="166">
      <x:c r="A166" s="59"/>
      <x:c r="B166" s="59"/>
      <x:c r="C166" s="59"/>
      <x:c r="D166" s="59"/>
      <x:c r="E166" s="59"/>
      <x:c r="F166" s="59"/>
      <x:c r="G166" s="59"/>
      <x:c r="H166" s="59"/>
      <x:c r="I166" s="59"/>
      <x:c r="J166" s="59"/>
      <x:c r="K166" s="59"/>
      <x:c r="L166" s="59"/>
      <x:c r="M166" s="59"/>
      <x:c r="N166" s="59"/>
      <x:c r="O166" s="59"/>
      <x:c r="P166" s="59"/>
      <x:c r="Q166" s="59"/>
      <x:c r="R166" s="59"/>
      <x:c r="S166" s="59"/>
      <x:c r="T166" s="59"/>
      <x:c r="U166" s="59"/>
      <x:c r="V166" s="59"/>
      <x:c r="W166" s="59"/>
      <x:c r="X166" s="59"/>
      <x:c r="Y166" s="59"/>
      <x:c r="Z166" s="59"/>
      <x:c r="AA166" s="59"/>
      <x:c r="AB166" s="59"/>
      <x:c r="AC166" s="59"/>
      <x:c r="AD166" s="59"/>
      <x:c r="AE166" s="59"/>
      <x:c r="AF166" s="59"/>
      <x:c r="AG166" s="59"/>
      <x:c r="AH166" s="59"/>
      <x:c r="AI166" s="59"/>
      <x:c r="AJ166" s="59"/>
      <x:c r="AK166" s="59"/>
      <x:c r="AL166" s="59"/>
      <x:c r="AM166" s="59"/>
      <x:c r="AN166" s="59"/>
    </x:row>
    <x:row r="167">
      <x:c r="A167" s="59"/>
      <x:c r="B167" s="59"/>
      <x:c r="C167" s="59"/>
      <x:c r="D167" s="59"/>
      <x:c r="E167" s="59"/>
      <x:c r="F167" s="59"/>
      <x:c r="G167" s="59"/>
      <x:c r="H167" s="59"/>
      <x:c r="I167" s="59"/>
      <x:c r="J167" s="59"/>
      <x:c r="K167" s="59"/>
      <x:c r="L167" s="59"/>
      <x:c r="M167" s="59"/>
      <x:c r="N167" s="59"/>
      <x:c r="O167" s="59"/>
      <x:c r="P167" s="59"/>
      <x:c r="Q167" s="59"/>
      <x:c r="R167" s="59"/>
      <x:c r="S167" s="59"/>
      <x:c r="T167" s="59"/>
      <x:c r="U167" s="59"/>
      <x:c r="V167" s="59"/>
      <x:c r="W167" s="59"/>
      <x:c r="X167" s="59"/>
      <x:c r="Y167" s="59"/>
      <x:c r="Z167" s="59"/>
      <x:c r="AA167" s="59"/>
      <x:c r="AB167" s="59"/>
      <x:c r="AC167" s="59"/>
      <x:c r="AD167" s="59"/>
      <x:c r="AE167" s="59"/>
      <x:c r="AF167" s="59"/>
      <x:c r="AG167" s="59"/>
      <x:c r="AH167" s="59"/>
      <x:c r="AI167" s="59"/>
      <x:c r="AJ167" s="59"/>
      <x:c r="AK167" s="59"/>
      <x:c r="AL167" s="59"/>
      <x:c r="AM167" s="59"/>
      <x:c r="AN167" s="59"/>
    </x:row>
    <x:row r="168">
      <x:c r="A168" s="59"/>
      <x:c r="B168" s="59"/>
      <x:c r="C168" s="59"/>
      <x:c r="D168" s="59"/>
      <x:c r="E168" s="59"/>
      <x:c r="F168" s="59"/>
      <x:c r="G168" s="59"/>
      <x:c r="H168" s="59"/>
      <x:c r="I168" s="59"/>
      <x:c r="J168" s="59"/>
      <x:c r="K168" s="59"/>
      <x:c r="L168" s="59"/>
      <x:c r="M168" s="59"/>
      <x:c r="N168" s="59"/>
      <x:c r="O168" s="59"/>
      <x:c r="P168" s="59"/>
      <x:c r="Q168" s="59"/>
      <x:c r="R168" s="59"/>
      <x:c r="S168" s="59"/>
      <x:c r="T168" s="59"/>
      <x:c r="U168" s="59"/>
      <x:c r="V168" s="59"/>
      <x:c r="W168" s="59"/>
      <x:c r="X168" s="59"/>
      <x:c r="Y168" s="59"/>
      <x:c r="Z168" s="59"/>
      <x:c r="AA168" s="59"/>
      <x:c r="AB168" s="59"/>
      <x:c r="AC168" s="59"/>
      <x:c r="AD168" s="59"/>
      <x:c r="AE168" s="59"/>
      <x:c r="AF168" s="59"/>
      <x:c r="AG168" s="59"/>
      <x:c r="AH168" s="59"/>
      <x:c r="AI168" s="59"/>
      <x:c r="AJ168" s="59"/>
      <x:c r="AK168" s="59"/>
      <x:c r="AL168" s="59"/>
      <x:c r="AM168" s="59"/>
      <x:c r="AN168" s="59"/>
    </x:row>
    <x:row r="169">
      <x:c r="A169" s="59"/>
      <x:c r="B169" s="59"/>
      <x:c r="C169" s="59"/>
      <x:c r="D169" s="59"/>
      <x:c r="E169" s="59"/>
      <x:c r="F169" s="59"/>
      <x:c r="G169" s="59"/>
      <x:c r="H169" s="59"/>
      <x:c r="I169" s="59"/>
      <x:c r="J169" s="59"/>
      <x:c r="K169" s="59"/>
      <x:c r="L169" s="59"/>
      <x:c r="M169" s="59"/>
      <x:c r="N169" s="59"/>
      <x:c r="O169" s="59"/>
      <x:c r="P169" s="59"/>
      <x:c r="Q169" s="59"/>
      <x:c r="R169" s="59"/>
      <x:c r="S169" s="59"/>
      <x:c r="T169" s="59"/>
      <x:c r="U169" s="59"/>
      <x:c r="V169" s="59"/>
      <x:c r="W169" s="59"/>
      <x:c r="X169" s="59"/>
      <x:c r="Y169" s="59"/>
      <x:c r="Z169" s="59"/>
      <x:c r="AA169" s="59"/>
      <x:c r="AB169" s="59"/>
      <x:c r="AC169" s="59"/>
      <x:c r="AD169" s="59"/>
      <x:c r="AE169" s="59"/>
      <x:c r="AF169" s="59"/>
      <x:c r="AG169" s="59"/>
      <x:c r="AH169" s="59"/>
      <x:c r="AI169" s="59"/>
      <x:c r="AJ169" s="59"/>
      <x:c r="AK169" s="59"/>
      <x:c r="AL169" s="59"/>
      <x:c r="AM169" s="59"/>
      <x:c r="AN169" s="59"/>
    </x:row>
    <x:row r="170">
      <x:c r="A170" s="59"/>
      <x:c r="B170" s="59"/>
      <x:c r="C170" s="59"/>
      <x:c r="D170" s="59"/>
      <x:c r="E170" s="59"/>
      <x:c r="F170" s="59"/>
      <x:c r="G170" s="59"/>
      <x:c r="H170" s="59"/>
      <x:c r="I170" s="59"/>
      <x:c r="J170" s="59"/>
      <x:c r="K170" s="59"/>
      <x:c r="L170" s="59"/>
      <x:c r="M170" s="59"/>
      <x:c r="N170" s="59"/>
      <x:c r="O170" s="59"/>
      <x:c r="P170" s="59"/>
      <x:c r="Q170" s="59"/>
      <x:c r="R170" s="59"/>
      <x:c r="S170" s="59"/>
      <x:c r="T170" s="59"/>
      <x:c r="U170" s="59"/>
      <x:c r="V170" s="59"/>
      <x:c r="W170" s="59"/>
      <x:c r="X170" s="59"/>
      <x:c r="Y170" s="59"/>
      <x:c r="Z170" s="59"/>
      <x:c r="AA170" s="59"/>
      <x:c r="AB170" s="59"/>
      <x:c r="AC170" s="59"/>
      <x:c r="AD170" s="59"/>
      <x:c r="AE170" s="59"/>
      <x:c r="AF170" s="59"/>
      <x:c r="AG170" s="59"/>
      <x:c r="AH170" s="59"/>
      <x:c r="AI170" s="59"/>
      <x:c r="AJ170" s="59"/>
      <x:c r="AK170" s="59"/>
      <x:c r="AL170" s="59"/>
      <x:c r="AM170" s="59"/>
      <x:c r="AN170" s="59"/>
    </x:row>
    <x:row r="171">
      <x:c r="A171" s="59"/>
      <x:c r="B171" s="59"/>
      <x:c r="C171" s="59"/>
      <x:c r="D171" s="59"/>
      <x:c r="E171" s="59"/>
      <x:c r="F171" s="59"/>
      <x:c r="G171" s="59"/>
      <x:c r="H171" s="59"/>
      <x:c r="I171" s="59"/>
      <x:c r="J171" s="59"/>
      <x:c r="K171" s="59"/>
      <x:c r="L171" s="59"/>
      <x:c r="M171" s="59"/>
      <x:c r="N171" s="59"/>
      <x:c r="O171" s="59"/>
      <x:c r="P171" s="59"/>
      <x:c r="Q171" s="59"/>
      <x:c r="R171" s="59"/>
      <x:c r="S171" s="59"/>
      <x:c r="T171" s="59"/>
      <x:c r="U171" s="59"/>
      <x:c r="V171" s="59"/>
      <x:c r="W171" s="59"/>
      <x:c r="X171" s="59"/>
      <x:c r="Y171" s="59"/>
      <x:c r="Z171" s="59"/>
      <x:c r="AA171" s="59"/>
      <x:c r="AB171" s="59"/>
      <x:c r="AC171" s="59"/>
      <x:c r="AD171" s="59"/>
      <x:c r="AE171" s="59"/>
      <x:c r="AF171" s="59"/>
      <x:c r="AG171" s="59"/>
      <x:c r="AH171" s="59"/>
      <x:c r="AI171" s="59"/>
      <x:c r="AJ171" s="59"/>
      <x:c r="AK171" s="59"/>
      <x:c r="AL171" s="59"/>
      <x:c r="AM171" s="59"/>
      <x:c r="AN171" s="59"/>
    </x:row>
    <x:row r="172">
      <x:c r="A172" s="59"/>
      <x:c r="B172" s="59"/>
      <x:c r="C172" s="59"/>
      <x:c r="D172" s="59"/>
      <x:c r="E172" s="59"/>
      <x:c r="F172" s="59"/>
      <x:c r="G172" s="59"/>
      <x:c r="H172" s="59"/>
      <x:c r="I172" s="59"/>
      <x:c r="J172" s="59"/>
      <x:c r="K172" s="59"/>
      <x:c r="L172" s="59"/>
      <x:c r="M172" s="59"/>
      <x:c r="N172" s="59"/>
      <x:c r="O172" s="59"/>
      <x:c r="P172" s="59"/>
      <x:c r="Q172" s="59"/>
      <x:c r="R172" s="59"/>
      <x:c r="S172" s="59"/>
      <x:c r="T172" s="59"/>
      <x:c r="U172" s="59"/>
      <x:c r="V172" s="59"/>
      <x:c r="W172" s="59"/>
      <x:c r="X172" s="59"/>
      <x:c r="Y172" s="59"/>
      <x:c r="Z172" s="59"/>
      <x:c r="AA172" s="59"/>
      <x:c r="AB172" s="59"/>
      <x:c r="AC172" s="59"/>
      <x:c r="AD172" s="59"/>
      <x:c r="AE172" s="59"/>
      <x:c r="AF172" s="59"/>
      <x:c r="AG172" s="59"/>
      <x:c r="AH172" s="59"/>
      <x:c r="AI172" s="59"/>
      <x:c r="AJ172" s="59"/>
      <x:c r="AK172" s="59"/>
      <x:c r="AL172" s="59"/>
      <x:c r="AM172" s="59"/>
      <x:c r="AN172" s="59"/>
    </x:row>
    <x:row r="173">
      <x:c r="A173" s="59"/>
      <x:c r="B173" s="59"/>
      <x:c r="C173" s="59"/>
      <x:c r="D173" s="59"/>
      <x:c r="E173" s="59"/>
      <x:c r="F173" s="59"/>
      <x:c r="G173" s="59"/>
      <x:c r="H173" s="59"/>
      <x:c r="I173" s="59"/>
      <x:c r="J173" s="59"/>
      <x:c r="K173" s="59"/>
      <x:c r="L173" s="59"/>
      <x:c r="M173" s="59"/>
      <x:c r="N173" s="59"/>
      <x:c r="O173" s="59"/>
      <x:c r="P173" s="59"/>
      <x:c r="Q173" s="59"/>
      <x:c r="R173" s="59"/>
      <x:c r="S173" s="59"/>
      <x:c r="T173" s="59"/>
      <x:c r="U173" s="59"/>
      <x:c r="V173" s="59"/>
      <x:c r="W173" s="59"/>
      <x:c r="X173" s="59"/>
      <x:c r="Y173" s="59"/>
      <x:c r="Z173" s="59"/>
      <x:c r="AA173" s="59"/>
      <x:c r="AB173" s="59"/>
      <x:c r="AC173" s="59"/>
      <x:c r="AD173" s="59"/>
      <x:c r="AE173" s="59"/>
      <x:c r="AF173" s="59"/>
      <x:c r="AG173" s="59"/>
      <x:c r="AH173" s="59"/>
      <x:c r="AI173" s="59"/>
      <x:c r="AJ173" s="59"/>
      <x:c r="AK173" s="59"/>
      <x:c r="AL173" s="59"/>
      <x:c r="AM173" s="59"/>
      <x:c r="AN173" s="59"/>
    </x:row>
    <x:row r="174">
      <x:c r="A174" s="59"/>
      <x:c r="B174" s="59"/>
      <x:c r="C174" s="59"/>
      <x:c r="D174" s="59"/>
      <x:c r="E174" s="59"/>
      <x:c r="F174" s="59"/>
      <x:c r="G174" s="59"/>
      <x:c r="H174" s="59"/>
      <x:c r="I174" s="59"/>
      <x:c r="J174" s="59"/>
      <x:c r="K174" s="59"/>
      <x:c r="L174" s="59"/>
      <x:c r="M174" s="59"/>
      <x:c r="N174" s="59"/>
      <x:c r="O174" s="59"/>
      <x:c r="P174" s="59"/>
      <x:c r="Q174" s="59"/>
      <x:c r="R174" s="59"/>
      <x:c r="S174" s="59"/>
      <x:c r="T174" s="59"/>
      <x:c r="U174" s="59"/>
      <x:c r="V174" s="59"/>
      <x:c r="W174" s="59"/>
      <x:c r="X174" s="59"/>
      <x:c r="Y174" s="59"/>
      <x:c r="Z174" s="59"/>
      <x:c r="AA174" s="59"/>
      <x:c r="AB174" s="59"/>
      <x:c r="AC174" s="59"/>
      <x:c r="AD174" s="59"/>
      <x:c r="AE174" s="59"/>
      <x:c r="AF174" s="59"/>
      <x:c r="AG174" s="59"/>
      <x:c r="AH174" s="59"/>
      <x:c r="AI174" s="59"/>
      <x:c r="AJ174" s="59"/>
      <x:c r="AK174" s="59"/>
      <x:c r="AL174" s="59"/>
      <x:c r="AM174" s="59"/>
      <x:c r="AN174" s="59"/>
    </x:row>
    <x:row r="175">
      <x:c r="A175" s="59"/>
      <x:c r="B175" s="59"/>
      <x:c r="C175" s="59"/>
      <x:c r="D175" s="59"/>
      <x:c r="E175" s="59"/>
      <x:c r="F175" s="59"/>
      <x:c r="G175" s="59"/>
      <x:c r="H175" s="59"/>
      <x:c r="I175" s="59"/>
      <x:c r="J175" s="59"/>
      <x:c r="K175" s="59"/>
      <x:c r="L175" s="59"/>
      <x:c r="M175" s="59"/>
      <x:c r="N175" s="59"/>
      <x:c r="O175" s="59"/>
      <x:c r="P175" s="59"/>
      <x:c r="Q175" s="59"/>
      <x:c r="R175" s="59"/>
      <x:c r="S175" s="59"/>
      <x:c r="T175" s="59"/>
      <x:c r="U175" s="59"/>
      <x:c r="V175" s="59"/>
      <x:c r="W175" s="59"/>
      <x:c r="X175" s="59"/>
      <x:c r="Y175" s="59"/>
      <x:c r="Z175" s="59"/>
      <x:c r="AA175" s="59"/>
      <x:c r="AB175" s="59"/>
      <x:c r="AC175" s="59"/>
      <x:c r="AD175" s="59"/>
      <x:c r="AE175" s="59"/>
      <x:c r="AF175" s="59"/>
      <x:c r="AG175" s="59"/>
      <x:c r="AH175" s="59"/>
      <x:c r="AI175" s="59"/>
      <x:c r="AJ175" s="59"/>
      <x:c r="AK175" s="59"/>
      <x:c r="AL175" s="59"/>
      <x:c r="AM175" s="59"/>
      <x:c r="AN175" s="59"/>
    </x:row>
    <x:row r="176">
      <x:c r="A176" s="59"/>
      <x:c r="B176" s="59"/>
      <x:c r="C176" s="59"/>
      <x:c r="D176" s="59"/>
      <x:c r="E176" s="59"/>
      <x:c r="F176" s="59"/>
      <x:c r="G176" s="59"/>
      <x:c r="H176" s="59"/>
      <x:c r="I176" s="59"/>
      <x:c r="J176" s="59"/>
      <x:c r="K176" s="59"/>
      <x:c r="L176" s="59"/>
      <x:c r="M176" s="59"/>
      <x:c r="N176" s="59"/>
      <x:c r="O176" s="59"/>
      <x:c r="P176" s="59"/>
      <x:c r="Q176" s="59"/>
      <x:c r="R176" s="59"/>
      <x:c r="S176" s="59"/>
      <x:c r="T176" s="59"/>
      <x:c r="U176" s="59"/>
      <x:c r="V176" s="59"/>
      <x:c r="W176" s="59"/>
      <x:c r="X176" s="59"/>
      <x:c r="Y176" s="59"/>
      <x:c r="Z176" s="59"/>
      <x:c r="AA176" s="59"/>
      <x:c r="AB176" s="59"/>
      <x:c r="AC176" s="59"/>
      <x:c r="AD176" s="59"/>
      <x:c r="AE176" s="59"/>
      <x:c r="AF176" s="59"/>
      <x:c r="AG176" s="59"/>
      <x:c r="AH176" s="59"/>
      <x:c r="AI176" s="59"/>
      <x:c r="AJ176" s="59"/>
      <x:c r="AK176" s="59"/>
      <x:c r="AL176" s="59"/>
      <x:c r="AM176" s="59"/>
      <x:c r="AN176" s="59"/>
    </x:row>
    <x:row r="177">
      <x:c r="A177" s="59"/>
      <x:c r="B177" s="59"/>
      <x:c r="C177" s="59"/>
      <x:c r="D177" s="59"/>
      <x:c r="E177" s="59"/>
      <x:c r="F177" s="59"/>
      <x:c r="G177" s="59"/>
      <x:c r="H177" s="59"/>
      <x:c r="I177" s="59"/>
      <x:c r="J177" s="59"/>
      <x:c r="K177" s="59"/>
      <x:c r="L177" s="59"/>
      <x:c r="M177" s="59"/>
      <x:c r="N177" s="59"/>
      <x:c r="O177" s="59"/>
      <x:c r="P177" s="59"/>
      <x:c r="Q177" s="59"/>
      <x:c r="R177" s="59"/>
      <x:c r="S177" s="59"/>
      <x:c r="T177" s="59"/>
      <x:c r="U177" s="59"/>
      <x:c r="V177" s="59"/>
      <x:c r="W177" s="59"/>
      <x:c r="X177" s="59"/>
      <x:c r="Y177" s="59"/>
      <x:c r="Z177" s="59"/>
      <x:c r="AA177" s="59"/>
      <x:c r="AB177" s="59"/>
      <x:c r="AC177" s="59"/>
      <x:c r="AD177" s="59"/>
      <x:c r="AE177" s="59"/>
      <x:c r="AF177" s="59"/>
      <x:c r="AG177" s="59"/>
      <x:c r="AH177" s="59"/>
      <x:c r="AI177" s="59"/>
      <x:c r="AJ177" s="59"/>
      <x:c r="AK177" s="59"/>
      <x:c r="AL177" s="59"/>
      <x:c r="AM177" s="59"/>
      <x:c r="AN177" s="59"/>
    </x:row>
    <x:row r="178">
      <x:c r="A178" s="59"/>
      <x:c r="B178" s="59"/>
      <x:c r="C178" s="59"/>
      <x:c r="D178" s="59"/>
      <x:c r="E178" s="59"/>
      <x:c r="F178" s="59"/>
      <x:c r="G178" s="59"/>
      <x:c r="H178" s="59"/>
      <x:c r="I178" s="59"/>
      <x:c r="J178" s="59"/>
      <x:c r="K178" s="59"/>
      <x:c r="L178" s="59"/>
      <x:c r="M178" s="59"/>
      <x:c r="N178" s="59"/>
      <x:c r="O178" s="59"/>
      <x:c r="P178" s="59"/>
      <x:c r="Q178" s="59"/>
      <x:c r="R178" s="59"/>
      <x:c r="S178" s="59"/>
      <x:c r="T178" s="59"/>
      <x:c r="U178" s="59"/>
      <x:c r="V178" s="59"/>
      <x:c r="W178" s="59"/>
      <x:c r="X178" s="59"/>
      <x:c r="Y178" s="59"/>
      <x:c r="Z178" s="59"/>
      <x:c r="AA178" s="59"/>
      <x:c r="AB178" s="59"/>
      <x:c r="AC178" s="59"/>
      <x:c r="AD178" s="59"/>
      <x:c r="AE178" s="59"/>
      <x:c r="AF178" s="59"/>
      <x:c r="AG178" s="59"/>
      <x:c r="AH178" s="59"/>
      <x:c r="AI178" s="59"/>
      <x:c r="AJ178" s="59"/>
      <x:c r="AK178" s="59"/>
      <x:c r="AL178" s="59"/>
      <x:c r="AM178" s="59"/>
      <x:c r="AN178" s="59"/>
    </x:row>
    <x:row r="179">
      <x:c r="A179" s="59"/>
      <x:c r="B179" s="59"/>
      <x:c r="C179" s="59"/>
      <x:c r="D179" s="59"/>
      <x:c r="E179" s="59"/>
      <x:c r="F179" s="59"/>
      <x:c r="G179" s="59"/>
      <x:c r="H179" s="59"/>
      <x:c r="I179" s="59"/>
      <x:c r="J179" s="59"/>
      <x:c r="K179" s="59"/>
      <x:c r="L179" s="59"/>
      <x:c r="M179" s="59"/>
      <x:c r="N179" s="59"/>
      <x:c r="O179" s="59"/>
      <x:c r="P179" s="59"/>
      <x:c r="Q179" s="59"/>
      <x:c r="R179" s="59"/>
      <x:c r="S179" s="59"/>
      <x:c r="T179" s="59"/>
      <x:c r="U179" s="59"/>
      <x:c r="V179" s="59"/>
      <x:c r="W179" s="59"/>
      <x:c r="X179" s="59"/>
      <x:c r="Y179" s="59"/>
      <x:c r="Z179" s="59"/>
      <x:c r="AA179" s="59"/>
      <x:c r="AB179" s="59"/>
      <x:c r="AC179" s="59"/>
      <x:c r="AD179" s="59"/>
      <x:c r="AE179" s="59"/>
      <x:c r="AF179" s="59"/>
      <x:c r="AG179" s="59"/>
      <x:c r="AH179" s="59"/>
      <x:c r="AI179" s="59"/>
      <x:c r="AJ179" s="59"/>
      <x:c r="AK179" s="59"/>
      <x:c r="AL179" s="59"/>
      <x:c r="AM179" s="59"/>
      <x:c r="AN179" s="59"/>
    </x:row>
    <x:row r="180">
      <x:c r="A180" s="59"/>
      <x:c r="B180" s="59"/>
      <x:c r="C180" s="59"/>
      <x:c r="D180" s="59"/>
      <x:c r="E180" s="59"/>
      <x:c r="F180" s="59"/>
      <x:c r="G180" s="59"/>
      <x:c r="H180" s="59"/>
      <x:c r="I180" s="59"/>
      <x:c r="J180" s="59"/>
      <x:c r="K180" s="59"/>
      <x:c r="L180" s="59"/>
      <x:c r="M180" s="59"/>
      <x:c r="N180" s="59"/>
      <x:c r="O180" s="59"/>
      <x:c r="P180" s="59"/>
      <x:c r="Q180" s="59"/>
      <x:c r="R180" s="59"/>
      <x:c r="S180" s="59"/>
      <x:c r="T180" s="59"/>
      <x:c r="U180" s="59"/>
      <x:c r="V180" s="59"/>
      <x:c r="W180" s="59"/>
      <x:c r="X180" s="59"/>
      <x:c r="Y180" s="59"/>
      <x:c r="Z180" s="59"/>
      <x:c r="AA180" s="59"/>
      <x:c r="AB180" s="59"/>
      <x:c r="AC180" s="59"/>
      <x:c r="AD180" s="59"/>
      <x:c r="AE180" s="59"/>
      <x:c r="AF180" s="59"/>
      <x:c r="AG180" s="59"/>
      <x:c r="AH180" s="59"/>
      <x:c r="AI180" s="59"/>
      <x:c r="AJ180" s="59"/>
      <x:c r="AK180" s="59"/>
      <x:c r="AL180" s="59"/>
      <x:c r="AM180" s="59"/>
      <x:c r="AN180" s="59"/>
    </x:row>
    <x:row r="181">
      <x:c r="A181" s="59"/>
      <x:c r="B181" s="59"/>
      <x:c r="C181" s="59"/>
      <x:c r="D181" s="59"/>
      <x:c r="E181" s="59"/>
      <x:c r="F181" s="59"/>
      <x:c r="G181" s="59"/>
      <x:c r="H181" s="59"/>
      <x:c r="I181" s="59"/>
      <x:c r="J181" s="59"/>
      <x:c r="K181" s="59"/>
      <x:c r="L181" s="59"/>
      <x:c r="M181" s="59"/>
      <x:c r="N181" s="59"/>
      <x:c r="O181" s="59"/>
      <x:c r="P181" s="59"/>
      <x:c r="Q181" s="59"/>
      <x:c r="R181" s="59"/>
      <x:c r="S181" s="59"/>
      <x:c r="T181" s="59"/>
      <x:c r="U181" s="59"/>
      <x:c r="V181" s="59"/>
      <x:c r="W181" s="59"/>
      <x:c r="X181" s="59"/>
      <x:c r="Y181" s="59"/>
      <x:c r="Z181" s="59"/>
      <x:c r="AA181" s="59"/>
      <x:c r="AB181" s="59"/>
      <x:c r="AC181" s="59"/>
      <x:c r="AD181" s="59"/>
      <x:c r="AE181" s="59"/>
      <x:c r="AF181" s="59"/>
      <x:c r="AG181" s="59"/>
      <x:c r="AH181" s="59"/>
      <x:c r="AI181" s="59"/>
      <x:c r="AJ181" s="59"/>
      <x:c r="AK181" s="59"/>
      <x:c r="AL181" s="59"/>
      <x:c r="AM181" s="59"/>
      <x:c r="AN181" s="59"/>
    </x:row>
    <x:row r="182">
      <x:c r="A182" s="59"/>
      <x:c r="B182" s="59"/>
      <x:c r="C182" s="59"/>
      <x:c r="D182" s="59"/>
      <x:c r="E182" s="59"/>
      <x:c r="F182" s="59"/>
      <x:c r="G182" s="59"/>
      <x:c r="H182" s="59"/>
      <x:c r="I182" s="59"/>
      <x:c r="J182" s="59"/>
      <x:c r="K182" s="59"/>
      <x:c r="L182" s="59"/>
      <x:c r="M182" s="59"/>
      <x:c r="N182" s="59"/>
      <x:c r="O182" s="59"/>
      <x:c r="P182" s="59"/>
      <x:c r="Q182" s="59"/>
      <x:c r="R182" s="59"/>
      <x:c r="S182" s="59"/>
      <x:c r="T182" s="59"/>
      <x:c r="U182" s="59"/>
      <x:c r="V182" s="59"/>
      <x:c r="W182" s="59"/>
      <x:c r="X182" s="59"/>
      <x:c r="Y182" s="59"/>
      <x:c r="Z182" s="59"/>
      <x:c r="AA182" s="59"/>
      <x:c r="AB182" s="59"/>
      <x:c r="AC182" s="59"/>
      <x:c r="AD182" s="59"/>
      <x:c r="AE182" s="59"/>
      <x:c r="AF182" s="59"/>
      <x:c r="AG182" s="59"/>
      <x:c r="AH182" s="59"/>
      <x:c r="AI182" s="59"/>
      <x:c r="AJ182" s="59"/>
      <x:c r="AK182" s="59"/>
      <x:c r="AL182" s="59"/>
      <x:c r="AM182" s="59"/>
      <x:c r="AN182" s="59"/>
    </x:row>
    <x:row r="183">
      <x:c r="A183" s="59"/>
      <x:c r="B183" s="59"/>
      <x:c r="C183" s="59"/>
      <x:c r="D183" s="59"/>
      <x:c r="E183" s="59"/>
      <x:c r="F183" s="59"/>
      <x:c r="G183" s="59"/>
      <x:c r="H183" s="59"/>
      <x:c r="I183" s="59"/>
      <x:c r="J183" s="59"/>
      <x:c r="K183" s="59"/>
      <x:c r="L183" s="59"/>
      <x:c r="M183" s="59"/>
      <x:c r="N183" s="59"/>
      <x:c r="O183" s="59"/>
      <x:c r="P183" s="59"/>
      <x:c r="Q183" s="59"/>
      <x:c r="R183" s="59"/>
      <x:c r="S183" s="59"/>
      <x:c r="T183" s="59"/>
      <x:c r="U183" s="59"/>
      <x:c r="V183" s="59"/>
      <x:c r="W183" s="59"/>
      <x:c r="X183" s="59"/>
      <x:c r="Y183" s="59"/>
      <x:c r="Z183" s="59"/>
      <x:c r="AA183" s="59"/>
      <x:c r="AB183" s="59"/>
      <x:c r="AC183" s="59"/>
      <x:c r="AD183" s="59"/>
      <x:c r="AE183" s="59"/>
      <x:c r="AF183" s="59"/>
      <x:c r="AG183" s="59"/>
      <x:c r="AH183" s="59"/>
      <x:c r="AI183" s="59"/>
      <x:c r="AJ183" s="59"/>
      <x:c r="AK183" s="59"/>
      <x:c r="AL183" s="59"/>
      <x:c r="AM183" s="59"/>
      <x:c r="AN183" s="59"/>
    </x:row>
    <x:row r="184">
      <x:c r="A184" s="59"/>
      <x:c r="B184" s="59"/>
      <x:c r="C184" s="59"/>
      <x:c r="D184" s="59"/>
      <x:c r="E184" s="59"/>
      <x:c r="F184" s="59"/>
      <x:c r="G184" s="59"/>
      <x:c r="H184" s="59"/>
      <x:c r="I184" s="59"/>
      <x:c r="J184" s="59"/>
      <x:c r="K184" s="59"/>
      <x:c r="L184" s="59"/>
      <x:c r="M184" s="59"/>
      <x:c r="N184" s="59"/>
      <x:c r="O184" s="59"/>
      <x:c r="P184" s="59"/>
      <x:c r="Q184" s="59"/>
      <x:c r="R184" s="59"/>
      <x:c r="S184" s="59"/>
      <x:c r="T184" s="59"/>
      <x:c r="U184" s="59"/>
      <x:c r="V184" s="59"/>
      <x:c r="W184" s="59"/>
      <x:c r="X184" s="59"/>
      <x:c r="Y184" s="59"/>
      <x:c r="Z184" s="59"/>
      <x:c r="AA184" s="59"/>
      <x:c r="AB184" s="59"/>
      <x:c r="AC184" s="59"/>
      <x:c r="AD184" s="59"/>
      <x:c r="AE184" s="59"/>
      <x:c r="AF184" s="59"/>
      <x:c r="AG184" s="59"/>
      <x:c r="AH184" s="59"/>
      <x:c r="AI184" s="59"/>
      <x:c r="AJ184" s="59"/>
      <x:c r="AK184" s="59"/>
      <x:c r="AL184" s="59"/>
      <x:c r="AM184" s="59"/>
      <x:c r="AN184" s="59"/>
    </x:row>
    <x:row r="185">
      <x:c r="A185" s="59"/>
      <x:c r="B185" s="59"/>
      <x:c r="C185" s="59"/>
      <x:c r="D185" s="59"/>
      <x:c r="E185" s="59"/>
      <x:c r="F185" s="59"/>
      <x:c r="G185" s="59"/>
      <x:c r="H185" s="59"/>
      <x:c r="I185" s="59"/>
      <x:c r="J185" s="59"/>
      <x:c r="K185" s="59"/>
      <x:c r="L185" s="59"/>
      <x:c r="M185" s="59"/>
      <x:c r="N185" s="59"/>
      <x:c r="O185" s="59"/>
      <x:c r="P185" s="59"/>
      <x:c r="Q185" s="59"/>
      <x:c r="R185" s="59"/>
      <x:c r="S185" s="59"/>
      <x:c r="T185" s="59"/>
      <x:c r="U185" s="59"/>
      <x:c r="V185" s="59"/>
      <x:c r="W185" s="59"/>
      <x:c r="X185" s="59"/>
      <x:c r="Y185" s="59"/>
      <x:c r="Z185" s="59"/>
      <x:c r="AA185" s="59"/>
      <x:c r="AB185" s="59"/>
      <x:c r="AC185" s="59"/>
      <x:c r="AD185" s="59"/>
      <x:c r="AE185" s="59"/>
      <x:c r="AF185" s="59"/>
      <x:c r="AG185" s="59"/>
      <x:c r="AH185" s="59"/>
      <x:c r="AI185" s="59"/>
      <x:c r="AJ185" s="59"/>
      <x:c r="AK185" s="59"/>
      <x:c r="AL185" s="59"/>
      <x:c r="AM185" s="59"/>
      <x:c r="AN185" s="59"/>
    </x:row>
    <x:row r="186">
      <x:c r="A186" s="59"/>
      <x:c r="B186" s="59"/>
      <x:c r="C186" s="59"/>
      <x:c r="D186" s="59"/>
      <x:c r="E186" s="59"/>
      <x:c r="F186" s="59"/>
      <x:c r="G186" s="59"/>
      <x:c r="H186" s="59"/>
      <x:c r="I186" s="59"/>
      <x:c r="J186" s="59"/>
      <x:c r="K186" s="59"/>
      <x:c r="L186" s="59"/>
      <x:c r="M186" s="59"/>
      <x:c r="N186" s="59"/>
      <x:c r="O186" s="59"/>
      <x:c r="P186" s="59"/>
      <x:c r="Q186" s="59"/>
      <x:c r="R186" s="59"/>
      <x:c r="S186" s="59"/>
      <x:c r="T186" s="59"/>
      <x:c r="U186" s="59"/>
      <x:c r="V186" s="59"/>
      <x:c r="W186" s="59"/>
      <x:c r="X186" s="59"/>
      <x:c r="Y186" s="59"/>
      <x:c r="Z186" s="59"/>
      <x:c r="AA186" s="59"/>
      <x:c r="AB186" s="59"/>
      <x:c r="AC186" s="59"/>
      <x:c r="AD186" s="59"/>
      <x:c r="AE186" s="59"/>
      <x:c r="AF186" s="59"/>
      <x:c r="AG186" s="59"/>
      <x:c r="AH186" s="59"/>
      <x:c r="AI186" s="59"/>
      <x:c r="AJ186" s="59"/>
      <x:c r="AK186" s="59"/>
      <x:c r="AL186" s="59"/>
      <x:c r="AM186" s="59"/>
      <x:c r="AN186" s="59"/>
    </x:row>
    <x:row r="187">
      <x:c r="A187" s="59"/>
      <x:c r="B187" s="59"/>
      <x:c r="C187" s="59"/>
      <x:c r="D187" s="59"/>
      <x:c r="E187" s="59"/>
      <x:c r="F187" s="59"/>
      <x:c r="G187" s="59"/>
      <x:c r="H187" s="59"/>
      <x:c r="I187" s="59"/>
      <x:c r="J187" s="59"/>
      <x:c r="K187" s="59"/>
      <x:c r="L187" s="59"/>
      <x:c r="M187" s="59"/>
      <x:c r="N187" s="59"/>
      <x:c r="O187" s="59"/>
      <x:c r="P187" s="59"/>
      <x:c r="Q187" s="59"/>
      <x:c r="R187" s="59"/>
      <x:c r="S187" s="59"/>
      <x:c r="T187" s="59"/>
      <x:c r="U187" s="59"/>
      <x:c r="V187" s="59"/>
      <x:c r="W187" s="59"/>
      <x:c r="X187" s="59"/>
      <x:c r="Y187" s="59"/>
      <x:c r="Z187" s="59"/>
      <x:c r="AA187" s="59"/>
      <x:c r="AB187" s="59"/>
      <x:c r="AC187" s="59"/>
      <x:c r="AD187" s="59"/>
      <x:c r="AE187" s="59"/>
      <x:c r="AF187" s="59"/>
      <x:c r="AG187" s="59"/>
      <x:c r="AH187" s="59"/>
      <x:c r="AI187" s="59"/>
      <x:c r="AJ187" s="59"/>
      <x:c r="AK187" s="59"/>
      <x:c r="AL187" s="59"/>
      <x:c r="AM187" s="59"/>
      <x:c r="AN187" s="59"/>
    </x:row>
    <x:row r="188">
      <x:c r="A188" s="59"/>
      <x:c r="B188" s="59"/>
      <x:c r="C188" s="59"/>
      <x:c r="D188" s="59"/>
      <x:c r="E188" s="59"/>
      <x:c r="F188" s="59"/>
      <x:c r="G188" s="59"/>
      <x:c r="H188" s="59"/>
      <x:c r="I188" s="59"/>
      <x:c r="J188" s="59"/>
      <x:c r="K188" s="59"/>
      <x:c r="L188" s="59"/>
      <x:c r="M188" s="59"/>
      <x:c r="N188" s="59"/>
      <x:c r="O188" s="59"/>
      <x:c r="P188" s="59"/>
      <x:c r="Q188" s="59"/>
      <x:c r="R188" s="59"/>
      <x:c r="S188" s="59"/>
      <x:c r="T188" s="59"/>
      <x:c r="U188" s="59"/>
      <x:c r="V188" s="59"/>
      <x:c r="W188" s="59"/>
      <x:c r="X188" s="59"/>
      <x:c r="Y188" s="59"/>
      <x:c r="Z188" s="59"/>
      <x:c r="AA188" s="59"/>
      <x:c r="AB188" s="59"/>
      <x:c r="AC188" s="59"/>
      <x:c r="AD188" s="59"/>
      <x:c r="AE188" s="59"/>
      <x:c r="AF188" s="59"/>
      <x:c r="AG188" s="59"/>
      <x:c r="AH188" s="59"/>
      <x:c r="AI188" s="59"/>
      <x:c r="AJ188" s="59"/>
      <x:c r="AK188" s="59"/>
      <x:c r="AL188" s="59"/>
      <x:c r="AM188" s="59"/>
      <x:c r="AN188" s="59"/>
    </x:row>
    <x:row r="189">
      <x:c r="A189" s="59"/>
      <x:c r="B189" s="59"/>
      <x:c r="C189" s="59"/>
      <x:c r="D189" s="59"/>
      <x:c r="E189" s="59"/>
      <x:c r="F189" s="59"/>
      <x:c r="G189" s="59"/>
      <x:c r="H189" s="59"/>
      <x:c r="I189" s="59"/>
      <x:c r="J189" s="59"/>
      <x:c r="K189" s="59"/>
      <x:c r="L189" s="59"/>
      <x:c r="M189" s="59"/>
      <x:c r="N189" s="59"/>
      <x:c r="O189" s="59"/>
      <x:c r="P189" s="59"/>
      <x:c r="Q189" s="59"/>
      <x:c r="R189" s="59"/>
      <x:c r="S189" s="59"/>
      <x:c r="T189" s="59"/>
      <x:c r="U189" s="59"/>
      <x:c r="V189" s="59"/>
      <x:c r="W189" s="59"/>
      <x:c r="X189" s="59"/>
      <x:c r="Y189" s="59"/>
      <x:c r="Z189" s="59"/>
      <x:c r="AA189" s="59"/>
      <x:c r="AB189" s="59"/>
      <x:c r="AC189" s="59"/>
      <x:c r="AD189" s="59"/>
      <x:c r="AE189" s="59"/>
      <x:c r="AF189" s="59"/>
      <x:c r="AG189" s="59"/>
      <x:c r="AH189" s="59"/>
      <x:c r="AI189" s="59"/>
      <x:c r="AJ189" s="59"/>
      <x:c r="AK189" s="59"/>
      <x:c r="AL189" s="59"/>
      <x:c r="AM189" s="59"/>
      <x:c r="AN189" s="59"/>
    </x:row>
    <x:row r="190">
      <x:c r="A190" s="59"/>
      <x:c r="B190" s="59"/>
      <x:c r="C190" s="59"/>
      <x:c r="D190" s="59"/>
      <x:c r="E190" s="59"/>
      <x:c r="F190" s="59"/>
      <x:c r="G190" s="59"/>
      <x:c r="H190" s="59"/>
      <x:c r="I190" s="59"/>
      <x:c r="J190" s="59"/>
      <x:c r="K190" s="59"/>
      <x:c r="L190" s="59"/>
      <x:c r="M190" s="59"/>
      <x:c r="N190" s="59"/>
      <x:c r="O190" s="59"/>
      <x:c r="P190" s="59"/>
      <x:c r="Q190" s="59"/>
      <x:c r="R190" s="59"/>
      <x:c r="S190" s="59"/>
      <x:c r="T190" s="59"/>
      <x:c r="U190" s="59"/>
      <x:c r="V190" s="59"/>
      <x:c r="W190" s="59"/>
      <x:c r="X190" s="59"/>
      <x:c r="Y190" s="59"/>
      <x:c r="Z190" s="59"/>
      <x:c r="AA190" s="59"/>
      <x:c r="AB190" s="59"/>
      <x:c r="AC190" s="59"/>
      <x:c r="AD190" s="59"/>
      <x:c r="AE190" s="59"/>
      <x:c r="AF190" s="59"/>
      <x:c r="AG190" s="59"/>
      <x:c r="AH190" s="59"/>
      <x:c r="AI190" s="59"/>
      <x:c r="AJ190" s="59"/>
      <x:c r="AK190" s="59"/>
      <x:c r="AL190" s="59"/>
      <x:c r="AM190" s="59"/>
      <x:c r="AN190" s="59"/>
    </x:row>
    <x:row r="191">
      <x:c r="A191" s="59"/>
      <x:c r="B191" s="59"/>
      <x:c r="C191" s="59"/>
      <x:c r="D191" s="59"/>
      <x:c r="E191" s="59"/>
      <x:c r="F191" s="59"/>
      <x:c r="G191" s="59"/>
      <x:c r="H191" s="59"/>
      <x:c r="I191" s="59"/>
      <x:c r="J191" s="59"/>
      <x:c r="K191" s="59"/>
      <x:c r="L191" s="59"/>
      <x:c r="M191" s="59"/>
      <x:c r="N191" s="59"/>
      <x:c r="O191" s="59"/>
      <x:c r="P191" s="59"/>
      <x:c r="Q191" s="59"/>
      <x:c r="R191" s="59"/>
      <x:c r="S191" s="59"/>
      <x:c r="T191" s="59"/>
      <x:c r="U191" s="59"/>
      <x:c r="V191" s="59"/>
      <x:c r="W191" s="59"/>
      <x:c r="X191" s="59"/>
      <x:c r="Y191" s="59"/>
      <x:c r="Z191" s="59"/>
      <x:c r="AA191" s="59"/>
      <x:c r="AB191" s="59"/>
      <x:c r="AC191" s="59"/>
      <x:c r="AD191" s="59"/>
      <x:c r="AE191" s="59"/>
      <x:c r="AF191" s="59"/>
      <x:c r="AG191" s="59"/>
      <x:c r="AH191" s="59"/>
      <x:c r="AI191" s="59"/>
      <x:c r="AJ191" s="59"/>
      <x:c r="AK191" s="59"/>
      <x:c r="AL191" s="59"/>
      <x:c r="AM191" s="59"/>
      <x:c r="AN191" s="59"/>
    </x:row>
    <x:row r="192">
      <x:c r="A192" s="59"/>
      <x:c r="B192" s="59"/>
      <x:c r="C192" s="59"/>
      <x:c r="D192" s="59"/>
      <x:c r="E192" s="59"/>
      <x:c r="F192" s="59"/>
      <x:c r="G192" s="59"/>
      <x:c r="H192" s="59"/>
      <x:c r="I192" s="59"/>
      <x:c r="J192" s="59"/>
      <x:c r="K192" s="59"/>
      <x:c r="L192" s="59"/>
      <x:c r="M192" s="59"/>
      <x:c r="N192" s="59"/>
      <x:c r="O192" s="59"/>
      <x:c r="P192" s="59"/>
      <x:c r="Q192" s="59"/>
      <x:c r="R192" s="59"/>
      <x:c r="S192" s="59"/>
      <x:c r="T192" s="59"/>
      <x:c r="U192" s="59"/>
      <x:c r="V192" s="59"/>
      <x:c r="W192" s="59"/>
      <x:c r="X192" s="59"/>
      <x:c r="Y192" s="59"/>
      <x:c r="Z192" s="59"/>
      <x:c r="AA192" s="59"/>
      <x:c r="AB192" s="59"/>
      <x:c r="AC192" s="59"/>
      <x:c r="AD192" s="59"/>
      <x:c r="AE192" s="59"/>
      <x:c r="AF192" s="59"/>
      <x:c r="AG192" s="59"/>
      <x:c r="AH192" s="59"/>
      <x:c r="AI192" s="59"/>
      <x:c r="AJ192" s="59"/>
      <x:c r="AK192" s="59"/>
      <x:c r="AL192" s="59"/>
      <x:c r="AM192" s="59"/>
      <x:c r="AN192" s="59"/>
    </x:row>
    <x:row r="193">
      <x:c r="A193" s="59"/>
      <x:c r="B193" s="59"/>
      <x:c r="C193" s="59"/>
      <x:c r="D193" s="59"/>
      <x:c r="E193" s="59"/>
      <x:c r="F193" s="59"/>
      <x:c r="G193" s="59"/>
      <x:c r="H193" s="59"/>
      <x:c r="I193" s="59"/>
      <x:c r="J193" s="59"/>
      <x:c r="K193" s="59"/>
      <x:c r="L193" s="59"/>
      <x:c r="M193" s="59"/>
      <x:c r="N193" s="59"/>
      <x:c r="O193" s="59"/>
      <x:c r="P193" s="59"/>
      <x:c r="Q193" s="59"/>
      <x:c r="R193" s="59"/>
      <x:c r="S193" s="59"/>
      <x:c r="T193" s="59"/>
      <x:c r="U193" s="59"/>
      <x:c r="V193" s="59"/>
      <x:c r="W193" s="59"/>
      <x:c r="X193" s="59"/>
      <x:c r="Y193" s="59"/>
      <x:c r="Z193" s="59"/>
      <x:c r="AA193" s="59"/>
      <x:c r="AB193" s="59"/>
      <x:c r="AC193" s="59"/>
      <x:c r="AD193" s="59"/>
      <x:c r="AE193" s="59"/>
      <x:c r="AF193" s="59"/>
      <x:c r="AG193" s="59"/>
      <x:c r="AH193" s="59"/>
      <x:c r="AI193" s="59"/>
      <x:c r="AJ193" s="59"/>
      <x:c r="AK193" s="59"/>
      <x:c r="AL193" s="59"/>
      <x:c r="AM193" s="59"/>
      <x:c r="AN193" s="59"/>
    </x:row>
    <x:row r="194">
      <x:c r="A194" s="59"/>
      <x:c r="B194" s="59"/>
      <x:c r="C194" s="59"/>
      <x:c r="D194" s="59"/>
      <x:c r="E194" s="59"/>
      <x:c r="F194" s="59"/>
      <x:c r="G194" s="59"/>
      <x:c r="H194" s="59"/>
      <x:c r="I194" s="59"/>
      <x:c r="J194" s="59"/>
      <x:c r="K194" s="59"/>
      <x:c r="L194" s="59"/>
      <x:c r="M194" s="59"/>
      <x:c r="N194" s="59"/>
      <x:c r="O194" s="59"/>
      <x:c r="P194" s="59"/>
      <x:c r="Q194" s="59"/>
      <x:c r="R194" s="59"/>
      <x:c r="S194" s="59"/>
      <x:c r="T194" s="59"/>
      <x:c r="U194" s="59"/>
      <x:c r="V194" s="59"/>
      <x:c r="W194" s="59"/>
      <x:c r="X194" s="59"/>
      <x:c r="Y194" s="59"/>
      <x:c r="Z194" s="59"/>
      <x:c r="AA194" s="59"/>
      <x:c r="AB194" s="59"/>
      <x:c r="AC194" s="59"/>
      <x:c r="AD194" s="59"/>
      <x:c r="AE194" s="59"/>
      <x:c r="AF194" s="59"/>
      <x:c r="AG194" s="59"/>
      <x:c r="AH194" s="59"/>
      <x:c r="AI194" s="59"/>
      <x:c r="AJ194" s="59"/>
      <x:c r="AK194" s="59"/>
      <x:c r="AL194" s="59"/>
      <x:c r="AM194" s="59"/>
      <x:c r="AN194" s="59"/>
    </x:row>
    <x:row r="195">
      <x:c r="A195" s="59"/>
      <x:c r="B195" s="59"/>
      <x:c r="C195" s="59"/>
      <x:c r="D195" s="59"/>
      <x:c r="E195" s="59"/>
      <x:c r="F195" s="59"/>
      <x:c r="G195" s="59"/>
      <x:c r="H195" s="59"/>
      <x:c r="I195" s="59"/>
      <x:c r="J195" s="59"/>
      <x:c r="K195" s="59"/>
      <x:c r="L195" s="59"/>
      <x:c r="M195" s="59"/>
      <x:c r="N195" s="59"/>
      <x:c r="O195" s="59"/>
      <x:c r="P195" s="59"/>
      <x:c r="Q195" s="59"/>
      <x:c r="R195" s="59"/>
      <x:c r="S195" s="59"/>
      <x:c r="T195" s="59"/>
      <x:c r="U195" s="59"/>
      <x:c r="V195" s="59"/>
      <x:c r="W195" s="59"/>
      <x:c r="X195" s="59"/>
      <x:c r="Y195" s="59"/>
      <x:c r="Z195" s="59"/>
      <x:c r="AA195" s="59"/>
      <x:c r="AB195" s="59"/>
      <x:c r="AC195" s="59"/>
      <x:c r="AD195" s="59"/>
      <x:c r="AE195" s="59"/>
      <x:c r="AF195" s="59"/>
      <x:c r="AG195" s="59"/>
      <x:c r="AH195" s="59"/>
      <x:c r="AI195" s="59"/>
      <x:c r="AJ195" s="59"/>
      <x:c r="AK195" s="59"/>
      <x:c r="AL195" s="59"/>
      <x:c r="AM195" s="59"/>
      <x:c r="AN195" s="59"/>
    </x:row>
    <x:row r="196">
      <x:c r="A196" s="59"/>
      <x:c r="B196" s="59"/>
      <x:c r="C196" s="59"/>
      <x:c r="D196" s="59"/>
      <x:c r="E196" s="59"/>
      <x:c r="F196" s="59"/>
      <x:c r="G196" s="59"/>
      <x:c r="H196" s="59"/>
      <x:c r="I196" s="59"/>
      <x:c r="J196" s="59"/>
      <x:c r="K196" s="59"/>
      <x:c r="L196" s="59"/>
      <x:c r="M196" s="59"/>
      <x:c r="N196" s="59"/>
      <x:c r="O196" s="59"/>
      <x:c r="P196" s="59"/>
      <x:c r="Q196" s="59"/>
      <x:c r="R196" s="59"/>
      <x:c r="S196" s="59"/>
      <x:c r="T196" s="59"/>
      <x:c r="U196" s="59"/>
      <x:c r="V196" s="59"/>
      <x:c r="W196" s="59"/>
      <x:c r="X196" s="59"/>
      <x:c r="Y196" s="59"/>
      <x:c r="Z196" s="59"/>
      <x:c r="AA196" s="59"/>
      <x:c r="AB196" s="59"/>
      <x:c r="AC196" s="59"/>
      <x:c r="AD196" s="59"/>
      <x:c r="AE196" s="59"/>
      <x:c r="AF196" s="59"/>
      <x:c r="AG196" s="59"/>
      <x:c r="AH196" s="59"/>
      <x:c r="AI196" s="59"/>
      <x:c r="AJ196" s="59"/>
      <x:c r="AK196" s="59"/>
      <x:c r="AL196" s="59"/>
      <x:c r="AM196" s="59"/>
      <x:c r="AN196" s="59"/>
    </x:row>
    <x:row r="197">
      <x:c r="A197" s="59"/>
      <x:c r="B197" s="59"/>
      <x:c r="C197" s="59"/>
      <x:c r="D197" s="59"/>
      <x:c r="E197" s="59"/>
      <x:c r="F197" s="59"/>
      <x:c r="G197" s="59"/>
      <x:c r="H197" s="59"/>
      <x:c r="I197" s="59"/>
      <x:c r="J197" s="59"/>
      <x:c r="K197" s="59"/>
      <x:c r="L197" s="59"/>
      <x:c r="M197" s="59"/>
      <x:c r="N197" s="59"/>
      <x:c r="O197" s="59"/>
      <x:c r="P197" s="59"/>
      <x:c r="Q197" s="59"/>
      <x:c r="R197" s="59"/>
      <x:c r="S197" s="59"/>
      <x:c r="T197" s="59"/>
      <x:c r="U197" s="59"/>
      <x:c r="V197" s="59"/>
      <x:c r="W197" s="59"/>
      <x:c r="X197" s="59"/>
      <x:c r="Y197" s="59"/>
      <x:c r="Z197" s="59"/>
      <x:c r="AA197" s="59"/>
      <x:c r="AB197" s="59"/>
      <x:c r="AC197" s="59"/>
      <x:c r="AD197" s="59"/>
      <x:c r="AE197" s="59"/>
      <x:c r="AF197" s="59"/>
      <x:c r="AG197" s="59"/>
      <x:c r="AH197" s="59"/>
      <x:c r="AI197" s="59"/>
      <x:c r="AJ197" s="59"/>
      <x:c r="AK197" s="59"/>
      <x:c r="AL197" s="59"/>
      <x:c r="AM197" s="59"/>
      <x:c r="AN197" s="59"/>
    </x:row>
    <x:row r="198">
      <x:c r="A198" s="59"/>
      <x:c r="B198" s="59"/>
      <x:c r="C198" s="59"/>
      <x:c r="D198" s="59"/>
      <x:c r="E198" s="59"/>
      <x:c r="F198" s="59"/>
      <x:c r="G198" s="59"/>
      <x:c r="H198" s="59"/>
      <x:c r="I198" s="59"/>
      <x:c r="J198" s="59"/>
      <x:c r="K198" s="59"/>
      <x:c r="L198" s="59"/>
      <x:c r="M198" s="59"/>
      <x:c r="N198" s="59"/>
      <x:c r="O198" s="59"/>
      <x:c r="P198" s="59"/>
      <x:c r="Q198" s="59"/>
      <x:c r="R198" s="59"/>
      <x:c r="S198" s="59"/>
      <x:c r="T198" s="59"/>
      <x:c r="U198" s="59"/>
      <x:c r="V198" s="59"/>
      <x:c r="W198" s="59"/>
      <x:c r="X198" s="59"/>
      <x:c r="Y198" s="59"/>
      <x:c r="Z198" s="59"/>
      <x:c r="AA198" s="59"/>
      <x:c r="AB198" s="59"/>
      <x:c r="AC198" s="59"/>
      <x:c r="AD198" s="59"/>
      <x:c r="AE198" s="59"/>
      <x:c r="AF198" s="59"/>
      <x:c r="AG198" s="59"/>
      <x:c r="AH198" s="59"/>
      <x:c r="AI198" s="59"/>
      <x:c r="AJ198" s="59"/>
      <x:c r="AK198" s="59"/>
      <x:c r="AL198" s="59"/>
      <x:c r="AM198" s="59"/>
      <x:c r="AN198" s="59"/>
    </x:row>
    <x:row r="199">
      <x:c r="A199" s="59"/>
      <x:c r="B199" s="59"/>
      <x:c r="C199" s="59"/>
      <x:c r="D199" s="59"/>
      <x:c r="E199" s="59"/>
      <x:c r="F199" s="59"/>
      <x:c r="G199" s="59"/>
      <x:c r="H199" s="59"/>
      <x:c r="I199" s="59"/>
      <x:c r="J199" s="59"/>
      <x:c r="K199" s="59"/>
      <x:c r="L199" s="59"/>
      <x:c r="M199" s="59"/>
      <x:c r="N199" s="59"/>
      <x:c r="O199" s="59"/>
      <x:c r="P199" s="59"/>
      <x:c r="Q199" s="59"/>
      <x:c r="R199" s="59"/>
      <x:c r="S199" s="59"/>
      <x:c r="T199" s="59"/>
      <x:c r="U199" s="59"/>
      <x:c r="V199" s="59"/>
      <x:c r="W199" s="59"/>
      <x:c r="X199" s="59"/>
      <x:c r="Y199" s="59"/>
      <x:c r="Z199" s="59"/>
      <x:c r="AA199" s="59"/>
      <x:c r="AB199" s="59"/>
      <x:c r="AC199" s="59"/>
      <x:c r="AD199" s="59"/>
      <x:c r="AE199" s="59"/>
      <x:c r="AF199" s="59"/>
      <x:c r="AG199" s="59"/>
      <x:c r="AH199" s="59"/>
      <x:c r="AI199" s="59"/>
      <x:c r="AJ199" s="59"/>
      <x:c r="AK199" s="59"/>
      <x:c r="AL199" s="59"/>
      <x:c r="AM199" s="59"/>
      <x:c r="AN199" s="59"/>
    </x:row>
    <x:row r="200">
      <x:c r="A200" s="59"/>
      <x:c r="B200" s="59"/>
      <x:c r="C200" s="59"/>
      <x:c r="D200" s="59"/>
      <x:c r="E200" s="59"/>
      <x:c r="F200" s="59"/>
      <x:c r="G200" s="59"/>
      <x:c r="H200" s="59"/>
      <x:c r="I200" s="59"/>
      <x:c r="J200" s="59"/>
      <x:c r="K200" s="59"/>
      <x:c r="L200" s="59"/>
      <x:c r="M200" s="59"/>
      <x:c r="N200" s="59"/>
      <x:c r="O200" s="59"/>
      <x:c r="P200" s="59"/>
      <x:c r="Q200" s="59"/>
      <x:c r="R200" s="59"/>
      <x:c r="S200" s="59"/>
      <x:c r="T200" s="59"/>
      <x:c r="U200" s="59"/>
      <x:c r="V200" s="59"/>
      <x:c r="W200" s="59"/>
      <x:c r="X200" s="59"/>
      <x:c r="Y200" s="59"/>
      <x:c r="Z200" s="59"/>
      <x:c r="AA200" s="59"/>
      <x:c r="AB200" s="59"/>
      <x:c r="AC200" s="59"/>
      <x:c r="AD200" s="59"/>
      <x:c r="AE200" s="59"/>
      <x:c r="AF200" s="59"/>
      <x:c r="AG200" s="59"/>
      <x:c r="AH200" s="59"/>
      <x:c r="AI200" s="59"/>
      <x:c r="AJ200" s="59"/>
      <x:c r="AK200" s="59"/>
      <x:c r="AL200" s="59"/>
      <x:c r="AM200" s="59"/>
      <x:c r="AN200" s="59"/>
    </x:row>
  </x:sheetData>
  <x:mergeCells>
    <x:mergeCell ref="A1:I1"/>
  </x:mergeCells>
  <x:conditionalFormatting sqref="G4:G15">
    <x:cfRule type="colorScale" priority="1">
      <x:colorScale>
        <x:cfvo type="min"/>
        <x:cfvo type="percentile" val="50"/>
        <x:cfvo type="max"/>
        <x:color rgb="FEE2E2"/>
        <x:color rgb="FEF3C7"/>
        <x:color rgb="DCFCE7"/>
      </x:colorScale>
    </x:cfRule>
  </x:conditionalFormatting>
  <x:conditionalFormatting sqref="M4:M15">
    <x:cfRule type="cellIs" dxfId="7" priority="2" operator="greaterThan">
      <x:formula>0</x:formula>
    </x:cfRule>
  </x:conditionalFormatting>
  <x:pageMargins left="0.7" right="0.7" top="0.75" bottom="0.75" header="0.3" footer="0.3"/>
</x:worksheet>
</file>

<file path=xl/worksheets/sheet2.xml><?xml version="1.0" encoding="utf-8"?>
<x:worksheet xmlns:x="http://schemas.openxmlformats.org/spreadsheetml/2006/main">
  <x:sheetFormatPr defaultRowHeight="15"/>
  <x:cols>
    <x:col min="1" max="1" width="24" hidden="0" customWidth="1"/>
    <x:col min="2" max="2" width="110" hidden="0" customWidth="1"/>
  </x:cols>
  <x:sheetData>
    <x:row r="1" ht="32" customHeight="1">
      <x:c r="A1" s="66" t="str">
        <x:v>CSA AISMM x NIST AI RMF x ISO/IEC 42001 Maturity Assessment Workbook</x:v>
      </x:c>
      <x:c r="B1" s="42" t="str"/>
      <x:c r="C1" s="59"/>
      <x:c r="D1" s="59"/>
      <x:c r="E1" s="59"/>
      <x:c r="F1" s="59"/>
      <x:c r="G1" s="59"/>
      <x:c r="H1" s="59"/>
      <x:c r="I1" s="59"/>
      <x:c r="J1" s="59"/>
      <x:c r="K1" s="59"/>
      <x:c r="L1" s="59"/>
      <x:c r="M1" s="59"/>
      <x:c r="N1" s="59"/>
      <x:c r="O1" s="59"/>
      <x:c r="P1" s="59"/>
      <x:c r="Q1" s="59"/>
      <x:c r="R1" s="59"/>
      <x:c r="S1" s="59"/>
      <x:c r="T1" s="59"/>
      <x:c r="U1" s="59"/>
      <x:c r="V1" s="59"/>
      <x:c r="W1" s="59"/>
      <x:c r="X1" s="59"/>
      <x:c r="Y1" s="59"/>
      <x:c r="Z1" s="59"/>
      <x:c r="AA1" s="59"/>
      <x:c r="AB1" s="59"/>
      <x:c r="AC1" s="59"/>
      <x:c r="AD1" s="59"/>
      <x:c r="AE1" s="59"/>
      <x:c r="AF1" s="59"/>
      <x:c r="AG1" s="59"/>
      <x:c r="AH1" s="59"/>
      <x:c r="AI1" s="59"/>
      <x:c r="AJ1" s="59"/>
      <x:c r="AK1" s="59"/>
      <x:c r="AL1" s="59"/>
      <x:c r="AM1" s="59"/>
      <x:c r="AN1" s="59"/>
    </x:row>
    <x:row r="2" ht="48" customHeight="1">
      <x:c r="A2" s="67" t="str">
        <x:v>Purpose</x:v>
      </x:c>
      <x:c r="B2" s="21" t="str">
        <x:v>Use this workbook to assess each CSA AISMM control objective, view its mapped NIST AI RMF and ISO/IEC 42001 coverage, capture evidence, and determine which mapped framework outcomes are currently supported.</x:v>
      </x:c>
      <x:c r="C2" s="59"/>
      <x:c r="D2" s="59"/>
      <x:c r="E2" s="59"/>
      <x:c r="F2" s="59"/>
      <x:c r="G2" s="59"/>
      <x:c r="H2" s="59"/>
      <x:c r="I2" s="59"/>
      <x:c r="J2" s="59"/>
      <x:c r="K2" s="59"/>
      <x:c r="L2" s="59"/>
      <x:c r="M2" s="59"/>
      <x:c r="N2" s="59"/>
      <x:c r="O2" s="59"/>
      <x:c r="P2" s="59"/>
      <x:c r="Q2" s="59"/>
      <x:c r="R2" s="59"/>
      <x:c r="S2" s="59"/>
      <x:c r="T2" s="59"/>
      <x:c r="U2" s="59"/>
      <x:c r="V2" s="59"/>
      <x:c r="W2" s="59"/>
      <x:c r="X2" s="59"/>
      <x:c r="Y2" s="59"/>
      <x:c r="Z2" s="59"/>
      <x:c r="AA2" s="59"/>
      <x:c r="AB2" s="59"/>
      <x:c r="AC2" s="59"/>
      <x:c r="AD2" s="59"/>
      <x:c r="AE2" s="59"/>
      <x:c r="AF2" s="59"/>
      <x:c r="AG2" s="59"/>
      <x:c r="AH2" s="59"/>
      <x:c r="AI2" s="59"/>
      <x:c r="AJ2" s="59"/>
      <x:c r="AK2" s="59"/>
      <x:c r="AL2" s="59"/>
      <x:c r="AM2" s="59"/>
      <x:c r="AN2" s="59"/>
    </x:row>
    <x:row r="3" ht="48" customHeight="1">
      <x:c r="A3" s="67" t="str">
        <x:v>What to complete</x:v>
      </x:c>
      <x:c r="B3" s="21" t="str">
        <x:v>On the Assessment sheet, fill in columns T:AE and AK:AM for each applicable control. The formula columns AF:AJ calculate maturity gaps and framework compliance outcomes.</x:v>
      </x:c>
      <x:c r="C3" s="59"/>
      <x:c r="D3" s="59"/>
      <x:c r="E3" s="59"/>
      <x:c r="F3" s="59"/>
      <x:c r="G3" s="59"/>
      <x:c r="H3" s="59"/>
      <x:c r="I3" s="59"/>
      <x:c r="J3" s="59"/>
      <x:c r="K3" s="59"/>
      <x:c r="L3" s="59"/>
      <x:c r="M3" s="59"/>
      <x:c r="N3" s="59"/>
      <x:c r="O3" s="59"/>
      <x:c r="P3" s="59"/>
      <x:c r="Q3" s="59"/>
      <x:c r="R3" s="59"/>
      <x:c r="S3" s="59"/>
      <x:c r="T3" s="59"/>
      <x:c r="U3" s="59"/>
      <x:c r="V3" s="59"/>
      <x:c r="W3" s="59"/>
      <x:c r="X3" s="59"/>
      <x:c r="Y3" s="59"/>
      <x:c r="Z3" s="59"/>
      <x:c r="AA3" s="59"/>
      <x:c r="AB3" s="59"/>
      <x:c r="AC3" s="59"/>
      <x:c r="AD3" s="59"/>
      <x:c r="AE3" s="59"/>
      <x:c r="AF3" s="59"/>
      <x:c r="AG3" s="59"/>
      <x:c r="AH3" s="59"/>
      <x:c r="AI3" s="59"/>
      <x:c r="AJ3" s="59"/>
      <x:c r="AK3" s="59"/>
      <x:c r="AL3" s="59"/>
      <x:c r="AM3" s="59"/>
      <x:c r="AN3" s="59"/>
    </x:row>
    <x:row r="4" ht="48" customHeight="1">
      <x:c r="A4" s="67" t="str">
        <x:v>Scoring model</x:v>
      </x:c>
      <x:c r="B4" s="21" t="str">
        <x:v>Use 0 only for no assessment/no evidence. CSA AISMM maturity levels 1-5 are Initial, Repeatable, Defined, Capable, and Efficient. The CSA result compares Current Maturity Score against the CSA Required Maturity Level for each row.</x:v>
      </x:c>
      <x:c r="C4" s="59"/>
      <x:c r="D4" s="59"/>
      <x:c r="E4" s="59"/>
      <x:c r="F4" s="59"/>
      <x:c r="G4" s="59"/>
      <x:c r="H4" s="59"/>
      <x:c r="I4" s="59"/>
      <x:c r="J4" s="59"/>
      <x:c r="K4" s="59"/>
      <x:c r="L4" s="59"/>
      <x:c r="M4" s="59"/>
      <x:c r="N4" s="59"/>
      <x:c r="O4" s="59"/>
      <x:c r="P4" s="59"/>
      <x:c r="Q4" s="59"/>
      <x:c r="R4" s="59"/>
      <x:c r="S4" s="59"/>
      <x:c r="T4" s="59"/>
      <x:c r="U4" s="59"/>
      <x:c r="V4" s="59"/>
      <x:c r="W4" s="59"/>
      <x:c r="X4" s="59"/>
      <x:c r="Y4" s="59"/>
      <x:c r="Z4" s="59"/>
      <x:c r="AA4" s="59"/>
      <x:c r="AB4" s="59"/>
      <x:c r="AC4" s="59"/>
      <x:c r="AD4" s="59"/>
      <x:c r="AE4" s="59"/>
      <x:c r="AF4" s="59"/>
      <x:c r="AG4" s="59"/>
      <x:c r="AH4" s="59"/>
      <x:c r="AI4" s="59"/>
      <x:c r="AJ4" s="59"/>
      <x:c r="AK4" s="59"/>
      <x:c r="AL4" s="59"/>
      <x:c r="AM4" s="59"/>
      <x:c r="AN4" s="59"/>
    </x:row>
    <x:row r="5" ht="48" customHeight="1">
      <x:c r="A5" s="67" t="str">
        <x:v>NIST/ISO compliance logic</x:v>
      </x:c>
      <x:c r="B5" s="21" t="str">
        <x:v>NIST and ISO results are marked Compliant only when the control is applicable, implementation status is Implemented or Optimized, evidence status is Validated, and the test result is Pass. A row can be Partially Compliant when there is reviewed/validated evidence and a Pass with Exceptions or partial implementation.</x:v>
      </x:c>
      <x:c r="C5" s="59"/>
      <x:c r="D5" s="59"/>
      <x:c r="E5" s="59"/>
      <x:c r="F5" s="59"/>
      <x:c r="G5" s="59"/>
      <x:c r="H5" s="59"/>
      <x:c r="I5" s="59"/>
      <x:c r="J5" s="59"/>
      <x:c r="K5" s="59"/>
      <x:c r="L5" s="59"/>
      <x:c r="M5" s="59"/>
      <x:c r="N5" s="59"/>
      <x:c r="O5" s="59"/>
      <x:c r="P5" s="59"/>
      <x:c r="Q5" s="59"/>
      <x:c r="R5" s="59"/>
      <x:c r="S5" s="59"/>
      <x:c r="T5" s="59"/>
      <x:c r="U5" s="59"/>
      <x:c r="V5" s="59"/>
      <x:c r="W5" s="59"/>
      <x:c r="X5" s="59"/>
      <x:c r="Y5" s="59"/>
      <x:c r="Z5" s="59"/>
      <x:c r="AA5" s="59"/>
      <x:c r="AB5" s="59"/>
      <x:c r="AC5" s="59"/>
      <x:c r="AD5" s="59"/>
      <x:c r="AE5" s="59"/>
      <x:c r="AF5" s="59"/>
      <x:c r="AG5" s="59"/>
      <x:c r="AH5" s="59"/>
      <x:c r="AI5" s="59"/>
      <x:c r="AJ5" s="59"/>
      <x:c r="AK5" s="59"/>
      <x:c r="AL5" s="59"/>
      <x:c r="AM5" s="59"/>
      <x:c r="AN5" s="59"/>
    </x:row>
    <x:row r="6" ht="48" customHeight="1">
      <x:c r="A6" s="67" t="str">
        <x:v>Evidence verification</x:v>
      </x:c>
      <x:c r="B6" s="21" t="str">
        <x:v>Use the Suggested Reference Evidence and Verification Test Procedure columns as the starting point. Replace generic guidance with organization-specific repository links, ticket IDs, policy names, screenshots, logs, reports, or audit samples.</x:v>
      </x:c>
      <x:c r="C6" s="59"/>
      <x:c r="D6" s="59"/>
      <x:c r="E6" s="59"/>
      <x:c r="F6" s="59"/>
      <x:c r="G6" s="59"/>
      <x:c r="H6" s="59"/>
      <x:c r="I6" s="59"/>
      <x:c r="J6" s="59"/>
      <x:c r="K6" s="59"/>
      <x:c r="L6" s="59"/>
      <x:c r="M6" s="59"/>
      <x:c r="N6" s="59"/>
      <x:c r="O6" s="59"/>
      <x:c r="P6" s="59"/>
      <x:c r="Q6" s="59"/>
      <x:c r="R6" s="59"/>
      <x:c r="S6" s="59"/>
      <x:c r="T6" s="59"/>
      <x:c r="U6" s="59"/>
      <x:c r="V6" s="59"/>
      <x:c r="W6" s="59"/>
      <x:c r="X6" s="59"/>
      <x:c r="Y6" s="59"/>
      <x:c r="Z6" s="59"/>
      <x:c r="AA6" s="59"/>
      <x:c r="AB6" s="59"/>
      <x:c r="AC6" s="59"/>
      <x:c r="AD6" s="59"/>
      <x:c r="AE6" s="59"/>
      <x:c r="AF6" s="59"/>
      <x:c r="AG6" s="59"/>
      <x:c r="AH6" s="59"/>
      <x:c r="AI6" s="59"/>
      <x:c r="AJ6" s="59"/>
      <x:c r="AK6" s="59"/>
      <x:c r="AL6" s="59"/>
      <x:c r="AM6" s="59"/>
      <x:c r="AN6" s="59"/>
    </x:row>
    <x:row r="7" ht="48" customHeight="1">
      <x:c r="A7" s="67" t="str">
        <x:v>Assessment scope</x:v>
      </x:c>
      <x:c r="B7" s="21" t="str">
        <x:v>For multi-system assessments, duplicate rows or filter by Business Unit / AI System. For enterprise assessment, document sample size and sampling method in Assessor Notes.</x:v>
      </x:c>
      <x:c r="C7" s="59"/>
      <x:c r="D7" s="59"/>
      <x:c r="E7" s="59"/>
      <x:c r="F7" s="59"/>
      <x:c r="G7" s="59"/>
      <x:c r="H7" s="59"/>
      <x:c r="I7" s="59"/>
      <x:c r="J7" s="59"/>
      <x:c r="K7" s="59"/>
      <x:c r="L7" s="59"/>
      <x:c r="M7" s="59"/>
      <x:c r="N7" s="59"/>
      <x:c r="O7" s="59"/>
      <x:c r="P7" s="59"/>
      <x:c r="Q7" s="59"/>
      <x:c r="R7" s="59"/>
      <x:c r="S7" s="59"/>
      <x:c r="T7" s="59"/>
      <x:c r="U7" s="59"/>
      <x:c r="V7" s="59"/>
      <x:c r="W7" s="59"/>
      <x:c r="X7" s="59"/>
      <x:c r="Y7" s="59"/>
      <x:c r="Z7" s="59"/>
      <x:c r="AA7" s="59"/>
      <x:c r="AB7" s="59"/>
      <x:c r="AC7" s="59"/>
      <x:c r="AD7" s="59"/>
      <x:c r="AE7" s="59"/>
      <x:c r="AF7" s="59"/>
      <x:c r="AG7" s="59"/>
      <x:c r="AH7" s="59"/>
      <x:c r="AI7" s="59"/>
      <x:c r="AJ7" s="59"/>
      <x:c r="AK7" s="59"/>
      <x:c r="AL7" s="59"/>
      <x:c r="AM7" s="59"/>
      <x:c r="AN7" s="59"/>
    </x:row>
    <x:row r="8" ht="48" customHeight="1">
      <x:c r="A8" s="67" t="str">
        <x:v>CSA deployment expectation</x:v>
      </x:c>
      <x:c r="B8" s="21" t="str">
        <x:v>CSA AISMM source guidance indicates that maturity is assessed across deployments; use a consistent sample basis and record exceptions. This workbook is an accelerator and should be adapted to your AI estate and risk appetite.</x:v>
      </x:c>
      <x:c r="C8" s="59"/>
      <x:c r="D8" s="59"/>
      <x:c r="E8" s="59"/>
      <x:c r="F8" s="59"/>
      <x:c r="G8" s="59"/>
      <x:c r="H8" s="59"/>
      <x:c r="I8" s="59"/>
      <x:c r="J8" s="59"/>
      <x:c r="K8" s="59"/>
      <x:c r="L8" s="59"/>
      <x:c r="M8" s="59"/>
      <x:c r="N8" s="59"/>
      <x:c r="O8" s="59"/>
      <x:c r="P8" s="59"/>
      <x:c r="Q8" s="59"/>
      <x:c r="R8" s="59"/>
      <x:c r="S8" s="59"/>
      <x:c r="T8" s="59"/>
      <x:c r="U8" s="59"/>
      <x:c r="V8" s="59"/>
      <x:c r="W8" s="59"/>
      <x:c r="X8" s="59"/>
      <x:c r="Y8" s="59"/>
      <x:c r="Z8" s="59"/>
      <x:c r="AA8" s="59"/>
      <x:c r="AB8" s="59"/>
      <x:c r="AC8" s="59"/>
      <x:c r="AD8" s="59"/>
      <x:c r="AE8" s="59"/>
      <x:c r="AF8" s="59"/>
      <x:c r="AG8" s="59"/>
      <x:c r="AH8" s="59"/>
      <x:c r="AI8" s="59"/>
      <x:c r="AJ8" s="59"/>
      <x:c r="AK8" s="59"/>
      <x:c r="AL8" s="59"/>
      <x:c r="AM8" s="59"/>
      <x:c r="AN8" s="59"/>
    </x:row>
    <x:row r="9" ht="48" customHeight="1">
      <x:c r="A9" s="67" t="str">
        <x:v>Important disclaimer</x:v>
      </x:c>
      <x:c r="B9" s="21" t="str">
        <x:v>This mapping is not a legal opinion, certification equivalence, or substitute for reading the official frameworks and ISO/IEC 42001 standard. ISO control language in this workbook is summarized from the uploaded checklist and public ISO descriptions, not verbatim ISO standard text.</x:v>
      </x:c>
      <x:c r="C9" s="59"/>
      <x:c r="D9" s="59"/>
      <x:c r="E9" s="59"/>
      <x:c r="F9" s="59"/>
      <x:c r="G9" s="59"/>
      <x:c r="H9" s="59"/>
      <x:c r="I9" s="59"/>
      <x:c r="J9" s="59"/>
      <x:c r="K9" s="59"/>
      <x:c r="L9" s="59"/>
      <x:c r="M9" s="59"/>
      <x:c r="N9" s="59"/>
      <x:c r="O9" s="59"/>
      <x:c r="P9" s="59"/>
      <x:c r="Q9" s="59"/>
      <x:c r="R9" s="59"/>
      <x:c r="S9" s="59"/>
      <x:c r="T9" s="59"/>
      <x:c r="U9" s="59"/>
      <x:c r="V9" s="59"/>
      <x:c r="W9" s="59"/>
      <x:c r="X9" s="59"/>
      <x:c r="Y9" s="59"/>
      <x:c r="Z9" s="59"/>
      <x:c r="AA9" s="59"/>
      <x:c r="AB9" s="59"/>
      <x:c r="AC9" s="59"/>
      <x:c r="AD9" s="59"/>
      <x:c r="AE9" s="59"/>
      <x:c r="AF9" s="59"/>
      <x:c r="AG9" s="59"/>
      <x:c r="AH9" s="59"/>
      <x:c r="AI9" s="59"/>
      <x:c r="AJ9" s="59"/>
      <x:c r="AK9" s="59"/>
      <x:c r="AL9" s="59"/>
      <x:c r="AM9" s="59"/>
      <x:c r="AN9" s="59"/>
    </x:row>
    <x:row r="10" ht="48" customHeight="1">
      <x:c r="A10" s="67" t="str">
        <x:v>Recommended workflow</x:v>
      </x:c>
      <x:c r="B10" s="21" t="str">
        <x:v>1) Define scope. 2) Filter applicable controls. 3) Assign owners. 4) Score current maturity. 5) Attach evidence. 6) Run verification tests. 7) Review Dashboard gaps. 8) Track remediation to closure. 9) Reassess periodically.</x:v>
      </x:c>
      <x:c r="C10" s="59"/>
      <x:c r="D10" s="59"/>
      <x:c r="E10" s="59"/>
      <x:c r="F10" s="59"/>
      <x:c r="G10" s="59"/>
      <x:c r="H10" s="59"/>
      <x:c r="I10" s="59"/>
      <x:c r="J10" s="59"/>
      <x:c r="K10" s="59"/>
      <x:c r="L10" s="59"/>
      <x:c r="M10" s="59"/>
      <x:c r="N10" s="59"/>
      <x:c r="O10" s="59"/>
      <x:c r="P10" s="59"/>
      <x:c r="Q10" s="59"/>
      <x:c r="R10" s="59"/>
      <x:c r="S10" s="59"/>
      <x:c r="T10" s="59"/>
      <x:c r="U10" s="59"/>
      <x:c r="V10" s="59"/>
      <x:c r="W10" s="59"/>
      <x:c r="X10" s="59"/>
      <x:c r="Y10" s="59"/>
      <x:c r="Z10" s="59"/>
      <x:c r="AA10" s="59"/>
      <x:c r="AB10" s="59"/>
      <x:c r="AC10" s="59"/>
      <x:c r="AD10" s="59"/>
      <x:c r="AE10" s="59"/>
      <x:c r="AF10" s="59"/>
      <x:c r="AG10" s="59"/>
      <x:c r="AH10" s="59"/>
      <x:c r="AI10" s="59"/>
      <x:c r="AJ10" s="59"/>
      <x:c r="AK10" s="59"/>
      <x:c r="AL10" s="59"/>
      <x:c r="AM10" s="59"/>
      <x:c r="AN10" s="59"/>
    </x:row>
    <x:row r="11">
      <x:c r="A11" s="59"/>
      <x:c r="B11" s="59"/>
      <x:c r="C11" s="59"/>
      <x:c r="D11" s="59"/>
      <x:c r="E11" s="59"/>
      <x:c r="F11" s="59"/>
      <x:c r="G11" s="59"/>
      <x:c r="H11" s="59"/>
      <x:c r="I11" s="59"/>
      <x:c r="J11" s="59"/>
      <x:c r="K11" s="59"/>
      <x:c r="L11" s="59"/>
      <x:c r="M11" s="59"/>
      <x:c r="N11" s="59"/>
      <x:c r="O11" s="59"/>
      <x:c r="P11" s="59"/>
      <x:c r="Q11" s="59"/>
      <x:c r="R11" s="59"/>
      <x:c r="S11" s="59"/>
      <x:c r="T11" s="59"/>
      <x:c r="U11" s="59"/>
      <x:c r="V11" s="59"/>
      <x:c r="W11" s="59"/>
      <x:c r="X11" s="59"/>
      <x:c r="Y11" s="59"/>
      <x:c r="Z11" s="59"/>
      <x:c r="AA11" s="59"/>
      <x:c r="AB11" s="59"/>
      <x:c r="AC11" s="59"/>
      <x:c r="AD11" s="59"/>
      <x:c r="AE11" s="59"/>
      <x:c r="AF11" s="59"/>
      <x:c r="AG11" s="59"/>
      <x:c r="AH11" s="59"/>
      <x:c r="AI11" s="59"/>
      <x:c r="AJ11" s="59"/>
      <x:c r="AK11" s="59"/>
      <x:c r="AL11" s="59"/>
      <x:c r="AM11" s="59"/>
      <x:c r="AN11" s="59"/>
    </x:row>
    <x:row r="12">
      <x:c r="A12" s="59"/>
      <x:c r="B12" s="59"/>
      <x:c r="C12" s="59"/>
      <x:c r="D12" s="59"/>
      <x:c r="E12" s="59"/>
      <x:c r="F12" s="59"/>
      <x:c r="G12" s="59"/>
      <x:c r="H12" s="59"/>
      <x:c r="I12" s="59"/>
      <x:c r="J12" s="59"/>
      <x:c r="K12" s="59"/>
      <x:c r="L12" s="59"/>
      <x:c r="M12" s="59"/>
      <x:c r="N12" s="59"/>
      <x:c r="O12" s="59"/>
      <x:c r="P12" s="59"/>
      <x:c r="Q12" s="59"/>
      <x:c r="R12" s="59"/>
      <x:c r="S12" s="59"/>
      <x:c r="T12" s="59"/>
      <x:c r="U12" s="59"/>
      <x:c r="V12" s="59"/>
      <x:c r="W12" s="59"/>
      <x:c r="X12" s="59"/>
      <x:c r="Y12" s="59"/>
      <x:c r="Z12" s="59"/>
      <x:c r="AA12" s="59"/>
      <x:c r="AB12" s="59"/>
      <x:c r="AC12" s="59"/>
      <x:c r="AD12" s="59"/>
      <x:c r="AE12" s="59"/>
      <x:c r="AF12" s="59"/>
      <x:c r="AG12" s="59"/>
      <x:c r="AH12" s="59"/>
      <x:c r="AI12" s="59"/>
      <x:c r="AJ12" s="59"/>
      <x:c r="AK12" s="59"/>
      <x:c r="AL12" s="59"/>
      <x:c r="AM12" s="59"/>
      <x:c r="AN12" s="59"/>
    </x:row>
    <x:row r="13">
      <x:c r="A13" s="59"/>
      <x:c r="B13" s="59"/>
      <x:c r="C13" s="59"/>
      <x:c r="D13" s="59"/>
      <x:c r="E13" s="59"/>
      <x:c r="F13" s="59"/>
      <x:c r="G13" s="59"/>
      <x:c r="H13" s="59"/>
      <x:c r="I13" s="59"/>
      <x:c r="J13" s="59"/>
      <x:c r="K13" s="59"/>
      <x:c r="L13" s="59"/>
      <x:c r="M13" s="59"/>
      <x:c r="N13" s="59"/>
      <x:c r="O13" s="59"/>
      <x:c r="P13" s="59"/>
      <x:c r="Q13" s="59"/>
      <x:c r="R13" s="59"/>
      <x:c r="S13" s="59"/>
      <x:c r="T13" s="59"/>
      <x:c r="U13" s="59"/>
      <x:c r="V13" s="59"/>
      <x:c r="W13" s="59"/>
      <x:c r="X13" s="59"/>
      <x:c r="Y13" s="59"/>
      <x:c r="Z13" s="59"/>
      <x:c r="AA13" s="59"/>
      <x:c r="AB13" s="59"/>
      <x:c r="AC13" s="59"/>
      <x:c r="AD13" s="59"/>
      <x:c r="AE13" s="59"/>
      <x:c r="AF13" s="59"/>
      <x:c r="AG13" s="59"/>
      <x:c r="AH13" s="59"/>
      <x:c r="AI13" s="59"/>
      <x:c r="AJ13" s="59"/>
      <x:c r="AK13" s="59"/>
      <x:c r="AL13" s="59"/>
      <x:c r="AM13" s="59"/>
      <x:c r="AN13" s="59"/>
    </x:row>
    <x:row r="14">
      <x:c r="A14" s="59"/>
      <x:c r="B14" s="59"/>
      <x:c r="C14" s="59"/>
      <x:c r="D14" s="59"/>
      <x:c r="E14" s="59"/>
      <x:c r="F14" s="59"/>
      <x:c r="G14" s="59"/>
      <x:c r="H14" s="59"/>
      <x:c r="I14" s="59"/>
      <x:c r="J14" s="59"/>
      <x:c r="K14" s="59"/>
      <x:c r="L14" s="59"/>
      <x:c r="M14" s="59"/>
      <x:c r="N14" s="59"/>
      <x:c r="O14" s="59"/>
      <x:c r="P14" s="59"/>
      <x:c r="Q14" s="59"/>
      <x:c r="R14" s="59"/>
      <x:c r="S14" s="59"/>
      <x:c r="T14" s="59"/>
      <x:c r="U14" s="59"/>
      <x:c r="V14" s="59"/>
      <x:c r="W14" s="59"/>
      <x:c r="X14" s="59"/>
      <x:c r="Y14" s="59"/>
      <x:c r="Z14" s="59"/>
      <x:c r="AA14" s="59"/>
      <x:c r="AB14" s="59"/>
      <x:c r="AC14" s="59"/>
      <x:c r="AD14" s="59"/>
      <x:c r="AE14" s="59"/>
      <x:c r="AF14" s="59"/>
      <x:c r="AG14" s="59"/>
      <x:c r="AH14" s="59"/>
      <x:c r="AI14" s="59"/>
      <x:c r="AJ14" s="59"/>
      <x:c r="AK14" s="59"/>
      <x:c r="AL14" s="59"/>
      <x:c r="AM14" s="59"/>
      <x:c r="AN14" s="59"/>
    </x:row>
    <x:row r="15">
      <x:c r="A15" s="59"/>
      <x:c r="B15" s="59"/>
      <x:c r="C15" s="59"/>
      <x:c r="D15" s="59"/>
      <x:c r="E15" s="59"/>
      <x:c r="F15" s="59"/>
      <x:c r="G15" s="59"/>
      <x:c r="H15" s="59"/>
      <x:c r="I15" s="59"/>
      <x:c r="J15" s="59"/>
      <x:c r="K15" s="59"/>
      <x:c r="L15" s="59"/>
      <x:c r="M15" s="59"/>
      <x:c r="N15" s="59"/>
      <x:c r="O15" s="59"/>
      <x:c r="P15" s="59"/>
      <x:c r="Q15" s="59"/>
      <x:c r="R15" s="59"/>
      <x:c r="S15" s="59"/>
      <x:c r="T15" s="59"/>
      <x:c r="U15" s="59"/>
      <x:c r="V15" s="59"/>
      <x:c r="W15" s="59"/>
      <x:c r="X15" s="59"/>
      <x:c r="Y15" s="59"/>
      <x:c r="Z15" s="59"/>
      <x:c r="AA15" s="59"/>
      <x:c r="AB15" s="59"/>
      <x:c r="AC15" s="59"/>
      <x:c r="AD15" s="59"/>
      <x:c r="AE15" s="59"/>
      <x:c r="AF15" s="59"/>
      <x:c r="AG15" s="59"/>
      <x:c r="AH15" s="59"/>
      <x:c r="AI15" s="59"/>
      <x:c r="AJ15" s="59"/>
      <x:c r="AK15" s="59"/>
      <x:c r="AL15" s="59"/>
      <x:c r="AM15" s="59"/>
      <x:c r="AN15" s="59"/>
    </x:row>
    <x:row r="16">
      <x:c r="A16" s="59"/>
      <x:c r="B16" s="59"/>
      <x:c r="C16" s="59"/>
      <x:c r="D16" s="59"/>
      <x:c r="E16" s="59"/>
      <x:c r="F16" s="59"/>
      <x:c r="G16" s="59"/>
      <x:c r="H16" s="59"/>
      <x:c r="I16" s="59"/>
      <x:c r="J16" s="59"/>
      <x:c r="K16" s="59"/>
      <x:c r="L16" s="59"/>
      <x:c r="M16" s="59"/>
      <x:c r="N16" s="59"/>
      <x:c r="O16" s="59"/>
      <x:c r="P16" s="59"/>
      <x:c r="Q16" s="59"/>
      <x:c r="R16" s="59"/>
      <x:c r="S16" s="59"/>
      <x:c r="T16" s="59"/>
      <x:c r="U16" s="59"/>
      <x:c r="V16" s="59"/>
      <x:c r="W16" s="59"/>
      <x:c r="X16" s="59"/>
      <x:c r="Y16" s="59"/>
      <x:c r="Z16" s="59"/>
      <x:c r="AA16" s="59"/>
      <x:c r="AB16" s="59"/>
      <x:c r="AC16" s="59"/>
      <x:c r="AD16" s="59"/>
      <x:c r="AE16" s="59"/>
      <x:c r="AF16" s="59"/>
      <x:c r="AG16" s="59"/>
      <x:c r="AH16" s="59"/>
      <x:c r="AI16" s="59"/>
      <x:c r="AJ16" s="59"/>
      <x:c r="AK16" s="59"/>
      <x:c r="AL16" s="59"/>
      <x:c r="AM16" s="59"/>
      <x:c r="AN16" s="59"/>
    </x:row>
    <x:row r="17">
      <x:c r="A17" s="59"/>
      <x:c r="B17" s="59"/>
      <x:c r="C17" s="59"/>
      <x:c r="D17" s="59"/>
      <x:c r="E17" s="59"/>
      <x:c r="F17" s="59"/>
      <x:c r="G17" s="59"/>
      <x:c r="H17" s="59"/>
      <x:c r="I17" s="59"/>
      <x:c r="J17" s="59"/>
      <x:c r="K17" s="59"/>
      <x:c r="L17" s="59"/>
      <x:c r="M17" s="59"/>
      <x:c r="N17" s="59"/>
      <x:c r="O17" s="59"/>
      <x:c r="P17" s="59"/>
      <x:c r="Q17" s="59"/>
      <x:c r="R17" s="59"/>
      <x:c r="S17" s="59"/>
      <x:c r="T17" s="59"/>
      <x:c r="U17" s="59"/>
      <x:c r="V17" s="59"/>
      <x:c r="W17" s="59"/>
      <x:c r="X17" s="59"/>
      <x:c r="Y17" s="59"/>
      <x:c r="Z17" s="59"/>
      <x:c r="AA17" s="59"/>
      <x:c r="AB17" s="59"/>
      <x:c r="AC17" s="59"/>
      <x:c r="AD17" s="59"/>
      <x:c r="AE17" s="59"/>
      <x:c r="AF17" s="59"/>
      <x:c r="AG17" s="59"/>
      <x:c r="AH17" s="59"/>
      <x:c r="AI17" s="59"/>
      <x:c r="AJ17" s="59"/>
      <x:c r="AK17" s="59"/>
      <x:c r="AL17" s="59"/>
      <x:c r="AM17" s="59"/>
      <x:c r="AN17" s="59"/>
    </x:row>
    <x:row r="18">
      <x:c r="A18" s="59"/>
      <x:c r="B18" s="59"/>
      <x:c r="C18" s="59"/>
      <x:c r="D18" s="59"/>
      <x:c r="E18" s="59"/>
      <x:c r="F18" s="59"/>
      <x:c r="G18" s="59"/>
      <x:c r="H18" s="59"/>
      <x:c r="I18" s="59"/>
      <x:c r="J18" s="59"/>
      <x:c r="K18" s="59"/>
      <x:c r="L18" s="59"/>
      <x:c r="M18" s="59"/>
      <x:c r="N18" s="59"/>
      <x:c r="O18" s="59"/>
      <x:c r="P18" s="59"/>
      <x:c r="Q18" s="59"/>
      <x:c r="R18" s="59"/>
      <x:c r="S18" s="59"/>
      <x:c r="T18" s="59"/>
      <x:c r="U18" s="59"/>
      <x:c r="V18" s="59"/>
      <x:c r="W18" s="59"/>
      <x:c r="X18" s="59"/>
      <x:c r="Y18" s="59"/>
      <x:c r="Z18" s="59"/>
      <x:c r="AA18" s="59"/>
      <x:c r="AB18" s="59"/>
      <x:c r="AC18" s="59"/>
      <x:c r="AD18" s="59"/>
      <x:c r="AE18" s="59"/>
      <x:c r="AF18" s="59"/>
      <x:c r="AG18" s="59"/>
      <x:c r="AH18" s="59"/>
      <x:c r="AI18" s="59"/>
      <x:c r="AJ18" s="59"/>
      <x:c r="AK18" s="59"/>
      <x:c r="AL18" s="59"/>
      <x:c r="AM18" s="59"/>
      <x:c r="AN18" s="59"/>
    </x:row>
    <x:row r="19">
      <x:c r="A19" s="59"/>
      <x:c r="B19" s="59"/>
      <x:c r="C19" s="59"/>
      <x:c r="D19" s="59"/>
      <x:c r="E19" s="59"/>
      <x:c r="F19" s="59"/>
      <x:c r="G19" s="59"/>
      <x:c r="H19" s="59"/>
      <x:c r="I19" s="59"/>
      <x:c r="J19" s="59"/>
      <x:c r="K19" s="59"/>
      <x:c r="L19" s="59"/>
      <x:c r="M19" s="59"/>
      <x:c r="N19" s="59"/>
      <x:c r="O19" s="59"/>
      <x:c r="P19" s="59"/>
      <x:c r="Q19" s="59"/>
      <x:c r="R19" s="59"/>
      <x:c r="S19" s="59"/>
      <x:c r="T19" s="59"/>
      <x:c r="U19" s="59"/>
      <x:c r="V19" s="59"/>
      <x:c r="W19" s="59"/>
      <x:c r="X19" s="59"/>
      <x:c r="Y19" s="59"/>
      <x:c r="Z19" s="59"/>
      <x:c r="AA19" s="59"/>
      <x:c r="AB19" s="59"/>
      <x:c r="AC19" s="59"/>
      <x:c r="AD19" s="59"/>
      <x:c r="AE19" s="59"/>
      <x:c r="AF19" s="59"/>
      <x:c r="AG19" s="59"/>
      <x:c r="AH19" s="59"/>
      <x:c r="AI19" s="59"/>
      <x:c r="AJ19" s="59"/>
      <x:c r="AK19" s="59"/>
      <x:c r="AL19" s="59"/>
      <x:c r="AM19" s="59"/>
      <x:c r="AN19" s="59"/>
    </x:row>
    <x:row r="20">
      <x:c r="A20" s="59"/>
      <x:c r="B20" s="59"/>
      <x:c r="C20" s="59"/>
      <x:c r="D20" s="59"/>
      <x:c r="E20" s="59"/>
      <x:c r="F20" s="59"/>
      <x:c r="G20" s="59"/>
      <x:c r="H20" s="59"/>
      <x:c r="I20" s="59"/>
      <x:c r="J20" s="59"/>
      <x:c r="K20" s="59"/>
      <x:c r="L20" s="59"/>
      <x:c r="M20" s="59"/>
      <x:c r="N20" s="59"/>
      <x:c r="O20" s="59"/>
      <x:c r="P20" s="59"/>
      <x:c r="Q20" s="59"/>
      <x:c r="R20" s="59"/>
      <x:c r="S20" s="59"/>
      <x:c r="T20" s="59"/>
      <x:c r="U20" s="59"/>
      <x:c r="V20" s="59"/>
      <x:c r="W20" s="59"/>
      <x:c r="X20" s="59"/>
      <x:c r="Y20" s="59"/>
      <x:c r="Z20" s="59"/>
      <x:c r="AA20" s="59"/>
      <x:c r="AB20" s="59"/>
      <x:c r="AC20" s="59"/>
      <x:c r="AD20" s="59"/>
      <x:c r="AE20" s="59"/>
      <x:c r="AF20" s="59"/>
      <x:c r="AG20" s="59"/>
      <x:c r="AH20" s="59"/>
      <x:c r="AI20" s="59"/>
      <x:c r="AJ20" s="59"/>
      <x:c r="AK20" s="59"/>
      <x:c r="AL20" s="59"/>
      <x:c r="AM20" s="59"/>
      <x:c r="AN20" s="59"/>
    </x:row>
    <x:row r="21">
      <x:c r="A21" s="59"/>
      <x:c r="B21" s="59"/>
      <x:c r="C21" s="59"/>
      <x:c r="D21" s="59"/>
      <x:c r="E21" s="59"/>
      <x:c r="F21" s="59"/>
      <x:c r="G21" s="59"/>
      <x:c r="H21" s="59"/>
      <x:c r="I21" s="59"/>
      <x:c r="J21" s="59"/>
      <x:c r="K21" s="59"/>
      <x:c r="L21" s="59"/>
      <x:c r="M21" s="59"/>
      <x:c r="N21" s="59"/>
      <x:c r="O21" s="59"/>
      <x:c r="P21" s="59"/>
      <x:c r="Q21" s="59"/>
      <x:c r="R21" s="59"/>
      <x:c r="S21" s="59"/>
      <x:c r="T21" s="59"/>
      <x:c r="U21" s="59"/>
      <x:c r="V21" s="59"/>
      <x:c r="W21" s="59"/>
      <x:c r="X21" s="59"/>
      <x:c r="Y21" s="59"/>
      <x:c r="Z21" s="59"/>
      <x:c r="AA21" s="59"/>
      <x:c r="AB21" s="59"/>
      <x:c r="AC21" s="59"/>
      <x:c r="AD21" s="59"/>
      <x:c r="AE21" s="59"/>
      <x:c r="AF21" s="59"/>
      <x:c r="AG21" s="59"/>
      <x:c r="AH21" s="59"/>
      <x:c r="AI21" s="59"/>
      <x:c r="AJ21" s="59"/>
      <x:c r="AK21" s="59"/>
      <x:c r="AL21" s="59"/>
      <x:c r="AM21" s="59"/>
      <x:c r="AN21" s="59"/>
    </x:row>
    <x:row r="22">
      <x:c r="A22" s="59"/>
      <x:c r="B22" s="59"/>
      <x:c r="C22" s="59"/>
      <x:c r="D22" s="59"/>
      <x:c r="E22" s="59"/>
      <x:c r="F22" s="59"/>
      <x:c r="G22" s="59"/>
      <x:c r="H22" s="59"/>
      <x:c r="I22" s="59"/>
      <x:c r="J22" s="59"/>
      <x:c r="K22" s="59"/>
      <x:c r="L22" s="59"/>
      <x:c r="M22" s="59"/>
      <x:c r="N22" s="59"/>
      <x:c r="O22" s="59"/>
      <x:c r="P22" s="59"/>
      <x:c r="Q22" s="59"/>
      <x:c r="R22" s="59"/>
      <x:c r="S22" s="59"/>
      <x:c r="T22" s="59"/>
      <x:c r="U22" s="59"/>
      <x:c r="V22" s="59"/>
      <x:c r="W22" s="59"/>
      <x:c r="X22" s="59"/>
      <x:c r="Y22" s="59"/>
      <x:c r="Z22" s="59"/>
      <x:c r="AA22" s="59"/>
      <x:c r="AB22" s="59"/>
      <x:c r="AC22" s="59"/>
      <x:c r="AD22" s="59"/>
      <x:c r="AE22" s="59"/>
      <x:c r="AF22" s="59"/>
      <x:c r="AG22" s="59"/>
      <x:c r="AH22" s="59"/>
      <x:c r="AI22" s="59"/>
      <x:c r="AJ22" s="59"/>
      <x:c r="AK22" s="59"/>
      <x:c r="AL22" s="59"/>
      <x:c r="AM22" s="59"/>
      <x:c r="AN22" s="59"/>
    </x:row>
    <x:row r="23">
      <x:c r="A23" s="59"/>
      <x:c r="B23" s="59"/>
      <x:c r="C23" s="59"/>
      <x:c r="D23" s="59"/>
      <x:c r="E23" s="59"/>
      <x:c r="F23" s="59"/>
      <x:c r="G23" s="59"/>
      <x:c r="H23" s="59"/>
      <x:c r="I23" s="59"/>
      <x:c r="J23" s="59"/>
      <x:c r="K23" s="59"/>
      <x:c r="L23" s="59"/>
      <x:c r="M23" s="59"/>
      <x:c r="N23" s="59"/>
      <x:c r="O23" s="59"/>
      <x:c r="P23" s="59"/>
      <x:c r="Q23" s="59"/>
      <x:c r="R23" s="59"/>
      <x:c r="S23" s="59"/>
      <x:c r="T23" s="59"/>
      <x:c r="U23" s="59"/>
      <x:c r="V23" s="59"/>
      <x:c r="W23" s="59"/>
      <x:c r="X23" s="59"/>
      <x:c r="Y23" s="59"/>
      <x:c r="Z23" s="59"/>
      <x:c r="AA23" s="59"/>
      <x:c r="AB23" s="59"/>
      <x:c r="AC23" s="59"/>
      <x:c r="AD23" s="59"/>
      <x:c r="AE23" s="59"/>
      <x:c r="AF23" s="59"/>
      <x:c r="AG23" s="59"/>
      <x:c r="AH23" s="59"/>
      <x:c r="AI23" s="59"/>
      <x:c r="AJ23" s="59"/>
      <x:c r="AK23" s="59"/>
      <x:c r="AL23" s="59"/>
      <x:c r="AM23" s="59"/>
      <x:c r="AN23" s="59"/>
    </x:row>
    <x:row r="24">
      <x:c r="A24" s="59"/>
      <x:c r="B24" s="59"/>
      <x:c r="C24" s="59"/>
      <x:c r="D24" s="59"/>
      <x:c r="E24" s="59"/>
      <x:c r="F24" s="59"/>
      <x:c r="G24" s="59"/>
      <x:c r="H24" s="59"/>
      <x:c r="I24" s="59"/>
      <x:c r="J24" s="59"/>
      <x:c r="K24" s="59"/>
      <x:c r="L24" s="59"/>
      <x:c r="M24" s="59"/>
      <x:c r="N24" s="59"/>
      <x:c r="O24" s="59"/>
      <x:c r="P24" s="59"/>
      <x:c r="Q24" s="59"/>
      <x:c r="R24" s="59"/>
      <x:c r="S24" s="59"/>
      <x:c r="T24" s="59"/>
      <x:c r="U24" s="59"/>
      <x:c r="V24" s="59"/>
      <x:c r="W24" s="59"/>
      <x:c r="X24" s="59"/>
      <x:c r="Y24" s="59"/>
      <x:c r="Z24" s="59"/>
      <x:c r="AA24" s="59"/>
      <x:c r="AB24" s="59"/>
      <x:c r="AC24" s="59"/>
      <x:c r="AD24" s="59"/>
      <x:c r="AE24" s="59"/>
      <x:c r="AF24" s="59"/>
      <x:c r="AG24" s="59"/>
      <x:c r="AH24" s="59"/>
      <x:c r="AI24" s="59"/>
      <x:c r="AJ24" s="59"/>
      <x:c r="AK24" s="59"/>
      <x:c r="AL24" s="59"/>
      <x:c r="AM24" s="59"/>
      <x:c r="AN24" s="59"/>
    </x:row>
    <x:row r="25">
      <x:c r="A25" s="59"/>
      <x:c r="B25" s="59"/>
      <x:c r="C25" s="59"/>
      <x:c r="D25" s="59"/>
      <x:c r="E25" s="59"/>
      <x:c r="F25" s="59"/>
      <x:c r="G25" s="59"/>
      <x:c r="H25" s="59"/>
      <x:c r="I25" s="59"/>
      <x:c r="J25" s="59"/>
      <x:c r="K25" s="59"/>
      <x:c r="L25" s="59"/>
      <x:c r="M25" s="59"/>
      <x:c r="N25" s="59"/>
      <x:c r="O25" s="59"/>
      <x:c r="P25" s="59"/>
      <x:c r="Q25" s="59"/>
      <x:c r="R25" s="59"/>
      <x:c r="S25" s="59"/>
      <x:c r="T25" s="59"/>
      <x:c r="U25" s="59"/>
      <x:c r="V25" s="59"/>
      <x:c r="W25" s="59"/>
      <x:c r="X25" s="59"/>
      <x:c r="Y25" s="59"/>
      <x:c r="Z25" s="59"/>
      <x:c r="AA25" s="59"/>
      <x:c r="AB25" s="59"/>
      <x:c r="AC25" s="59"/>
      <x:c r="AD25" s="59"/>
      <x:c r="AE25" s="59"/>
      <x:c r="AF25" s="59"/>
      <x:c r="AG25" s="59"/>
      <x:c r="AH25" s="59"/>
      <x:c r="AI25" s="59"/>
      <x:c r="AJ25" s="59"/>
      <x:c r="AK25" s="59"/>
      <x:c r="AL25" s="59"/>
      <x:c r="AM25" s="59"/>
      <x:c r="AN25" s="59"/>
    </x:row>
    <x:row r="26">
      <x:c r="A26" s="59"/>
      <x:c r="B26" s="59"/>
      <x:c r="C26" s="59"/>
      <x:c r="D26" s="59"/>
      <x:c r="E26" s="59"/>
      <x:c r="F26" s="59"/>
      <x:c r="G26" s="59"/>
      <x:c r="H26" s="59"/>
      <x:c r="I26" s="59"/>
      <x:c r="J26" s="59"/>
      <x:c r="K26" s="59"/>
      <x:c r="L26" s="59"/>
      <x:c r="M26" s="59"/>
      <x:c r="N26" s="59"/>
      <x:c r="O26" s="59"/>
      <x:c r="P26" s="59"/>
      <x:c r="Q26" s="59"/>
      <x:c r="R26" s="59"/>
      <x:c r="S26" s="59"/>
      <x:c r="T26" s="59"/>
      <x:c r="U26" s="59"/>
      <x:c r="V26" s="59"/>
      <x:c r="W26" s="59"/>
      <x:c r="X26" s="59"/>
      <x:c r="Y26" s="59"/>
      <x:c r="Z26" s="59"/>
      <x:c r="AA26" s="59"/>
      <x:c r="AB26" s="59"/>
      <x:c r="AC26" s="59"/>
      <x:c r="AD26" s="59"/>
      <x:c r="AE26" s="59"/>
      <x:c r="AF26" s="59"/>
      <x:c r="AG26" s="59"/>
      <x:c r="AH26" s="59"/>
      <x:c r="AI26" s="59"/>
      <x:c r="AJ26" s="59"/>
      <x:c r="AK26" s="59"/>
      <x:c r="AL26" s="59"/>
      <x:c r="AM26" s="59"/>
      <x:c r="AN26" s="59"/>
    </x:row>
    <x:row r="27">
      <x:c r="A27" s="59"/>
      <x:c r="B27" s="59"/>
      <x:c r="C27" s="59"/>
      <x:c r="D27" s="59"/>
      <x:c r="E27" s="59"/>
      <x:c r="F27" s="59"/>
      <x:c r="G27" s="59"/>
      <x:c r="H27" s="59"/>
      <x:c r="I27" s="59"/>
      <x:c r="J27" s="59"/>
      <x:c r="K27" s="59"/>
      <x:c r="L27" s="59"/>
      <x:c r="M27" s="59"/>
      <x:c r="N27" s="59"/>
      <x:c r="O27" s="59"/>
      <x:c r="P27" s="59"/>
      <x:c r="Q27" s="59"/>
      <x:c r="R27" s="59"/>
      <x:c r="S27" s="59"/>
      <x:c r="T27" s="59"/>
      <x:c r="U27" s="59"/>
      <x:c r="V27" s="59"/>
      <x:c r="W27" s="59"/>
      <x:c r="X27" s="59"/>
      <x:c r="Y27" s="59"/>
      <x:c r="Z27" s="59"/>
      <x:c r="AA27" s="59"/>
      <x:c r="AB27" s="59"/>
      <x:c r="AC27" s="59"/>
      <x:c r="AD27" s="59"/>
      <x:c r="AE27" s="59"/>
      <x:c r="AF27" s="59"/>
      <x:c r="AG27" s="59"/>
      <x:c r="AH27" s="59"/>
      <x:c r="AI27" s="59"/>
      <x:c r="AJ27" s="59"/>
      <x:c r="AK27" s="59"/>
      <x:c r="AL27" s="59"/>
      <x:c r="AM27" s="59"/>
      <x:c r="AN27" s="59"/>
    </x:row>
    <x:row r="28">
      <x:c r="A28" s="59"/>
      <x:c r="B28" s="59"/>
      <x:c r="C28" s="59"/>
      <x:c r="D28" s="59"/>
      <x:c r="E28" s="59"/>
      <x:c r="F28" s="59"/>
      <x:c r="G28" s="59"/>
      <x:c r="H28" s="59"/>
      <x:c r="I28" s="59"/>
      <x:c r="J28" s="59"/>
      <x:c r="K28" s="59"/>
      <x:c r="L28" s="59"/>
      <x:c r="M28" s="59"/>
      <x:c r="N28" s="59"/>
      <x:c r="O28" s="59"/>
      <x:c r="P28" s="59"/>
      <x:c r="Q28" s="59"/>
      <x:c r="R28" s="59"/>
      <x:c r="S28" s="59"/>
      <x:c r="T28" s="59"/>
      <x:c r="U28" s="59"/>
      <x:c r="V28" s="59"/>
      <x:c r="W28" s="59"/>
      <x:c r="X28" s="59"/>
      <x:c r="Y28" s="59"/>
      <x:c r="Z28" s="59"/>
      <x:c r="AA28" s="59"/>
      <x:c r="AB28" s="59"/>
      <x:c r="AC28" s="59"/>
      <x:c r="AD28" s="59"/>
      <x:c r="AE28" s="59"/>
      <x:c r="AF28" s="59"/>
      <x:c r="AG28" s="59"/>
      <x:c r="AH28" s="59"/>
      <x:c r="AI28" s="59"/>
      <x:c r="AJ28" s="59"/>
      <x:c r="AK28" s="59"/>
      <x:c r="AL28" s="59"/>
      <x:c r="AM28" s="59"/>
      <x:c r="AN28" s="59"/>
    </x:row>
    <x:row r="29">
      <x:c r="A29" s="59"/>
      <x:c r="B29" s="59"/>
      <x:c r="C29" s="59"/>
      <x:c r="D29" s="59"/>
      <x:c r="E29" s="59"/>
      <x:c r="F29" s="59"/>
      <x:c r="G29" s="59"/>
      <x:c r="H29" s="59"/>
      <x:c r="I29" s="59"/>
      <x:c r="J29" s="59"/>
      <x:c r="K29" s="59"/>
      <x:c r="L29" s="59"/>
      <x:c r="M29" s="59"/>
      <x:c r="N29" s="59"/>
      <x:c r="O29" s="59"/>
      <x:c r="P29" s="59"/>
      <x:c r="Q29" s="59"/>
      <x:c r="R29" s="59"/>
      <x:c r="S29" s="59"/>
      <x:c r="T29" s="59"/>
      <x:c r="U29" s="59"/>
      <x:c r="V29" s="59"/>
      <x:c r="W29" s="59"/>
      <x:c r="X29" s="59"/>
      <x:c r="Y29" s="59"/>
      <x:c r="Z29" s="59"/>
      <x:c r="AA29" s="59"/>
      <x:c r="AB29" s="59"/>
      <x:c r="AC29" s="59"/>
      <x:c r="AD29" s="59"/>
      <x:c r="AE29" s="59"/>
      <x:c r="AF29" s="59"/>
      <x:c r="AG29" s="59"/>
      <x:c r="AH29" s="59"/>
      <x:c r="AI29" s="59"/>
      <x:c r="AJ29" s="59"/>
      <x:c r="AK29" s="59"/>
      <x:c r="AL29" s="59"/>
      <x:c r="AM29" s="59"/>
      <x:c r="AN29" s="59"/>
    </x:row>
    <x:row r="30">
      <x:c r="A30" s="59"/>
      <x:c r="B30" s="59"/>
      <x:c r="C30" s="59"/>
      <x:c r="D30" s="59"/>
      <x:c r="E30" s="59"/>
      <x:c r="F30" s="59"/>
      <x:c r="G30" s="59"/>
      <x:c r="H30" s="59"/>
      <x:c r="I30" s="59"/>
      <x:c r="J30" s="59"/>
      <x:c r="K30" s="59"/>
      <x:c r="L30" s="59"/>
      <x:c r="M30" s="59"/>
      <x:c r="N30" s="59"/>
      <x:c r="O30" s="59"/>
      <x:c r="P30" s="59"/>
      <x:c r="Q30" s="59"/>
      <x:c r="R30" s="59"/>
      <x:c r="S30" s="59"/>
      <x:c r="T30" s="59"/>
      <x:c r="U30" s="59"/>
      <x:c r="V30" s="59"/>
      <x:c r="W30" s="59"/>
      <x:c r="X30" s="59"/>
      <x:c r="Y30" s="59"/>
      <x:c r="Z30" s="59"/>
      <x:c r="AA30" s="59"/>
      <x:c r="AB30" s="59"/>
      <x:c r="AC30" s="59"/>
      <x:c r="AD30" s="59"/>
      <x:c r="AE30" s="59"/>
      <x:c r="AF30" s="59"/>
      <x:c r="AG30" s="59"/>
      <x:c r="AH30" s="59"/>
      <x:c r="AI30" s="59"/>
      <x:c r="AJ30" s="59"/>
      <x:c r="AK30" s="59"/>
      <x:c r="AL30" s="59"/>
      <x:c r="AM30" s="59"/>
      <x:c r="AN30" s="59"/>
    </x:row>
    <x:row r="31">
      <x:c r="A31" s="59"/>
      <x:c r="B31" s="59"/>
      <x:c r="C31" s="59"/>
      <x:c r="D31" s="59"/>
      <x:c r="E31" s="59"/>
      <x:c r="F31" s="59"/>
      <x:c r="G31" s="59"/>
      <x:c r="H31" s="59"/>
      <x:c r="I31" s="59"/>
      <x:c r="J31" s="59"/>
      <x:c r="K31" s="59"/>
      <x:c r="L31" s="59"/>
      <x:c r="M31" s="59"/>
      <x:c r="N31" s="59"/>
      <x:c r="O31" s="59"/>
      <x:c r="P31" s="59"/>
      <x:c r="Q31" s="59"/>
      <x:c r="R31" s="59"/>
      <x:c r="S31" s="59"/>
      <x:c r="T31" s="59"/>
      <x:c r="U31" s="59"/>
      <x:c r="V31" s="59"/>
      <x:c r="W31" s="59"/>
      <x:c r="X31" s="59"/>
      <x:c r="Y31" s="59"/>
      <x:c r="Z31" s="59"/>
      <x:c r="AA31" s="59"/>
      <x:c r="AB31" s="59"/>
      <x:c r="AC31" s="59"/>
      <x:c r="AD31" s="59"/>
      <x:c r="AE31" s="59"/>
      <x:c r="AF31" s="59"/>
      <x:c r="AG31" s="59"/>
      <x:c r="AH31" s="59"/>
      <x:c r="AI31" s="59"/>
      <x:c r="AJ31" s="59"/>
      <x:c r="AK31" s="59"/>
      <x:c r="AL31" s="59"/>
      <x:c r="AM31" s="59"/>
      <x:c r="AN31" s="59"/>
    </x:row>
    <x:row r="32">
      <x:c r="A32" s="59"/>
      <x:c r="B32" s="59"/>
      <x:c r="C32" s="59"/>
      <x:c r="D32" s="59"/>
      <x:c r="E32" s="59"/>
      <x:c r="F32" s="59"/>
      <x:c r="G32" s="59"/>
      <x:c r="H32" s="59"/>
      <x:c r="I32" s="59"/>
      <x:c r="J32" s="59"/>
      <x:c r="K32" s="59"/>
      <x:c r="L32" s="59"/>
      <x:c r="M32" s="59"/>
      <x:c r="N32" s="59"/>
      <x:c r="O32" s="59"/>
      <x:c r="P32" s="59"/>
      <x:c r="Q32" s="59"/>
      <x:c r="R32" s="59"/>
      <x:c r="S32" s="59"/>
      <x:c r="T32" s="59"/>
      <x:c r="U32" s="59"/>
      <x:c r="V32" s="59"/>
      <x:c r="W32" s="59"/>
      <x:c r="X32" s="59"/>
      <x:c r="Y32" s="59"/>
      <x:c r="Z32" s="59"/>
      <x:c r="AA32" s="59"/>
      <x:c r="AB32" s="59"/>
      <x:c r="AC32" s="59"/>
      <x:c r="AD32" s="59"/>
      <x:c r="AE32" s="59"/>
      <x:c r="AF32" s="59"/>
      <x:c r="AG32" s="59"/>
      <x:c r="AH32" s="59"/>
      <x:c r="AI32" s="59"/>
      <x:c r="AJ32" s="59"/>
      <x:c r="AK32" s="59"/>
      <x:c r="AL32" s="59"/>
      <x:c r="AM32" s="59"/>
      <x:c r="AN32" s="59"/>
    </x:row>
    <x:row r="33">
      <x:c r="A33" s="59"/>
      <x:c r="B33" s="59"/>
      <x:c r="C33" s="59"/>
      <x:c r="D33" s="59"/>
      <x:c r="E33" s="59"/>
      <x:c r="F33" s="59"/>
      <x:c r="G33" s="59"/>
      <x:c r="H33" s="59"/>
      <x:c r="I33" s="59"/>
      <x:c r="J33" s="59"/>
      <x:c r="K33" s="59"/>
      <x:c r="L33" s="59"/>
      <x:c r="M33" s="59"/>
      <x:c r="N33" s="59"/>
      <x:c r="O33" s="59"/>
      <x:c r="P33" s="59"/>
      <x:c r="Q33" s="59"/>
      <x:c r="R33" s="59"/>
      <x:c r="S33" s="59"/>
      <x:c r="T33" s="59"/>
      <x:c r="U33" s="59"/>
      <x:c r="V33" s="59"/>
      <x:c r="W33" s="59"/>
      <x:c r="X33" s="59"/>
      <x:c r="Y33" s="59"/>
      <x:c r="Z33" s="59"/>
      <x:c r="AA33" s="59"/>
      <x:c r="AB33" s="59"/>
      <x:c r="AC33" s="59"/>
      <x:c r="AD33" s="59"/>
      <x:c r="AE33" s="59"/>
      <x:c r="AF33" s="59"/>
      <x:c r="AG33" s="59"/>
      <x:c r="AH33" s="59"/>
      <x:c r="AI33" s="59"/>
      <x:c r="AJ33" s="59"/>
      <x:c r="AK33" s="59"/>
      <x:c r="AL33" s="59"/>
      <x:c r="AM33" s="59"/>
      <x:c r="AN33" s="59"/>
    </x:row>
    <x:row r="34">
      <x:c r="A34" s="59"/>
      <x:c r="B34" s="59"/>
      <x:c r="C34" s="59"/>
      <x:c r="D34" s="59"/>
      <x:c r="E34" s="59"/>
      <x:c r="F34" s="59"/>
      <x:c r="G34" s="59"/>
      <x:c r="H34" s="59"/>
      <x:c r="I34" s="59"/>
      <x:c r="J34" s="59"/>
      <x:c r="K34" s="59"/>
      <x:c r="L34" s="59"/>
      <x:c r="M34" s="59"/>
      <x:c r="N34" s="59"/>
      <x:c r="O34" s="59"/>
      <x:c r="P34" s="59"/>
      <x:c r="Q34" s="59"/>
      <x:c r="R34" s="59"/>
      <x:c r="S34" s="59"/>
      <x:c r="T34" s="59"/>
      <x:c r="U34" s="59"/>
      <x:c r="V34" s="59"/>
      <x:c r="W34" s="59"/>
      <x:c r="X34" s="59"/>
      <x:c r="Y34" s="59"/>
      <x:c r="Z34" s="59"/>
      <x:c r="AA34" s="59"/>
      <x:c r="AB34" s="59"/>
      <x:c r="AC34" s="59"/>
      <x:c r="AD34" s="59"/>
      <x:c r="AE34" s="59"/>
      <x:c r="AF34" s="59"/>
      <x:c r="AG34" s="59"/>
      <x:c r="AH34" s="59"/>
      <x:c r="AI34" s="59"/>
      <x:c r="AJ34" s="59"/>
      <x:c r="AK34" s="59"/>
      <x:c r="AL34" s="59"/>
      <x:c r="AM34" s="59"/>
      <x:c r="AN34" s="59"/>
    </x:row>
    <x:row r="35">
      <x:c r="A35" s="59"/>
      <x:c r="B35" s="59"/>
      <x:c r="C35" s="59"/>
      <x:c r="D35" s="59"/>
      <x:c r="E35" s="59"/>
      <x:c r="F35" s="59"/>
      <x:c r="G35" s="59"/>
      <x:c r="H35" s="59"/>
      <x:c r="I35" s="59"/>
      <x:c r="J35" s="59"/>
      <x:c r="K35" s="59"/>
      <x:c r="L35" s="59"/>
      <x:c r="M35" s="59"/>
      <x:c r="N35" s="59"/>
      <x:c r="O35" s="59"/>
      <x:c r="P35" s="59"/>
      <x:c r="Q35" s="59"/>
      <x:c r="R35" s="59"/>
      <x:c r="S35" s="59"/>
      <x:c r="T35" s="59"/>
      <x:c r="U35" s="59"/>
      <x:c r="V35" s="59"/>
      <x:c r="W35" s="59"/>
      <x:c r="X35" s="59"/>
      <x:c r="Y35" s="59"/>
      <x:c r="Z35" s="59"/>
      <x:c r="AA35" s="59"/>
      <x:c r="AB35" s="59"/>
      <x:c r="AC35" s="59"/>
      <x:c r="AD35" s="59"/>
      <x:c r="AE35" s="59"/>
      <x:c r="AF35" s="59"/>
      <x:c r="AG35" s="59"/>
      <x:c r="AH35" s="59"/>
      <x:c r="AI35" s="59"/>
      <x:c r="AJ35" s="59"/>
      <x:c r="AK35" s="59"/>
      <x:c r="AL35" s="59"/>
      <x:c r="AM35" s="59"/>
      <x:c r="AN35" s="59"/>
    </x:row>
    <x:row r="36">
      <x:c r="A36" s="59"/>
      <x:c r="B36" s="59"/>
      <x:c r="C36" s="59"/>
      <x:c r="D36" s="59"/>
      <x:c r="E36" s="59"/>
      <x:c r="F36" s="59"/>
      <x:c r="G36" s="59"/>
      <x:c r="H36" s="59"/>
      <x:c r="I36" s="59"/>
      <x:c r="J36" s="59"/>
      <x:c r="K36" s="59"/>
      <x:c r="L36" s="59"/>
      <x:c r="M36" s="59"/>
      <x:c r="N36" s="59"/>
      <x:c r="O36" s="59"/>
      <x:c r="P36" s="59"/>
      <x:c r="Q36" s="59"/>
      <x:c r="R36" s="59"/>
      <x:c r="S36" s="59"/>
      <x:c r="T36" s="59"/>
      <x:c r="U36" s="59"/>
      <x:c r="V36" s="59"/>
      <x:c r="W36" s="59"/>
      <x:c r="X36" s="59"/>
      <x:c r="Y36" s="59"/>
      <x:c r="Z36" s="59"/>
      <x:c r="AA36" s="59"/>
      <x:c r="AB36" s="59"/>
      <x:c r="AC36" s="59"/>
      <x:c r="AD36" s="59"/>
      <x:c r="AE36" s="59"/>
      <x:c r="AF36" s="59"/>
      <x:c r="AG36" s="59"/>
      <x:c r="AH36" s="59"/>
      <x:c r="AI36" s="59"/>
      <x:c r="AJ36" s="59"/>
      <x:c r="AK36" s="59"/>
      <x:c r="AL36" s="59"/>
      <x:c r="AM36" s="59"/>
      <x:c r="AN36" s="59"/>
    </x:row>
    <x:row r="37">
      <x:c r="A37" s="59"/>
      <x:c r="B37" s="59"/>
      <x:c r="C37" s="59"/>
      <x:c r="D37" s="59"/>
      <x:c r="E37" s="59"/>
      <x:c r="F37" s="59"/>
      <x:c r="G37" s="59"/>
      <x:c r="H37" s="59"/>
      <x:c r="I37" s="59"/>
      <x:c r="J37" s="59"/>
      <x:c r="K37" s="59"/>
      <x:c r="L37" s="59"/>
      <x:c r="M37" s="59"/>
      <x:c r="N37" s="59"/>
      <x:c r="O37" s="59"/>
      <x:c r="P37" s="59"/>
      <x:c r="Q37" s="59"/>
      <x:c r="R37" s="59"/>
      <x:c r="S37" s="59"/>
      <x:c r="T37" s="59"/>
      <x:c r="U37" s="59"/>
      <x:c r="V37" s="59"/>
      <x:c r="W37" s="59"/>
      <x:c r="X37" s="59"/>
      <x:c r="Y37" s="59"/>
      <x:c r="Z37" s="59"/>
      <x:c r="AA37" s="59"/>
      <x:c r="AB37" s="59"/>
      <x:c r="AC37" s="59"/>
      <x:c r="AD37" s="59"/>
      <x:c r="AE37" s="59"/>
      <x:c r="AF37" s="59"/>
      <x:c r="AG37" s="59"/>
      <x:c r="AH37" s="59"/>
      <x:c r="AI37" s="59"/>
      <x:c r="AJ37" s="59"/>
      <x:c r="AK37" s="59"/>
      <x:c r="AL37" s="59"/>
      <x:c r="AM37" s="59"/>
      <x:c r="AN37" s="59"/>
    </x:row>
    <x:row r="38">
      <x:c r="A38" s="59"/>
      <x:c r="B38" s="59"/>
      <x:c r="C38" s="59"/>
      <x:c r="D38" s="59"/>
      <x:c r="E38" s="59"/>
      <x:c r="F38" s="59"/>
      <x:c r="G38" s="59"/>
      <x:c r="H38" s="59"/>
      <x:c r="I38" s="59"/>
      <x:c r="J38" s="59"/>
      <x:c r="K38" s="59"/>
      <x:c r="L38" s="59"/>
      <x:c r="M38" s="59"/>
      <x:c r="N38" s="59"/>
      <x:c r="O38" s="59"/>
      <x:c r="P38" s="59"/>
      <x:c r="Q38" s="59"/>
      <x:c r="R38" s="59"/>
      <x:c r="S38" s="59"/>
      <x:c r="T38" s="59"/>
      <x:c r="U38" s="59"/>
      <x:c r="V38" s="59"/>
      <x:c r="W38" s="59"/>
      <x:c r="X38" s="59"/>
      <x:c r="Y38" s="59"/>
      <x:c r="Z38" s="59"/>
      <x:c r="AA38" s="59"/>
      <x:c r="AB38" s="59"/>
      <x:c r="AC38" s="59"/>
      <x:c r="AD38" s="59"/>
      <x:c r="AE38" s="59"/>
      <x:c r="AF38" s="59"/>
      <x:c r="AG38" s="59"/>
      <x:c r="AH38" s="59"/>
      <x:c r="AI38" s="59"/>
      <x:c r="AJ38" s="59"/>
      <x:c r="AK38" s="59"/>
      <x:c r="AL38" s="59"/>
      <x:c r="AM38" s="59"/>
      <x:c r="AN38" s="59"/>
    </x:row>
    <x:row r="39">
      <x:c r="A39" s="59"/>
      <x:c r="B39" s="59"/>
      <x:c r="C39" s="59"/>
      <x:c r="D39" s="59"/>
      <x:c r="E39" s="59"/>
      <x:c r="F39" s="59"/>
      <x:c r="G39" s="59"/>
      <x:c r="H39" s="59"/>
      <x:c r="I39" s="59"/>
      <x:c r="J39" s="59"/>
      <x:c r="K39" s="59"/>
      <x:c r="L39" s="59"/>
      <x:c r="M39" s="59"/>
      <x:c r="N39" s="59"/>
      <x:c r="O39" s="59"/>
      <x:c r="P39" s="59"/>
      <x:c r="Q39" s="59"/>
      <x:c r="R39" s="59"/>
      <x:c r="S39" s="59"/>
      <x:c r="T39" s="59"/>
      <x:c r="U39" s="59"/>
      <x:c r="V39" s="59"/>
      <x:c r="W39" s="59"/>
      <x:c r="X39" s="59"/>
      <x:c r="Y39" s="59"/>
      <x:c r="Z39" s="59"/>
      <x:c r="AA39" s="59"/>
      <x:c r="AB39" s="59"/>
      <x:c r="AC39" s="59"/>
      <x:c r="AD39" s="59"/>
      <x:c r="AE39" s="59"/>
      <x:c r="AF39" s="59"/>
      <x:c r="AG39" s="59"/>
      <x:c r="AH39" s="59"/>
      <x:c r="AI39" s="59"/>
      <x:c r="AJ39" s="59"/>
      <x:c r="AK39" s="59"/>
      <x:c r="AL39" s="59"/>
      <x:c r="AM39" s="59"/>
      <x:c r="AN39" s="59"/>
    </x:row>
    <x:row r="40">
      <x:c r="A40" s="59"/>
      <x:c r="B40" s="59"/>
      <x:c r="C40" s="59"/>
      <x:c r="D40" s="59"/>
      <x:c r="E40" s="59"/>
      <x:c r="F40" s="59"/>
      <x:c r="G40" s="59"/>
      <x:c r="H40" s="59"/>
      <x:c r="I40" s="59"/>
      <x:c r="J40" s="59"/>
      <x:c r="K40" s="59"/>
      <x:c r="L40" s="59"/>
      <x:c r="M40" s="59"/>
      <x:c r="N40" s="59"/>
      <x:c r="O40" s="59"/>
      <x:c r="P40" s="59"/>
      <x:c r="Q40" s="59"/>
      <x:c r="R40" s="59"/>
      <x:c r="S40" s="59"/>
      <x:c r="T40" s="59"/>
      <x:c r="U40" s="59"/>
      <x:c r="V40" s="59"/>
      <x:c r="W40" s="59"/>
      <x:c r="X40" s="59"/>
      <x:c r="Y40" s="59"/>
      <x:c r="Z40" s="59"/>
      <x:c r="AA40" s="59"/>
      <x:c r="AB40" s="59"/>
      <x:c r="AC40" s="59"/>
      <x:c r="AD40" s="59"/>
      <x:c r="AE40" s="59"/>
      <x:c r="AF40" s="59"/>
      <x:c r="AG40" s="59"/>
      <x:c r="AH40" s="59"/>
      <x:c r="AI40" s="59"/>
      <x:c r="AJ40" s="59"/>
      <x:c r="AK40" s="59"/>
      <x:c r="AL40" s="59"/>
      <x:c r="AM40" s="59"/>
      <x:c r="AN40" s="59"/>
    </x:row>
    <x:row r="41">
      <x:c r="A41" s="59"/>
      <x:c r="B41" s="59"/>
      <x:c r="C41" s="59"/>
      <x:c r="D41" s="59"/>
      <x:c r="E41" s="59"/>
      <x:c r="F41" s="59"/>
      <x:c r="G41" s="59"/>
      <x:c r="H41" s="59"/>
      <x:c r="I41" s="59"/>
      <x:c r="J41" s="59"/>
      <x:c r="K41" s="59"/>
      <x:c r="L41" s="59"/>
      <x:c r="M41" s="59"/>
      <x:c r="N41" s="59"/>
      <x:c r="O41" s="59"/>
      <x:c r="P41" s="59"/>
      <x:c r="Q41" s="59"/>
      <x:c r="R41" s="59"/>
      <x:c r="S41" s="59"/>
      <x:c r="T41" s="59"/>
      <x:c r="U41" s="59"/>
      <x:c r="V41" s="59"/>
      <x:c r="W41" s="59"/>
      <x:c r="X41" s="59"/>
      <x:c r="Y41" s="59"/>
      <x:c r="Z41" s="59"/>
      <x:c r="AA41" s="59"/>
      <x:c r="AB41" s="59"/>
      <x:c r="AC41" s="59"/>
      <x:c r="AD41" s="59"/>
      <x:c r="AE41" s="59"/>
      <x:c r="AF41" s="59"/>
      <x:c r="AG41" s="59"/>
      <x:c r="AH41" s="59"/>
      <x:c r="AI41" s="59"/>
      <x:c r="AJ41" s="59"/>
      <x:c r="AK41" s="59"/>
      <x:c r="AL41" s="59"/>
      <x:c r="AM41" s="59"/>
      <x:c r="AN41" s="59"/>
    </x:row>
    <x:row r="42">
      <x:c r="A42" s="59"/>
      <x:c r="B42" s="59"/>
      <x:c r="C42" s="59"/>
      <x:c r="D42" s="59"/>
      <x:c r="E42" s="59"/>
      <x:c r="F42" s="59"/>
      <x:c r="G42" s="59"/>
      <x:c r="H42" s="59"/>
      <x:c r="I42" s="59"/>
      <x:c r="J42" s="59"/>
      <x:c r="K42" s="59"/>
      <x:c r="L42" s="59"/>
      <x:c r="M42" s="59"/>
      <x:c r="N42" s="59"/>
      <x:c r="O42" s="59"/>
      <x:c r="P42" s="59"/>
      <x:c r="Q42" s="59"/>
      <x:c r="R42" s="59"/>
      <x:c r="S42" s="59"/>
      <x:c r="T42" s="59"/>
      <x:c r="U42" s="59"/>
      <x:c r="V42" s="59"/>
      <x:c r="W42" s="59"/>
      <x:c r="X42" s="59"/>
      <x:c r="Y42" s="59"/>
      <x:c r="Z42" s="59"/>
      <x:c r="AA42" s="59"/>
      <x:c r="AB42" s="59"/>
      <x:c r="AC42" s="59"/>
      <x:c r="AD42" s="59"/>
      <x:c r="AE42" s="59"/>
      <x:c r="AF42" s="59"/>
      <x:c r="AG42" s="59"/>
      <x:c r="AH42" s="59"/>
      <x:c r="AI42" s="59"/>
      <x:c r="AJ42" s="59"/>
      <x:c r="AK42" s="59"/>
      <x:c r="AL42" s="59"/>
      <x:c r="AM42" s="59"/>
      <x:c r="AN42" s="59"/>
    </x:row>
    <x:row r="43">
      <x:c r="A43" s="59"/>
      <x:c r="B43" s="59"/>
      <x:c r="C43" s="59"/>
      <x:c r="D43" s="59"/>
      <x:c r="E43" s="59"/>
      <x:c r="F43" s="59"/>
      <x:c r="G43" s="59"/>
      <x:c r="H43" s="59"/>
      <x:c r="I43" s="59"/>
      <x:c r="J43" s="59"/>
      <x:c r="K43" s="59"/>
      <x:c r="L43" s="59"/>
      <x:c r="M43" s="59"/>
      <x:c r="N43" s="59"/>
      <x:c r="O43" s="59"/>
      <x:c r="P43" s="59"/>
      <x:c r="Q43" s="59"/>
      <x:c r="R43" s="59"/>
      <x:c r="S43" s="59"/>
      <x:c r="T43" s="59"/>
      <x:c r="U43" s="59"/>
      <x:c r="V43" s="59"/>
      <x:c r="W43" s="59"/>
      <x:c r="X43" s="59"/>
      <x:c r="Y43" s="59"/>
      <x:c r="Z43" s="59"/>
      <x:c r="AA43" s="59"/>
      <x:c r="AB43" s="59"/>
      <x:c r="AC43" s="59"/>
      <x:c r="AD43" s="59"/>
      <x:c r="AE43" s="59"/>
      <x:c r="AF43" s="59"/>
      <x:c r="AG43" s="59"/>
      <x:c r="AH43" s="59"/>
      <x:c r="AI43" s="59"/>
      <x:c r="AJ43" s="59"/>
      <x:c r="AK43" s="59"/>
      <x:c r="AL43" s="59"/>
      <x:c r="AM43" s="59"/>
      <x:c r="AN43" s="59"/>
    </x:row>
    <x:row r="44">
      <x:c r="A44" s="59"/>
      <x:c r="B44" s="59"/>
      <x:c r="C44" s="59"/>
      <x:c r="D44" s="59"/>
      <x:c r="E44" s="59"/>
      <x:c r="F44" s="59"/>
      <x:c r="G44" s="59"/>
      <x:c r="H44" s="59"/>
      <x:c r="I44" s="59"/>
      <x:c r="J44" s="59"/>
      <x:c r="K44" s="59"/>
      <x:c r="L44" s="59"/>
      <x:c r="M44" s="59"/>
      <x:c r="N44" s="59"/>
      <x:c r="O44" s="59"/>
      <x:c r="P44" s="59"/>
      <x:c r="Q44" s="59"/>
      <x:c r="R44" s="59"/>
      <x:c r="S44" s="59"/>
      <x:c r="T44" s="59"/>
      <x:c r="U44" s="59"/>
      <x:c r="V44" s="59"/>
      <x:c r="W44" s="59"/>
      <x:c r="X44" s="59"/>
      <x:c r="Y44" s="59"/>
      <x:c r="Z44" s="59"/>
      <x:c r="AA44" s="59"/>
      <x:c r="AB44" s="59"/>
      <x:c r="AC44" s="59"/>
      <x:c r="AD44" s="59"/>
      <x:c r="AE44" s="59"/>
      <x:c r="AF44" s="59"/>
      <x:c r="AG44" s="59"/>
      <x:c r="AH44" s="59"/>
      <x:c r="AI44" s="59"/>
      <x:c r="AJ44" s="59"/>
      <x:c r="AK44" s="59"/>
      <x:c r="AL44" s="59"/>
      <x:c r="AM44" s="59"/>
      <x:c r="AN44" s="59"/>
    </x:row>
    <x:row r="45">
      <x:c r="A45" s="59"/>
      <x:c r="B45" s="59"/>
      <x:c r="C45" s="59"/>
      <x:c r="D45" s="59"/>
      <x:c r="E45" s="59"/>
      <x:c r="F45" s="59"/>
      <x:c r="G45" s="59"/>
      <x:c r="H45" s="59"/>
      <x:c r="I45" s="59"/>
      <x:c r="J45" s="59"/>
      <x:c r="K45" s="59"/>
      <x:c r="L45" s="59"/>
      <x:c r="M45" s="59"/>
      <x:c r="N45" s="59"/>
      <x:c r="O45" s="59"/>
      <x:c r="P45" s="59"/>
      <x:c r="Q45" s="59"/>
      <x:c r="R45" s="59"/>
      <x:c r="S45" s="59"/>
      <x:c r="T45" s="59"/>
      <x:c r="U45" s="59"/>
      <x:c r="V45" s="59"/>
      <x:c r="W45" s="59"/>
      <x:c r="X45" s="59"/>
      <x:c r="Y45" s="59"/>
      <x:c r="Z45" s="59"/>
      <x:c r="AA45" s="59"/>
      <x:c r="AB45" s="59"/>
      <x:c r="AC45" s="59"/>
      <x:c r="AD45" s="59"/>
      <x:c r="AE45" s="59"/>
      <x:c r="AF45" s="59"/>
      <x:c r="AG45" s="59"/>
      <x:c r="AH45" s="59"/>
      <x:c r="AI45" s="59"/>
      <x:c r="AJ45" s="59"/>
      <x:c r="AK45" s="59"/>
      <x:c r="AL45" s="59"/>
      <x:c r="AM45" s="59"/>
      <x:c r="AN45" s="59"/>
    </x:row>
    <x:row r="46">
      <x:c r="A46" s="59"/>
      <x:c r="B46" s="59"/>
      <x:c r="C46" s="59"/>
      <x:c r="D46" s="59"/>
      <x:c r="E46" s="59"/>
      <x:c r="F46" s="59"/>
      <x:c r="G46" s="59"/>
      <x:c r="H46" s="59"/>
      <x:c r="I46" s="59"/>
      <x:c r="J46" s="59"/>
      <x:c r="K46" s="59"/>
      <x:c r="L46" s="59"/>
      <x:c r="M46" s="59"/>
      <x:c r="N46" s="59"/>
      <x:c r="O46" s="59"/>
      <x:c r="P46" s="59"/>
      <x:c r="Q46" s="59"/>
      <x:c r="R46" s="59"/>
      <x:c r="S46" s="59"/>
      <x:c r="T46" s="59"/>
      <x:c r="U46" s="59"/>
      <x:c r="V46" s="59"/>
      <x:c r="W46" s="59"/>
      <x:c r="X46" s="59"/>
      <x:c r="Y46" s="59"/>
      <x:c r="Z46" s="59"/>
      <x:c r="AA46" s="59"/>
      <x:c r="AB46" s="59"/>
      <x:c r="AC46" s="59"/>
      <x:c r="AD46" s="59"/>
      <x:c r="AE46" s="59"/>
      <x:c r="AF46" s="59"/>
      <x:c r="AG46" s="59"/>
      <x:c r="AH46" s="59"/>
      <x:c r="AI46" s="59"/>
      <x:c r="AJ46" s="59"/>
      <x:c r="AK46" s="59"/>
      <x:c r="AL46" s="59"/>
      <x:c r="AM46" s="59"/>
      <x:c r="AN46" s="59"/>
    </x:row>
    <x:row r="47">
      <x:c r="A47" s="59"/>
      <x:c r="B47" s="59"/>
      <x:c r="C47" s="59"/>
      <x:c r="D47" s="59"/>
      <x:c r="E47" s="59"/>
      <x:c r="F47" s="59"/>
      <x:c r="G47" s="59"/>
      <x:c r="H47" s="59"/>
      <x:c r="I47" s="59"/>
      <x:c r="J47" s="59"/>
      <x:c r="K47" s="59"/>
      <x:c r="L47" s="59"/>
      <x:c r="M47" s="59"/>
      <x:c r="N47" s="59"/>
      <x:c r="O47" s="59"/>
      <x:c r="P47" s="59"/>
      <x:c r="Q47" s="59"/>
      <x:c r="R47" s="59"/>
      <x:c r="S47" s="59"/>
      <x:c r="T47" s="59"/>
      <x:c r="U47" s="59"/>
      <x:c r="V47" s="59"/>
      <x:c r="W47" s="59"/>
      <x:c r="X47" s="59"/>
      <x:c r="Y47" s="59"/>
      <x:c r="Z47" s="59"/>
      <x:c r="AA47" s="59"/>
      <x:c r="AB47" s="59"/>
      <x:c r="AC47" s="59"/>
      <x:c r="AD47" s="59"/>
      <x:c r="AE47" s="59"/>
      <x:c r="AF47" s="59"/>
      <x:c r="AG47" s="59"/>
      <x:c r="AH47" s="59"/>
      <x:c r="AI47" s="59"/>
      <x:c r="AJ47" s="59"/>
      <x:c r="AK47" s="59"/>
      <x:c r="AL47" s="59"/>
      <x:c r="AM47" s="59"/>
      <x:c r="AN47" s="59"/>
    </x:row>
    <x:row r="48">
      <x:c r="A48" s="59"/>
      <x:c r="B48" s="59"/>
      <x:c r="C48" s="59"/>
      <x:c r="D48" s="59"/>
      <x:c r="E48" s="59"/>
      <x:c r="F48" s="59"/>
      <x:c r="G48" s="59"/>
      <x:c r="H48" s="59"/>
      <x:c r="I48" s="59"/>
      <x:c r="J48" s="59"/>
      <x:c r="K48" s="59"/>
      <x:c r="L48" s="59"/>
      <x:c r="M48" s="59"/>
      <x:c r="N48" s="59"/>
      <x:c r="O48" s="59"/>
      <x:c r="P48" s="59"/>
      <x:c r="Q48" s="59"/>
      <x:c r="R48" s="59"/>
      <x:c r="S48" s="59"/>
      <x:c r="T48" s="59"/>
      <x:c r="U48" s="59"/>
      <x:c r="V48" s="59"/>
      <x:c r="W48" s="59"/>
      <x:c r="X48" s="59"/>
      <x:c r="Y48" s="59"/>
      <x:c r="Z48" s="59"/>
      <x:c r="AA48" s="59"/>
      <x:c r="AB48" s="59"/>
      <x:c r="AC48" s="59"/>
      <x:c r="AD48" s="59"/>
      <x:c r="AE48" s="59"/>
      <x:c r="AF48" s="59"/>
      <x:c r="AG48" s="59"/>
      <x:c r="AH48" s="59"/>
      <x:c r="AI48" s="59"/>
      <x:c r="AJ48" s="59"/>
      <x:c r="AK48" s="59"/>
      <x:c r="AL48" s="59"/>
      <x:c r="AM48" s="59"/>
      <x:c r="AN48" s="59"/>
    </x:row>
    <x:row r="49">
      <x:c r="A49" s="59"/>
      <x:c r="B49" s="59"/>
      <x:c r="C49" s="59"/>
      <x:c r="D49" s="59"/>
      <x:c r="E49" s="59"/>
      <x:c r="F49" s="59"/>
      <x:c r="G49" s="59"/>
      <x:c r="H49" s="59"/>
      <x:c r="I49" s="59"/>
      <x:c r="J49" s="59"/>
      <x:c r="K49" s="59"/>
      <x:c r="L49" s="59"/>
      <x:c r="M49" s="59"/>
      <x:c r="N49" s="59"/>
      <x:c r="O49" s="59"/>
      <x:c r="P49" s="59"/>
      <x:c r="Q49" s="59"/>
      <x:c r="R49" s="59"/>
      <x:c r="S49" s="59"/>
      <x:c r="T49" s="59"/>
      <x:c r="U49" s="59"/>
      <x:c r="V49" s="59"/>
      <x:c r="W49" s="59"/>
      <x:c r="X49" s="59"/>
      <x:c r="Y49" s="59"/>
      <x:c r="Z49" s="59"/>
      <x:c r="AA49" s="59"/>
      <x:c r="AB49" s="59"/>
      <x:c r="AC49" s="59"/>
      <x:c r="AD49" s="59"/>
      <x:c r="AE49" s="59"/>
      <x:c r="AF49" s="59"/>
      <x:c r="AG49" s="59"/>
      <x:c r="AH49" s="59"/>
      <x:c r="AI49" s="59"/>
      <x:c r="AJ49" s="59"/>
      <x:c r="AK49" s="59"/>
      <x:c r="AL49" s="59"/>
      <x:c r="AM49" s="59"/>
      <x:c r="AN49" s="59"/>
    </x:row>
    <x:row r="50">
      <x:c r="A50" s="59"/>
      <x:c r="B50" s="59"/>
      <x:c r="C50" s="59"/>
      <x:c r="D50" s="59"/>
      <x:c r="E50" s="59"/>
      <x:c r="F50" s="59"/>
      <x:c r="G50" s="59"/>
      <x:c r="H50" s="59"/>
      <x:c r="I50" s="59"/>
      <x:c r="J50" s="59"/>
      <x:c r="K50" s="59"/>
      <x:c r="L50" s="59"/>
      <x:c r="M50" s="59"/>
      <x:c r="N50" s="59"/>
      <x:c r="O50" s="59"/>
      <x:c r="P50" s="59"/>
      <x:c r="Q50" s="59"/>
      <x:c r="R50" s="59"/>
      <x:c r="S50" s="59"/>
      <x:c r="T50" s="59"/>
      <x:c r="U50" s="59"/>
      <x:c r="V50" s="59"/>
      <x:c r="W50" s="59"/>
      <x:c r="X50" s="59"/>
      <x:c r="Y50" s="59"/>
      <x:c r="Z50" s="59"/>
      <x:c r="AA50" s="59"/>
      <x:c r="AB50" s="59"/>
      <x:c r="AC50" s="59"/>
      <x:c r="AD50" s="59"/>
      <x:c r="AE50" s="59"/>
      <x:c r="AF50" s="59"/>
      <x:c r="AG50" s="59"/>
      <x:c r="AH50" s="59"/>
      <x:c r="AI50" s="59"/>
      <x:c r="AJ50" s="59"/>
      <x:c r="AK50" s="59"/>
      <x:c r="AL50" s="59"/>
      <x:c r="AM50" s="59"/>
      <x:c r="AN50" s="59"/>
    </x:row>
    <x:row r="51">
      <x:c r="A51" s="59"/>
      <x:c r="B51" s="59"/>
      <x:c r="C51" s="59"/>
      <x:c r="D51" s="59"/>
      <x:c r="E51" s="59"/>
      <x:c r="F51" s="59"/>
      <x:c r="G51" s="59"/>
      <x:c r="H51" s="59"/>
      <x:c r="I51" s="59"/>
      <x:c r="J51" s="59"/>
      <x:c r="K51" s="59"/>
      <x:c r="L51" s="59"/>
      <x:c r="M51" s="59"/>
      <x:c r="N51" s="59"/>
      <x:c r="O51" s="59"/>
      <x:c r="P51" s="59"/>
      <x:c r="Q51" s="59"/>
      <x:c r="R51" s="59"/>
      <x:c r="S51" s="59"/>
      <x:c r="T51" s="59"/>
      <x:c r="U51" s="59"/>
      <x:c r="V51" s="59"/>
      <x:c r="W51" s="59"/>
      <x:c r="X51" s="59"/>
      <x:c r="Y51" s="59"/>
      <x:c r="Z51" s="59"/>
      <x:c r="AA51" s="59"/>
      <x:c r="AB51" s="59"/>
      <x:c r="AC51" s="59"/>
      <x:c r="AD51" s="59"/>
      <x:c r="AE51" s="59"/>
      <x:c r="AF51" s="59"/>
      <x:c r="AG51" s="59"/>
      <x:c r="AH51" s="59"/>
      <x:c r="AI51" s="59"/>
      <x:c r="AJ51" s="59"/>
      <x:c r="AK51" s="59"/>
      <x:c r="AL51" s="59"/>
      <x:c r="AM51" s="59"/>
      <x:c r="AN51" s="59"/>
    </x:row>
    <x:row r="52">
      <x:c r="A52" s="59"/>
      <x:c r="B52" s="59"/>
      <x:c r="C52" s="59"/>
      <x:c r="D52" s="59"/>
      <x:c r="E52" s="59"/>
      <x:c r="F52" s="59"/>
      <x:c r="G52" s="59"/>
      <x:c r="H52" s="59"/>
      <x:c r="I52" s="59"/>
      <x:c r="J52" s="59"/>
      <x:c r="K52" s="59"/>
      <x:c r="L52" s="59"/>
      <x:c r="M52" s="59"/>
      <x:c r="N52" s="59"/>
      <x:c r="O52" s="59"/>
      <x:c r="P52" s="59"/>
      <x:c r="Q52" s="59"/>
      <x:c r="R52" s="59"/>
      <x:c r="S52" s="59"/>
      <x:c r="T52" s="59"/>
      <x:c r="U52" s="59"/>
      <x:c r="V52" s="59"/>
      <x:c r="W52" s="59"/>
      <x:c r="X52" s="59"/>
      <x:c r="Y52" s="59"/>
      <x:c r="Z52" s="59"/>
      <x:c r="AA52" s="59"/>
      <x:c r="AB52" s="59"/>
      <x:c r="AC52" s="59"/>
      <x:c r="AD52" s="59"/>
      <x:c r="AE52" s="59"/>
      <x:c r="AF52" s="59"/>
      <x:c r="AG52" s="59"/>
      <x:c r="AH52" s="59"/>
      <x:c r="AI52" s="59"/>
      <x:c r="AJ52" s="59"/>
      <x:c r="AK52" s="59"/>
      <x:c r="AL52" s="59"/>
      <x:c r="AM52" s="59"/>
      <x:c r="AN52" s="59"/>
    </x:row>
    <x:row r="53">
      <x:c r="A53" s="59"/>
      <x:c r="B53" s="59"/>
      <x:c r="C53" s="59"/>
      <x:c r="D53" s="59"/>
      <x:c r="E53" s="59"/>
      <x:c r="F53" s="59"/>
      <x:c r="G53" s="59"/>
      <x:c r="H53" s="59"/>
      <x:c r="I53" s="59"/>
      <x:c r="J53" s="59"/>
      <x:c r="K53" s="59"/>
      <x:c r="L53" s="59"/>
      <x:c r="M53" s="59"/>
      <x:c r="N53" s="59"/>
      <x:c r="O53" s="59"/>
      <x:c r="P53" s="59"/>
      <x:c r="Q53" s="59"/>
      <x:c r="R53" s="59"/>
      <x:c r="S53" s="59"/>
      <x:c r="T53" s="59"/>
      <x:c r="U53" s="59"/>
      <x:c r="V53" s="59"/>
      <x:c r="W53" s="59"/>
      <x:c r="X53" s="59"/>
      <x:c r="Y53" s="59"/>
      <x:c r="Z53" s="59"/>
      <x:c r="AA53" s="59"/>
      <x:c r="AB53" s="59"/>
      <x:c r="AC53" s="59"/>
      <x:c r="AD53" s="59"/>
      <x:c r="AE53" s="59"/>
      <x:c r="AF53" s="59"/>
      <x:c r="AG53" s="59"/>
      <x:c r="AH53" s="59"/>
      <x:c r="AI53" s="59"/>
      <x:c r="AJ53" s="59"/>
      <x:c r="AK53" s="59"/>
      <x:c r="AL53" s="59"/>
      <x:c r="AM53" s="59"/>
      <x:c r="AN53" s="59"/>
    </x:row>
    <x:row r="54">
      <x:c r="A54" s="59"/>
      <x:c r="B54" s="59"/>
      <x:c r="C54" s="59"/>
      <x:c r="D54" s="59"/>
      <x:c r="E54" s="59"/>
      <x:c r="F54" s="59"/>
      <x:c r="G54" s="59"/>
      <x:c r="H54" s="59"/>
      <x:c r="I54" s="59"/>
      <x:c r="J54" s="59"/>
      <x:c r="K54" s="59"/>
      <x:c r="L54" s="59"/>
      <x:c r="M54" s="59"/>
      <x:c r="N54" s="59"/>
      <x:c r="O54" s="59"/>
      <x:c r="P54" s="59"/>
      <x:c r="Q54" s="59"/>
      <x:c r="R54" s="59"/>
      <x:c r="S54" s="59"/>
      <x:c r="T54" s="59"/>
      <x:c r="U54" s="59"/>
      <x:c r="V54" s="59"/>
      <x:c r="W54" s="59"/>
      <x:c r="X54" s="59"/>
      <x:c r="Y54" s="59"/>
      <x:c r="Z54" s="59"/>
      <x:c r="AA54" s="59"/>
      <x:c r="AB54" s="59"/>
      <x:c r="AC54" s="59"/>
      <x:c r="AD54" s="59"/>
      <x:c r="AE54" s="59"/>
      <x:c r="AF54" s="59"/>
      <x:c r="AG54" s="59"/>
      <x:c r="AH54" s="59"/>
      <x:c r="AI54" s="59"/>
      <x:c r="AJ54" s="59"/>
      <x:c r="AK54" s="59"/>
      <x:c r="AL54" s="59"/>
      <x:c r="AM54" s="59"/>
      <x:c r="AN54" s="59"/>
    </x:row>
    <x:row r="55">
      <x:c r="A55" s="59"/>
      <x:c r="B55" s="59"/>
      <x:c r="C55" s="59"/>
      <x:c r="D55" s="59"/>
      <x:c r="E55" s="59"/>
      <x:c r="F55" s="59"/>
      <x:c r="G55" s="59"/>
      <x:c r="H55" s="59"/>
      <x:c r="I55" s="59"/>
      <x:c r="J55" s="59"/>
      <x:c r="K55" s="59"/>
      <x:c r="L55" s="59"/>
      <x:c r="M55" s="59"/>
      <x:c r="N55" s="59"/>
      <x:c r="O55" s="59"/>
      <x:c r="P55" s="59"/>
      <x:c r="Q55" s="59"/>
      <x:c r="R55" s="59"/>
      <x:c r="S55" s="59"/>
      <x:c r="T55" s="59"/>
      <x:c r="U55" s="59"/>
      <x:c r="V55" s="59"/>
      <x:c r="W55" s="59"/>
      <x:c r="X55" s="59"/>
      <x:c r="Y55" s="59"/>
      <x:c r="Z55" s="59"/>
      <x:c r="AA55" s="59"/>
      <x:c r="AB55" s="59"/>
      <x:c r="AC55" s="59"/>
      <x:c r="AD55" s="59"/>
      <x:c r="AE55" s="59"/>
      <x:c r="AF55" s="59"/>
      <x:c r="AG55" s="59"/>
      <x:c r="AH55" s="59"/>
      <x:c r="AI55" s="59"/>
      <x:c r="AJ55" s="59"/>
      <x:c r="AK55" s="59"/>
      <x:c r="AL55" s="59"/>
      <x:c r="AM55" s="59"/>
      <x:c r="AN55" s="59"/>
    </x:row>
    <x:row r="56">
      <x:c r="A56" s="59"/>
      <x:c r="B56" s="59"/>
      <x:c r="C56" s="59"/>
      <x:c r="D56" s="59"/>
      <x:c r="E56" s="59"/>
      <x:c r="F56" s="59"/>
      <x:c r="G56" s="59"/>
      <x:c r="H56" s="59"/>
      <x:c r="I56" s="59"/>
      <x:c r="J56" s="59"/>
      <x:c r="K56" s="59"/>
      <x:c r="L56" s="59"/>
      <x:c r="M56" s="59"/>
      <x:c r="N56" s="59"/>
      <x:c r="O56" s="59"/>
      <x:c r="P56" s="59"/>
      <x:c r="Q56" s="59"/>
      <x:c r="R56" s="59"/>
      <x:c r="S56" s="59"/>
      <x:c r="T56" s="59"/>
      <x:c r="U56" s="59"/>
      <x:c r="V56" s="59"/>
      <x:c r="W56" s="59"/>
      <x:c r="X56" s="59"/>
      <x:c r="Y56" s="59"/>
      <x:c r="Z56" s="59"/>
      <x:c r="AA56" s="59"/>
      <x:c r="AB56" s="59"/>
      <x:c r="AC56" s="59"/>
      <x:c r="AD56" s="59"/>
      <x:c r="AE56" s="59"/>
      <x:c r="AF56" s="59"/>
      <x:c r="AG56" s="59"/>
      <x:c r="AH56" s="59"/>
      <x:c r="AI56" s="59"/>
      <x:c r="AJ56" s="59"/>
      <x:c r="AK56" s="59"/>
      <x:c r="AL56" s="59"/>
      <x:c r="AM56" s="59"/>
      <x:c r="AN56" s="59"/>
    </x:row>
    <x:row r="57">
      <x:c r="A57" s="59"/>
      <x:c r="B57" s="59"/>
      <x:c r="C57" s="59"/>
      <x:c r="D57" s="59"/>
      <x:c r="E57" s="59"/>
      <x:c r="F57" s="59"/>
      <x:c r="G57" s="59"/>
      <x:c r="H57" s="59"/>
      <x:c r="I57" s="59"/>
      <x:c r="J57" s="59"/>
      <x:c r="K57" s="59"/>
      <x:c r="L57" s="59"/>
      <x:c r="M57" s="59"/>
      <x:c r="N57" s="59"/>
      <x:c r="O57" s="59"/>
      <x:c r="P57" s="59"/>
      <x:c r="Q57" s="59"/>
      <x:c r="R57" s="59"/>
      <x:c r="S57" s="59"/>
      <x:c r="T57" s="59"/>
      <x:c r="U57" s="59"/>
      <x:c r="V57" s="59"/>
      <x:c r="W57" s="59"/>
      <x:c r="X57" s="59"/>
      <x:c r="Y57" s="59"/>
      <x:c r="Z57" s="59"/>
      <x:c r="AA57" s="59"/>
      <x:c r="AB57" s="59"/>
      <x:c r="AC57" s="59"/>
      <x:c r="AD57" s="59"/>
      <x:c r="AE57" s="59"/>
      <x:c r="AF57" s="59"/>
      <x:c r="AG57" s="59"/>
      <x:c r="AH57" s="59"/>
      <x:c r="AI57" s="59"/>
      <x:c r="AJ57" s="59"/>
      <x:c r="AK57" s="59"/>
      <x:c r="AL57" s="59"/>
      <x:c r="AM57" s="59"/>
      <x:c r="AN57" s="59"/>
    </x:row>
    <x:row r="58">
      <x:c r="A58" s="59"/>
      <x:c r="B58" s="59"/>
      <x:c r="C58" s="59"/>
      <x:c r="D58" s="59"/>
      <x:c r="E58" s="59"/>
      <x:c r="F58" s="59"/>
      <x:c r="G58" s="59"/>
      <x:c r="H58" s="59"/>
      <x:c r="I58" s="59"/>
      <x:c r="J58" s="59"/>
      <x:c r="K58" s="59"/>
      <x:c r="L58" s="59"/>
      <x:c r="M58" s="59"/>
      <x:c r="N58" s="59"/>
      <x:c r="O58" s="59"/>
      <x:c r="P58" s="59"/>
      <x:c r="Q58" s="59"/>
      <x:c r="R58" s="59"/>
      <x:c r="S58" s="59"/>
      <x:c r="T58" s="59"/>
      <x:c r="U58" s="59"/>
      <x:c r="V58" s="59"/>
      <x:c r="W58" s="59"/>
      <x:c r="X58" s="59"/>
      <x:c r="Y58" s="59"/>
      <x:c r="Z58" s="59"/>
      <x:c r="AA58" s="59"/>
      <x:c r="AB58" s="59"/>
      <x:c r="AC58" s="59"/>
      <x:c r="AD58" s="59"/>
      <x:c r="AE58" s="59"/>
      <x:c r="AF58" s="59"/>
      <x:c r="AG58" s="59"/>
      <x:c r="AH58" s="59"/>
      <x:c r="AI58" s="59"/>
      <x:c r="AJ58" s="59"/>
      <x:c r="AK58" s="59"/>
      <x:c r="AL58" s="59"/>
      <x:c r="AM58" s="59"/>
      <x:c r="AN58" s="59"/>
    </x:row>
    <x:row r="59">
      <x:c r="A59" s="59"/>
      <x:c r="B59" s="59"/>
      <x:c r="C59" s="59"/>
      <x:c r="D59" s="59"/>
      <x:c r="E59" s="59"/>
      <x:c r="F59" s="59"/>
      <x:c r="G59" s="59"/>
      <x:c r="H59" s="59"/>
      <x:c r="I59" s="59"/>
      <x:c r="J59" s="59"/>
      <x:c r="K59" s="59"/>
      <x:c r="L59" s="59"/>
      <x:c r="M59" s="59"/>
      <x:c r="N59" s="59"/>
      <x:c r="O59" s="59"/>
      <x:c r="P59" s="59"/>
      <x:c r="Q59" s="59"/>
      <x:c r="R59" s="59"/>
      <x:c r="S59" s="59"/>
      <x:c r="T59" s="59"/>
      <x:c r="U59" s="59"/>
      <x:c r="V59" s="59"/>
      <x:c r="W59" s="59"/>
      <x:c r="X59" s="59"/>
      <x:c r="Y59" s="59"/>
      <x:c r="Z59" s="59"/>
      <x:c r="AA59" s="59"/>
      <x:c r="AB59" s="59"/>
      <x:c r="AC59" s="59"/>
      <x:c r="AD59" s="59"/>
      <x:c r="AE59" s="59"/>
      <x:c r="AF59" s="59"/>
      <x:c r="AG59" s="59"/>
      <x:c r="AH59" s="59"/>
      <x:c r="AI59" s="59"/>
      <x:c r="AJ59" s="59"/>
      <x:c r="AK59" s="59"/>
      <x:c r="AL59" s="59"/>
      <x:c r="AM59" s="59"/>
      <x:c r="AN59" s="59"/>
    </x:row>
    <x:row r="60">
      <x:c r="A60" s="59"/>
      <x:c r="B60" s="59"/>
      <x:c r="C60" s="59"/>
      <x:c r="D60" s="59"/>
      <x:c r="E60" s="59"/>
      <x:c r="F60" s="59"/>
      <x:c r="G60" s="59"/>
      <x:c r="H60" s="59"/>
      <x:c r="I60" s="59"/>
      <x:c r="J60" s="59"/>
      <x:c r="K60" s="59"/>
      <x:c r="L60" s="59"/>
      <x:c r="M60" s="59"/>
      <x:c r="N60" s="59"/>
      <x:c r="O60" s="59"/>
      <x:c r="P60" s="59"/>
      <x:c r="Q60" s="59"/>
      <x:c r="R60" s="59"/>
      <x:c r="S60" s="59"/>
      <x:c r="T60" s="59"/>
      <x:c r="U60" s="59"/>
      <x:c r="V60" s="59"/>
      <x:c r="W60" s="59"/>
      <x:c r="X60" s="59"/>
      <x:c r="Y60" s="59"/>
      <x:c r="Z60" s="59"/>
      <x:c r="AA60" s="59"/>
      <x:c r="AB60" s="59"/>
      <x:c r="AC60" s="59"/>
      <x:c r="AD60" s="59"/>
      <x:c r="AE60" s="59"/>
      <x:c r="AF60" s="59"/>
      <x:c r="AG60" s="59"/>
      <x:c r="AH60" s="59"/>
      <x:c r="AI60" s="59"/>
      <x:c r="AJ60" s="59"/>
      <x:c r="AK60" s="59"/>
      <x:c r="AL60" s="59"/>
      <x:c r="AM60" s="59"/>
      <x:c r="AN60" s="59"/>
    </x:row>
    <x:row r="61">
      <x:c r="A61" s="59"/>
      <x:c r="B61" s="59"/>
      <x:c r="C61" s="59"/>
      <x:c r="D61" s="59"/>
      <x:c r="E61" s="59"/>
      <x:c r="F61" s="59"/>
      <x:c r="G61" s="59"/>
      <x:c r="H61" s="59"/>
      <x:c r="I61" s="59"/>
      <x:c r="J61" s="59"/>
      <x:c r="K61" s="59"/>
      <x:c r="L61" s="59"/>
      <x:c r="M61" s="59"/>
      <x:c r="N61" s="59"/>
      <x:c r="O61" s="59"/>
      <x:c r="P61" s="59"/>
      <x:c r="Q61" s="59"/>
      <x:c r="R61" s="59"/>
      <x:c r="S61" s="59"/>
      <x:c r="T61" s="59"/>
      <x:c r="U61" s="59"/>
      <x:c r="V61" s="59"/>
      <x:c r="W61" s="59"/>
      <x:c r="X61" s="59"/>
      <x:c r="Y61" s="59"/>
      <x:c r="Z61" s="59"/>
      <x:c r="AA61" s="59"/>
      <x:c r="AB61" s="59"/>
      <x:c r="AC61" s="59"/>
      <x:c r="AD61" s="59"/>
      <x:c r="AE61" s="59"/>
      <x:c r="AF61" s="59"/>
      <x:c r="AG61" s="59"/>
      <x:c r="AH61" s="59"/>
      <x:c r="AI61" s="59"/>
      <x:c r="AJ61" s="59"/>
      <x:c r="AK61" s="59"/>
      <x:c r="AL61" s="59"/>
      <x:c r="AM61" s="59"/>
      <x:c r="AN61" s="59"/>
    </x:row>
    <x:row r="62">
      <x:c r="A62" s="59"/>
      <x:c r="B62" s="59"/>
      <x:c r="C62" s="59"/>
      <x:c r="D62" s="59"/>
      <x:c r="E62" s="59"/>
      <x:c r="F62" s="59"/>
      <x:c r="G62" s="59"/>
      <x:c r="H62" s="59"/>
      <x:c r="I62" s="59"/>
      <x:c r="J62" s="59"/>
      <x:c r="K62" s="59"/>
      <x:c r="L62" s="59"/>
      <x:c r="M62" s="59"/>
      <x:c r="N62" s="59"/>
      <x:c r="O62" s="59"/>
      <x:c r="P62" s="59"/>
      <x:c r="Q62" s="59"/>
      <x:c r="R62" s="59"/>
      <x:c r="S62" s="59"/>
      <x:c r="T62" s="59"/>
      <x:c r="U62" s="59"/>
      <x:c r="V62" s="59"/>
      <x:c r="W62" s="59"/>
      <x:c r="X62" s="59"/>
      <x:c r="Y62" s="59"/>
      <x:c r="Z62" s="59"/>
      <x:c r="AA62" s="59"/>
      <x:c r="AB62" s="59"/>
      <x:c r="AC62" s="59"/>
      <x:c r="AD62" s="59"/>
      <x:c r="AE62" s="59"/>
      <x:c r="AF62" s="59"/>
      <x:c r="AG62" s="59"/>
      <x:c r="AH62" s="59"/>
      <x:c r="AI62" s="59"/>
      <x:c r="AJ62" s="59"/>
      <x:c r="AK62" s="59"/>
      <x:c r="AL62" s="59"/>
      <x:c r="AM62" s="59"/>
      <x:c r="AN62" s="59"/>
    </x:row>
    <x:row r="63">
      <x:c r="A63" s="59"/>
      <x:c r="B63" s="59"/>
      <x:c r="C63" s="59"/>
      <x:c r="D63" s="59"/>
      <x:c r="E63" s="59"/>
      <x:c r="F63" s="59"/>
      <x:c r="G63" s="59"/>
      <x:c r="H63" s="59"/>
      <x:c r="I63" s="59"/>
      <x:c r="J63" s="59"/>
      <x:c r="K63" s="59"/>
      <x:c r="L63" s="59"/>
      <x:c r="M63" s="59"/>
      <x:c r="N63" s="59"/>
      <x:c r="O63" s="59"/>
      <x:c r="P63" s="59"/>
      <x:c r="Q63" s="59"/>
      <x:c r="R63" s="59"/>
      <x:c r="S63" s="59"/>
      <x:c r="T63" s="59"/>
      <x:c r="U63" s="59"/>
      <x:c r="V63" s="59"/>
      <x:c r="W63" s="59"/>
      <x:c r="X63" s="59"/>
      <x:c r="Y63" s="59"/>
      <x:c r="Z63" s="59"/>
      <x:c r="AA63" s="59"/>
      <x:c r="AB63" s="59"/>
      <x:c r="AC63" s="59"/>
      <x:c r="AD63" s="59"/>
      <x:c r="AE63" s="59"/>
      <x:c r="AF63" s="59"/>
      <x:c r="AG63" s="59"/>
      <x:c r="AH63" s="59"/>
      <x:c r="AI63" s="59"/>
      <x:c r="AJ63" s="59"/>
      <x:c r="AK63" s="59"/>
      <x:c r="AL63" s="59"/>
      <x:c r="AM63" s="59"/>
      <x:c r="AN63" s="59"/>
    </x:row>
    <x:row r="64">
      <x:c r="A64" s="59"/>
      <x:c r="B64" s="59"/>
      <x:c r="C64" s="59"/>
      <x:c r="D64" s="59"/>
      <x:c r="E64" s="59"/>
      <x:c r="F64" s="59"/>
      <x:c r="G64" s="59"/>
      <x:c r="H64" s="59"/>
      <x:c r="I64" s="59"/>
      <x:c r="J64" s="59"/>
      <x:c r="K64" s="59"/>
      <x:c r="L64" s="59"/>
      <x:c r="M64" s="59"/>
      <x:c r="N64" s="59"/>
      <x:c r="O64" s="59"/>
      <x:c r="P64" s="59"/>
      <x:c r="Q64" s="59"/>
      <x:c r="R64" s="59"/>
      <x:c r="S64" s="59"/>
      <x:c r="T64" s="59"/>
      <x:c r="U64" s="59"/>
      <x:c r="V64" s="59"/>
      <x:c r="W64" s="59"/>
      <x:c r="X64" s="59"/>
      <x:c r="Y64" s="59"/>
      <x:c r="Z64" s="59"/>
      <x:c r="AA64" s="59"/>
      <x:c r="AB64" s="59"/>
      <x:c r="AC64" s="59"/>
      <x:c r="AD64" s="59"/>
      <x:c r="AE64" s="59"/>
      <x:c r="AF64" s="59"/>
      <x:c r="AG64" s="59"/>
      <x:c r="AH64" s="59"/>
      <x:c r="AI64" s="59"/>
      <x:c r="AJ64" s="59"/>
      <x:c r="AK64" s="59"/>
      <x:c r="AL64" s="59"/>
      <x:c r="AM64" s="59"/>
      <x:c r="AN64" s="59"/>
    </x:row>
    <x:row r="65">
      <x:c r="A65" s="59"/>
      <x:c r="B65" s="59"/>
      <x:c r="C65" s="59"/>
      <x:c r="D65" s="59"/>
      <x:c r="E65" s="59"/>
      <x:c r="F65" s="59"/>
      <x:c r="G65" s="59"/>
      <x:c r="H65" s="59"/>
      <x:c r="I65" s="59"/>
      <x:c r="J65" s="59"/>
      <x:c r="K65" s="59"/>
      <x:c r="L65" s="59"/>
      <x:c r="M65" s="59"/>
      <x:c r="N65" s="59"/>
      <x:c r="O65" s="59"/>
      <x:c r="P65" s="59"/>
      <x:c r="Q65" s="59"/>
      <x:c r="R65" s="59"/>
      <x:c r="S65" s="59"/>
      <x:c r="T65" s="59"/>
      <x:c r="U65" s="59"/>
      <x:c r="V65" s="59"/>
      <x:c r="W65" s="59"/>
      <x:c r="X65" s="59"/>
      <x:c r="Y65" s="59"/>
      <x:c r="Z65" s="59"/>
      <x:c r="AA65" s="59"/>
      <x:c r="AB65" s="59"/>
      <x:c r="AC65" s="59"/>
      <x:c r="AD65" s="59"/>
      <x:c r="AE65" s="59"/>
      <x:c r="AF65" s="59"/>
      <x:c r="AG65" s="59"/>
      <x:c r="AH65" s="59"/>
      <x:c r="AI65" s="59"/>
      <x:c r="AJ65" s="59"/>
      <x:c r="AK65" s="59"/>
      <x:c r="AL65" s="59"/>
      <x:c r="AM65" s="59"/>
      <x:c r="AN65" s="59"/>
    </x:row>
    <x:row r="66">
      <x:c r="A66" s="59"/>
      <x:c r="B66" s="59"/>
      <x:c r="C66" s="59"/>
      <x:c r="D66" s="59"/>
      <x:c r="E66" s="59"/>
      <x:c r="F66" s="59"/>
      <x:c r="G66" s="59"/>
      <x:c r="H66" s="59"/>
      <x:c r="I66" s="59"/>
      <x:c r="J66" s="59"/>
      <x:c r="K66" s="59"/>
      <x:c r="L66" s="59"/>
      <x:c r="M66" s="59"/>
      <x:c r="N66" s="59"/>
      <x:c r="O66" s="59"/>
      <x:c r="P66" s="59"/>
      <x:c r="Q66" s="59"/>
      <x:c r="R66" s="59"/>
      <x:c r="S66" s="59"/>
      <x:c r="T66" s="59"/>
      <x:c r="U66" s="59"/>
      <x:c r="V66" s="59"/>
      <x:c r="W66" s="59"/>
      <x:c r="X66" s="59"/>
      <x:c r="Y66" s="59"/>
      <x:c r="Z66" s="59"/>
      <x:c r="AA66" s="59"/>
      <x:c r="AB66" s="59"/>
      <x:c r="AC66" s="59"/>
      <x:c r="AD66" s="59"/>
      <x:c r="AE66" s="59"/>
      <x:c r="AF66" s="59"/>
      <x:c r="AG66" s="59"/>
      <x:c r="AH66" s="59"/>
      <x:c r="AI66" s="59"/>
      <x:c r="AJ66" s="59"/>
      <x:c r="AK66" s="59"/>
      <x:c r="AL66" s="59"/>
      <x:c r="AM66" s="59"/>
      <x:c r="AN66" s="59"/>
    </x:row>
    <x:row r="67">
      <x:c r="A67" s="59"/>
      <x:c r="B67" s="59"/>
      <x:c r="C67" s="59"/>
      <x:c r="D67" s="59"/>
      <x:c r="E67" s="59"/>
      <x:c r="F67" s="59"/>
      <x:c r="G67" s="59"/>
      <x:c r="H67" s="59"/>
      <x:c r="I67" s="59"/>
      <x:c r="J67" s="59"/>
      <x:c r="K67" s="59"/>
      <x:c r="L67" s="59"/>
      <x:c r="M67" s="59"/>
      <x:c r="N67" s="59"/>
      <x:c r="O67" s="59"/>
      <x:c r="P67" s="59"/>
      <x:c r="Q67" s="59"/>
      <x:c r="R67" s="59"/>
      <x:c r="S67" s="59"/>
      <x:c r="T67" s="59"/>
      <x:c r="U67" s="59"/>
      <x:c r="V67" s="59"/>
      <x:c r="W67" s="59"/>
      <x:c r="X67" s="59"/>
      <x:c r="Y67" s="59"/>
      <x:c r="Z67" s="59"/>
      <x:c r="AA67" s="59"/>
      <x:c r="AB67" s="59"/>
      <x:c r="AC67" s="59"/>
      <x:c r="AD67" s="59"/>
      <x:c r="AE67" s="59"/>
      <x:c r="AF67" s="59"/>
      <x:c r="AG67" s="59"/>
      <x:c r="AH67" s="59"/>
      <x:c r="AI67" s="59"/>
      <x:c r="AJ67" s="59"/>
      <x:c r="AK67" s="59"/>
      <x:c r="AL67" s="59"/>
      <x:c r="AM67" s="59"/>
      <x:c r="AN67" s="59"/>
    </x:row>
    <x:row r="68">
      <x:c r="A68" s="59"/>
      <x:c r="B68" s="59"/>
      <x:c r="C68" s="59"/>
      <x:c r="D68" s="59"/>
      <x:c r="E68" s="59"/>
      <x:c r="F68" s="59"/>
      <x:c r="G68" s="59"/>
      <x:c r="H68" s="59"/>
      <x:c r="I68" s="59"/>
      <x:c r="J68" s="59"/>
      <x:c r="K68" s="59"/>
      <x:c r="L68" s="59"/>
      <x:c r="M68" s="59"/>
      <x:c r="N68" s="59"/>
      <x:c r="O68" s="59"/>
      <x:c r="P68" s="59"/>
      <x:c r="Q68" s="59"/>
      <x:c r="R68" s="59"/>
      <x:c r="S68" s="59"/>
      <x:c r="T68" s="59"/>
      <x:c r="U68" s="59"/>
      <x:c r="V68" s="59"/>
      <x:c r="W68" s="59"/>
      <x:c r="X68" s="59"/>
      <x:c r="Y68" s="59"/>
      <x:c r="Z68" s="59"/>
      <x:c r="AA68" s="59"/>
      <x:c r="AB68" s="59"/>
      <x:c r="AC68" s="59"/>
      <x:c r="AD68" s="59"/>
      <x:c r="AE68" s="59"/>
      <x:c r="AF68" s="59"/>
      <x:c r="AG68" s="59"/>
      <x:c r="AH68" s="59"/>
      <x:c r="AI68" s="59"/>
      <x:c r="AJ68" s="59"/>
      <x:c r="AK68" s="59"/>
      <x:c r="AL68" s="59"/>
      <x:c r="AM68" s="59"/>
      <x:c r="AN68" s="59"/>
    </x:row>
    <x:row r="69">
      <x:c r="A69" s="59"/>
      <x:c r="B69" s="59"/>
      <x:c r="C69" s="59"/>
      <x:c r="D69" s="59"/>
      <x:c r="E69" s="59"/>
      <x:c r="F69" s="59"/>
      <x:c r="G69" s="59"/>
      <x:c r="H69" s="59"/>
      <x:c r="I69" s="59"/>
      <x:c r="J69" s="59"/>
      <x:c r="K69" s="59"/>
      <x:c r="L69" s="59"/>
      <x:c r="M69" s="59"/>
      <x:c r="N69" s="59"/>
      <x:c r="O69" s="59"/>
      <x:c r="P69" s="59"/>
      <x:c r="Q69" s="59"/>
      <x:c r="R69" s="59"/>
      <x:c r="S69" s="59"/>
      <x:c r="T69" s="59"/>
      <x:c r="U69" s="59"/>
      <x:c r="V69" s="59"/>
      <x:c r="W69" s="59"/>
      <x:c r="X69" s="59"/>
      <x:c r="Y69" s="59"/>
      <x:c r="Z69" s="59"/>
      <x:c r="AA69" s="59"/>
      <x:c r="AB69" s="59"/>
      <x:c r="AC69" s="59"/>
      <x:c r="AD69" s="59"/>
      <x:c r="AE69" s="59"/>
      <x:c r="AF69" s="59"/>
      <x:c r="AG69" s="59"/>
      <x:c r="AH69" s="59"/>
      <x:c r="AI69" s="59"/>
      <x:c r="AJ69" s="59"/>
      <x:c r="AK69" s="59"/>
      <x:c r="AL69" s="59"/>
      <x:c r="AM69" s="59"/>
      <x:c r="AN69" s="59"/>
    </x:row>
    <x:row r="70">
      <x:c r="A70" s="59"/>
      <x:c r="B70" s="59"/>
      <x:c r="C70" s="59"/>
      <x:c r="D70" s="59"/>
      <x:c r="E70" s="59"/>
      <x:c r="F70" s="59"/>
      <x:c r="G70" s="59"/>
      <x:c r="H70" s="59"/>
      <x:c r="I70" s="59"/>
      <x:c r="J70" s="59"/>
      <x:c r="K70" s="59"/>
      <x:c r="L70" s="59"/>
      <x:c r="M70" s="59"/>
      <x:c r="N70" s="59"/>
      <x:c r="O70" s="59"/>
      <x:c r="P70" s="59"/>
      <x:c r="Q70" s="59"/>
      <x:c r="R70" s="59"/>
      <x:c r="S70" s="59"/>
      <x:c r="T70" s="59"/>
      <x:c r="U70" s="59"/>
      <x:c r="V70" s="59"/>
      <x:c r="W70" s="59"/>
      <x:c r="X70" s="59"/>
      <x:c r="Y70" s="59"/>
      <x:c r="Z70" s="59"/>
      <x:c r="AA70" s="59"/>
      <x:c r="AB70" s="59"/>
      <x:c r="AC70" s="59"/>
      <x:c r="AD70" s="59"/>
      <x:c r="AE70" s="59"/>
      <x:c r="AF70" s="59"/>
      <x:c r="AG70" s="59"/>
      <x:c r="AH70" s="59"/>
      <x:c r="AI70" s="59"/>
      <x:c r="AJ70" s="59"/>
      <x:c r="AK70" s="59"/>
      <x:c r="AL70" s="59"/>
      <x:c r="AM70" s="59"/>
      <x:c r="AN70" s="59"/>
    </x:row>
    <x:row r="71">
      <x:c r="A71" s="59"/>
      <x:c r="B71" s="59"/>
      <x:c r="C71" s="59"/>
      <x:c r="D71" s="59"/>
      <x:c r="E71" s="59"/>
      <x:c r="F71" s="59"/>
      <x:c r="G71" s="59"/>
      <x:c r="H71" s="59"/>
      <x:c r="I71" s="59"/>
      <x:c r="J71" s="59"/>
      <x:c r="K71" s="59"/>
      <x:c r="L71" s="59"/>
      <x:c r="M71" s="59"/>
      <x:c r="N71" s="59"/>
      <x:c r="O71" s="59"/>
      <x:c r="P71" s="59"/>
      <x:c r="Q71" s="59"/>
      <x:c r="R71" s="59"/>
      <x:c r="S71" s="59"/>
      <x:c r="T71" s="59"/>
      <x:c r="U71" s="59"/>
      <x:c r="V71" s="59"/>
      <x:c r="W71" s="59"/>
      <x:c r="X71" s="59"/>
      <x:c r="Y71" s="59"/>
      <x:c r="Z71" s="59"/>
      <x:c r="AA71" s="59"/>
      <x:c r="AB71" s="59"/>
      <x:c r="AC71" s="59"/>
      <x:c r="AD71" s="59"/>
      <x:c r="AE71" s="59"/>
      <x:c r="AF71" s="59"/>
      <x:c r="AG71" s="59"/>
      <x:c r="AH71" s="59"/>
      <x:c r="AI71" s="59"/>
      <x:c r="AJ71" s="59"/>
      <x:c r="AK71" s="59"/>
      <x:c r="AL71" s="59"/>
      <x:c r="AM71" s="59"/>
      <x:c r="AN71" s="59"/>
    </x:row>
    <x:row r="72">
      <x:c r="A72" s="59"/>
      <x:c r="B72" s="59"/>
      <x:c r="C72" s="59"/>
      <x:c r="D72" s="59"/>
      <x:c r="E72" s="59"/>
      <x:c r="F72" s="59"/>
      <x:c r="G72" s="59"/>
      <x:c r="H72" s="59"/>
      <x:c r="I72" s="59"/>
      <x:c r="J72" s="59"/>
      <x:c r="K72" s="59"/>
      <x:c r="L72" s="59"/>
      <x:c r="M72" s="59"/>
      <x:c r="N72" s="59"/>
      <x:c r="O72" s="59"/>
      <x:c r="P72" s="59"/>
      <x:c r="Q72" s="59"/>
      <x:c r="R72" s="59"/>
      <x:c r="S72" s="59"/>
      <x:c r="T72" s="59"/>
      <x:c r="U72" s="59"/>
      <x:c r="V72" s="59"/>
      <x:c r="W72" s="59"/>
      <x:c r="X72" s="59"/>
      <x:c r="Y72" s="59"/>
      <x:c r="Z72" s="59"/>
      <x:c r="AA72" s="59"/>
      <x:c r="AB72" s="59"/>
      <x:c r="AC72" s="59"/>
      <x:c r="AD72" s="59"/>
      <x:c r="AE72" s="59"/>
      <x:c r="AF72" s="59"/>
      <x:c r="AG72" s="59"/>
      <x:c r="AH72" s="59"/>
      <x:c r="AI72" s="59"/>
      <x:c r="AJ72" s="59"/>
      <x:c r="AK72" s="59"/>
      <x:c r="AL72" s="59"/>
      <x:c r="AM72" s="59"/>
      <x:c r="AN72" s="59"/>
    </x:row>
    <x:row r="73">
      <x:c r="A73" s="59"/>
      <x:c r="B73" s="59"/>
      <x:c r="C73" s="59"/>
      <x:c r="D73" s="59"/>
      <x:c r="E73" s="59"/>
      <x:c r="F73" s="59"/>
      <x:c r="G73" s="59"/>
      <x:c r="H73" s="59"/>
      <x:c r="I73" s="59"/>
      <x:c r="J73" s="59"/>
      <x:c r="K73" s="59"/>
      <x:c r="L73" s="59"/>
      <x:c r="M73" s="59"/>
      <x:c r="N73" s="59"/>
      <x:c r="O73" s="59"/>
      <x:c r="P73" s="59"/>
      <x:c r="Q73" s="59"/>
      <x:c r="R73" s="59"/>
      <x:c r="S73" s="59"/>
      <x:c r="T73" s="59"/>
      <x:c r="U73" s="59"/>
      <x:c r="V73" s="59"/>
      <x:c r="W73" s="59"/>
      <x:c r="X73" s="59"/>
      <x:c r="Y73" s="59"/>
      <x:c r="Z73" s="59"/>
      <x:c r="AA73" s="59"/>
      <x:c r="AB73" s="59"/>
      <x:c r="AC73" s="59"/>
      <x:c r="AD73" s="59"/>
      <x:c r="AE73" s="59"/>
      <x:c r="AF73" s="59"/>
      <x:c r="AG73" s="59"/>
      <x:c r="AH73" s="59"/>
      <x:c r="AI73" s="59"/>
      <x:c r="AJ73" s="59"/>
      <x:c r="AK73" s="59"/>
      <x:c r="AL73" s="59"/>
      <x:c r="AM73" s="59"/>
      <x:c r="AN73" s="59"/>
    </x:row>
    <x:row r="74">
      <x:c r="A74" s="59"/>
      <x:c r="B74" s="59"/>
      <x:c r="C74" s="59"/>
      <x:c r="D74" s="59"/>
      <x:c r="E74" s="59"/>
      <x:c r="F74" s="59"/>
      <x:c r="G74" s="59"/>
      <x:c r="H74" s="59"/>
      <x:c r="I74" s="59"/>
      <x:c r="J74" s="59"/>
      <x:c r="K74" s="59"/>
      <x:c r="L74" s="59"/>
      <x:c r="M74" s="59"/>
      <x:c r="N74" s="59"/>
      <x:c r="O74" s="59"/>
      <x:c r="P74" s="59"/>
      <x:c r="Q74" s="59"/>
      <x:c r="R74" s="59"/>
      <x:c r="S74" s="59"/>
      <x:c r="T74" s="59"/>
      <x:c r="U74" s="59"/>
      <x:c r="V74" s="59"/>
      <x:c r="W74" s="59"/>
      <x:c r="X74" s="59"/>
      <x:c r="Y74" s="59"/>
      <x:c r="Z74" s="59"/>
      <x:c r="AA74" s="59"/>
      <x:c r="AB74" s="59"/>
      <x:c r="AC74" s="59"/>
      <x:c r="AD74" s="59"/>
      <x:c r="AE74" s="59"/>
      <x:c r="AF74" s="59"/>
      <x:c r="AG74" s="59"/>
      <x:c r="AH74" s="59"/>
      <x:c r="AI74" s="59"/>
      <x:c r="AJ74" s="59"/>
      <x:c r="AK74" s="59"/>
      <x:c r="AL74" s="59"/>
      <x:c r="AM74" s="59"/>
      <x:c r="AN74" s="59"/>
    </x:row>
    <x:row r="75">
      <x:c r="A75" s="59"/>
      <x:c r="B75" s="59"/>
      <x:c r="C75" s="59"/>
      <x:c r="D75" s="59"/>
      <x:c r="E75" s="59"/>
      <x:c r="F75" s="59"/>
      <x:c r="G75" s="59"/>
      <x:c r="H75" s="59"/>
      <x:c r="I75" s="59"/>
      <x:c r="J75" s="59"/>
      <x:c r="K75" s="59"/>
      <x:c r="L75" s="59"/>
      <x:c r="M75" s="59"/>
      <x:c r="N75" s="59"/>
      <x:c r="O75" s="59"/>
      <x:c r="P75" s="59"/>
      <x:c r="Q75" s="59"/>
      <x:c r="R75" s="59"/>
      <x:c r="S75" s="59"/>
      <x:c r="T75" s="59"/>
      <x:c r="U75" s="59"/>
      <x:c r="V75" s="59"/>
      <x:c r="W75" s="59"/>
      <x:c r="X75" s="59"/>
      <x:c r="Y75" s="59"/>
      <x:c r="Z75" s="59"/>
      <x:c r="AA75" s="59"/>
      <x:c r="AB75" s="59"/>
      <x:c r="AC75" s="59"/>
      <x:c r="AD75" s="59"/>
      <x:c r="AE75" s="59"/>
      <x:c r="AF75" s="59"/>
      <x:c r="AG75" s="59"/>
      <x:c r="AH75" s="59"/>
      <x:c r="AI75" s="59"/>
      <x:c r="AJ75" s="59"/>
      <x:c r="AK75" s="59"/>
      <x:c r="AL75" s="59"/>
      <x:c r="AM75" s="59"/>
      <x:c r="AN75" s="59"/>
    </x:row>
    <x:row r="76">
      <x:c r="A76" s="59"/>
      <x:c r="B76" s="59"/>
      <x:c r="C76" s="59"/>
      <x:c r="D76" s="59"/>
      <x:c r="E76" s="59"/>
      <x:c r="F76" s="59"/>
      <x:c r="G76" s="59"/>
      <x:c r="H76" s="59"/>
      <x:c r="I76" s="59"/>
      <x:c r="J76" s="59"/>
      <x:c r="K76" s="59"/>
      <x:c r="L76" s="59"/>
      <x:c r="M76" s="59"/>
      <x:c r="N76" s="59"/>
      <x:c r="O76" s="59"/>
      <x:c r="P76" s="59"/>
      <x:c r="Q76" s="59"/>
      <x:c r="R76" s="59"/>
      <x:c r="S76" s="59"/>
      <x:c r="T76" s="59"/>
      <x:c r="U76" s="59"/>
      <x:c r="V76" s="59"/>
      <x:c r="W76" s="59"/>
      <x:c r="X76" s="59"/>
      <x:c r="Y76" s="59"/>
      <x:c r="Z76" s="59"/>
      <x:c r="AA76" s="59"/>
      <x:c r="AB76" s="59"/>
      <x:c r="AC76" s="59"/>
      <x:c r="AD76" s="59"/>
      <x:c r="AE76" s="59"/>
      <x:c r="AF76" s="59"/>
      <x:c r="AG76" s="59"/>
      <x:c r="AH76" s="59"/>
      <x:c r="AI76" s="59"/>
      <x:c r="AJ76" s="59"/>
      <x:c r="AK76" s="59"/>
      <x:c r="AL76" s="59"/>
      <x:c r="AM76" s="59"/>
      <x:c r="AN76" s="59"/>
    </x:row>
    <x:row r="77">
      <x:c r="A77" s="59"/>
      <x:c r="B77" s="59"/>
      <x:c r="C77" s="59"/>
      <x:c r="D77" s="59"/>
      <x:c r="E77" s="59"/>
      <x:c r="F77" s="59"/>
      <x:c r="G77" s="59"/>
      <x:c r="H77" s="59"/>
      <x:c r="I77" s="59"/>
      <x:c r="J77" s="59"/>
      <x:c r="K77" s="59"/>
      <x:c r="L77" s="59"/>
      <x:c r="M77" s="59"/>
      <x:c r="N77" s="59"/>
      <x:c r="O77" s="59"/>
      <x:c r="P77" s="59"/>
      <x:c r="Q77" s="59"/>
      <x:c r="R77" s="59"/>
      <x:c r="S77" s="59"/>
      <x:c r="T77" s="59"/>
      <x:c r="U77" s="59"/>
      <x:c r="V77" s="59"/>
      <x:c r="W77" s="59"/>
      <x:c r="X77" s="59"/>
      <x:c r="Y77" s="59"/>
      <x:c r="Z77" s="59"/>
      <x:c r="AA77" s="59"/>
      <x:c r="AB77" s="59"/>
      <x:c r="AC77" s="59"/>
      <x:c r="AD77" s="59"/>
      <x:c r="AE77" s="59"/>
      <x:c r="AF77" s="59"/>
      <x:c r="AG77" s="59"/>
      <x:c r="AH77" s="59"/>
      <x:c r="AI77" s="59"/>
      <x:c r="AJ77" s="59"/>
      <x:c r="AK77" s="59"/>
      <x:c r="AL77" s="59"/>
      <x:c r="AM77" s="59"/>
      <x:c r="AN77" s="59"/>
    </x:row>
    <x:row r="78">
      <x:c r="A78" s="59"/>
      <x:c r="B78" s="59"/>
      <x:c r="C78" s="59"/>
      <x:c r="D78" s="59"/>
      <x:c r="E78" s="59"/>
      <x:c r="F78" s="59"/>
      <x:c r="G78" s="59"/>
      <x:c r="H78" s="59"/>
      <x:c r="I78" s="59"/>
      <x:c r="J78" s="59"/>
      <x:c r="K78" s="59"/>
      <x:c r="L78" s="59"/>
      <x:c r="M78" s="59"/>
      <x:c r="N78" s="59"/>
      <x:c r="O78" s="59"/>
      <x:c r="P78" s="59"/>
      <x:c r="Q78" s="59"/>
      <x:c r="R78" s="59"/>
      <x:c r="S78" s="59"/>
      <x:c r="T78" s="59"/>
      <x:c r="U78" s="59"/>
      <x:c r="V78" s="59"/>
      <x:c r="W78" s="59"/>
      <x:c r="X78" s="59"/>
      <x:c r="Y78" s="59"/>
      <x:c r="Z78" s="59"/>
      <x:c r="AA78" s="59"/>
      <x:c r="AB78" s="59"/>
      <x:c r="AC78" s="59"/>
      <x:c r="AD78" s="59"/>
      <x:c r="AE78" s="59"/>
      <x:c r="AF78" s="59"/>
      <x:c r="AG78" s="59"/>
      <x:c r="AH78" s="59"/>
      <x:c r="AI78" s="59"/>
      <x:c r="AJ78" s="59"/>
      <x:c r="AK78" s="59"/>
      <x:c r="AL78" s="59"/>
      <x:c r="AM78" s="59"/>
      <x:c r="AN78" s="59"/>
    </x:row>
    <x:row r="79">
      <x:c r="A79" s="59"/>
      <x:c r="B79" s="59"/>
      <x:c r="C79" s="59"/>
      <x:c r="D79" s="59"/>
      <x:c r="E79" s="59"/>
      <x:c r="F79" s="59"/>
      <x:c r="G79" s="59"/>
      <x:c r="H79" s="59"/>
      <x:c r="I79" s="59"/>
      <x:c r="J79" s="59"/>
      <x:c r="K79" s="59"/>
      <x:c r="L79" s="59"/>
      <x:c r="M79" s="59"/>
      <x:c r="N79" s="59"/>
      <x:c r="O79" s="59"/>
      <x:c r="P79" s="59"/>
      <x:c r="Q79" s="59"/>
      <x:c r="R79" s="59"/>
      <x:c r="S79" s="59"/>
      <x:c r="T79" s="59"/>
      <x:c r="U79" s="59"/>
      <x:c r="V79" s="59"/>
      <x:c r="W79" s="59"/>
      <x:c r="X79" s="59"/>
      <x:c r="Y79" s="59"/>
      <x:c r="Z79" s="59"/>
      <x:c r="AA79" s="59"/>
      <x:c r="AB79" s="59"/>
      <x:c r="AC79" s="59"/>
      <x:c r="AD79" s="59"/>
      <x:c r="AE79" s="59"/>
      <x:c r="AF79" s="59"/>
      <x:c r="AG79" s="59"/>
      <x:c r="AH79" s="59"/>
      <x:c r="AI79" s="59"/>
      <x:c r="AJ79" s="59"/>
      <x:c r="AK79" s="59"/>
      <x:c r="AL79" s="59"/>
      <x:c r="AM79" s="59"/>
      <x:c r="AN79" s="59"/>
    </x:row>
    <x:row r="80">
      <x:c r="A80" s="59"/>
      <x:c r="B80" s="59"/>
      <x:c r="C80" s="59"/>
      <x:c r="D80" s="59"/>
      <x:c r="E80" s="59"/>
      <x:c r="F80" s="59"/>
      <x:c r="G80" s="59"/>
      <x:c r="H80" s="59"/>
      <x:c r="I80" s="59"/>
      <x:c r="J80" s="59"/>
      <x:c r="K80" s="59"/>
      <x:c r="L80" s="59"/>
      <x:c r="M80" s="59"/>
      <x:c r="N80" s="59"/>
      <x:c r="O80" s="59"/>
      <x:c r="P80" s="59"/>
      <x:c r="Q80" s="59"/>
      <x:c r="R80" s="59"/>
      <x:c r="S80" s="59"/>
      <x:c r="T80" s="59"/>
      <x:c r="U80" s="59"/>
      <x:c r="V80" s="59"/>
      <x:c r="W80" s="59"/>
      <x:c r="X80" s="59"/>
      <x:c r="Y80" s="59"/>
      <x:c r="Z80" s="59"/>
      <x:c r="AA80" s="59"/>
      <x:c r="AB80" s="59"/>
      <x:c r="AC80" s="59"/>
      <x:c r="AD80" s="59"/>
      <x:c r="AE80" s="59"/>
      <x:c r="AF80" s="59"/>
      <x:c r="AG80" s="59"/>
      <x:c r="AH80" s="59"/>
      <x:c r="AI80" s="59"/>
      <x:c r="AJ80" s="59"/>
      <x:c r="AK80" s="59"/>
      <x:c r="AL80" s="59"/>
      <x:c r="AM80" s="59"/>
      <x:c r="AN80" s="59"/>
    </x:row>
    <x:row r="81">
      <x:c r="A81" s="59"/>
      <x:c r="B81" s="59"/>
      <x:c r="C81" s="59"/>
      <x:c r="D81" s="59"/>
      <x:c r="E81" s="59"/>
      <x:c r="F81" s="59"/>
      <x:c r="G81" s="59"/>
      <x:c r="H81" s="59"/>
      <x:c r="I81" s="59"/>
      <x:c r="J81" s="59"/>
      <x:c r="K81" s="59"/>
      <x:c r="L81" s="59"/>
      <x:c r="M81" s="59"/>
      <x:c r="N81" s="59"/>
      <x:c r="O81" s="59"/>
      <x:c r="P81" s="59"/>
      <x:c r="Q81" s="59"/>
      <x:c r="R81" s="59"/>
      <x:c r="S81" s="59"/>
      <x:c r="T81" s="59"/>
      <x:c r="U81" s="59"/>
      <x:c r="V81" s="59"/>
      <x:c r="W81" s="59"/>
      <x:c r="X81" s="59"/>
      <x:c r="Y81" s="59"/>
      <x:c r="Z81" s="59"/>
      <x:c r="AA81" s="59"/>
      <x:c r="AB81" s="59"/>
      <x:c r="AC81" s="59"/>
      <x:c r="AD81" s="59"/>
      <x:c r="AE81" s="59"/>
      <x:c r="AF81" s="59"/>
      <x:c r="AG81" s="59"/>
      <x:c r="AH81" s="59"/>
      <x:c r="AI81" s="59"/>
      <x:c r="AJ81" s="59"/>
      <x:c r="AK81" s="59"/>
      <x:c r="AL81" s="59"/>
      <x:c r="AM81" s="59"/>
      <x:c r="AN81" s="59"/>
    </x:row>
    <x:row r="82">
      <x:c r="A82" s="59"/>
      <x:c r="B82" s="59"/>
      <x:c r="C82" s="59"/>
      <x:c r="D82" s="59"/>
      <x:c r="E82" s="59"/>
      <x:c r="F82" s="59"/>
      <x:c r="G82" s="59"/>
      <x:c r="H82" s="59"/>
      <x:c r="I82" s="59"/>
      <x:c r="J82" s="59"/>
      <x:c r="K82" s="59"/>
      <x:c r="L82" s="59"/>
      <x:c r="M82" s="59"/>
      <x:c r="N82" s="59"/>
      <x:c r="O82" s="59"/>
      <x:c r="P82" s="59"/>
      <x:c r="Q82" s="59"/>
      <x:c r="R82" s="59"/>
      <x:c r="S82" s="59"/>
      <x:c r="T82" s="59"/>
      <x:c r="U82" s="59"/>
      <x:c r="V82" s="59"/>
      <x:c r="W82" s="59"/>
      <x:c r="X82" s="59"/>
      <x:c r="Y82" s="59"/>
      <x:c r="Z82" s="59"/>
      <x:c r="AA82" s="59"/>
      <x:c r="AB82" s="59"/>
      <x:c r="AC82" s="59"/>
      <x:c r="AD82" s="59"/>
      <x:c r="AE82" s="59"/>
      <x:c r="AF82" s="59"/>
      <x:c r="AG82" s="59"/>
      <x:c r="AH82" s="59"/>
      <x:c r="AI82" s="59"/>
      <x:c r="AJ82" s="59"/>
      <x:c r="AK82" s="59"/>
      <x:c r="AL82" s="59"/>
      <x:c r="AM82" s="59"/>
      <x:c r="AN82" s="59"/>
    </x:row>
    <x:row r="83">
      <x:c r="A83" s="59"/>
      <x:c r="B83" s="59"/>
      <x:c r="C83" s="59"/>
      <x:c r="D83" s="59"/>
      <x:c r="E83" s="59"/>
      <x:c r="F83" s="59"/>
      <x:c r="G83" s="59"/>
      <x:c r="H83" s="59"/>
      <x:c r="I83" s="59"/>
      <x:c r="J83" s="59"/>
      <x:c r="K83" s="59"/>
      <x:c r="L83" s="59"/>
      <x:c r="M83" s="59"/>
      <x:c r="N83" s="59"/>
      <x:c r="O83" s="59"/>
      <x:c r="P83" s="59"/>
      <x:c r="Q83" s="59"/>
      <x:c r="R83" s="59"/>
      <x:c r="S83" s="59"/>
      <x:c r="T83" s="59"/>
      <x:c r="U83" s="59"/>
      <x:c r="V83" s="59"/>
      <x:c r="W83" s="59"/>
      <x:c r="X83" s="59"/>
      <x:c r="Y83" s="59"/>
      <x:c r="Z83" s="59"/>
      <x:c r="AA83" s="59"/>
      <x:c r="AB83" s="59"/>
      <x:c r="AC83" s="59"/>
      <x:c r="AD83" s="59"/>
      <x:c r="AE83" s="59"/>
      <x:c r="AF83" s="59"/>
      <x:c r="AG83" s="59"/>
      <x:c r="AH83" s="59"/>
      <x:c r="AI83" s="59"/>
      <x:c r="AJ83" s="59"/>
      <x:c r="AK83" s="59"/>
      <x:c r="AL83" s="59"/>
      <x:c r="AM83" s="59"/>
      <x:c r="AN83" s="59"/>
    </x:row>
    <x:row r="84">
      <x:c r="A84" s="59"/>
      <x:c r="B84" s="59"/>
      <x:c r="C84" s="59"/>
      <x:c r="D84" s="59"/>
      <x:c r="E84" s="59"/>
      <x:c r="F84" s="59"/>
      <x:c r="G84" s="59"/>
      <x:c r="H84" s="59"/>
      <x:c r="I84" s="59"/>
      <x:c r="J84" s="59"/>
      <x:c r="K84" s="59"/>
      <x:c r="L84" s="59"/>
      <x:c r="M84" s="59"/>
      <x:c r="N84" s="59"/>
      <x:c r="O84" s="59"/>
      <x:c r="P84" s="59"/>
      <x:c r="Q84" s="59"/>
      <x:c r="R84" s="59"/>
      <x:c r="S84" s="59"/>
      <x:c r="T84" s="59"/>
      <x:c r="U84" s="59"/>
      <x:c r="V84" s="59"/>
      <x:c r="W84" s="59"/>
      <x:c r="X84" s="59"/>
      <x:c r="Y84" s="59"/>
      <x:c r="Z84" s="59"/>
      <x:c r="AA84" s="59"/>
      <x:c r="AB84" s="59"/>
      <x:c r="AC84" s="59"/>
      <x:c r="AD84" s="59"/>
      <x:c r="AE84" s="59"/>
      <x:c r="AF84" s="59"/>
      <x:c r="AG84" s="59"/>
      <x:c r="AH84" s="59"/>
      <x:c r="AI84" s="59"/>
      <x:c r="AJ84" s="59"/>
      <x:c r="AK84" s="59"/>
      <x:c r="AL84" s="59"/>
      <x:c r="AM84" s="59"/>
      <x:c r="AN84" s="59"/>
    </x:row>
    <x:row r="85">
      <x:c r="A85" s="59"/>
      <x:c r="B85" s="59"/>
      <x:c r="C85" s="59"/>
      <x:c r="D85" s="59"/>
      <x:c r="E85" s="59"/>
      <x:c r="F85" s="59"/>
      <x:c r="G85" s="59"/>
      <x:c r="H85" s="59"/>
      <x:c r="I85" s="59"/>
      <x:c r="J85" s="59"/>
      <x:c r="K85" s="59"/>
      <x:c r="L85" s="59"/>
      <x:c r="M85" s="59"/>
      <x:c r="N85" s="59"/>
      <x:c r="O85" s="59"/>
      <x:c r="P85" s="59"/>
      <x:c r="Q85" s="59"/>
      <x:c r="R85" s="59"/>
      <x:c r="S85" s="59"/>
      <x:c r="T85" s="59"/>
      <x:c r="U85" s="59"/>
      <x:c r="V85" s="59"/>
      <x:c r="W85" s="59"/>
      <x:c r="X85" s="59"/>
      <x:c r="Y85" s="59"/>
      <x:c r="Z85" s="59"/>
      <x:c r="AA85" s="59"/>
      <x:c r="AB85" s="59"/>
      <x:c r="AC85" s="59"/>
      <x:c r="AD85" s="59"/>
      <x:c r="AE85" s="59"/>
      <x:c r="AF85" s="59"/>
      <x:c r="AG85" s="59"/>
      <x:c r="AH85" s="59"/>
      <x:c r="AI85" s="59"/>
      <x:c r="AJ85" s="59"/>
      <x:c r="AK85" s="59"/>
      <x:c r="AL85" s="59"/>
      <x:c r="AM85" s="59"/>
      <x:c r="AN85" s="59"/>
    </x:row>
    <x:row r="86">
      <x:c r="A86" s="59"/>
      <x:c r="B86" s="59"/>
      <x:c r="C86" s="59"/>
      <x:c r="D86" s="59"/>
      <x:c r="E86" s="59"/>
      <x:c r="F86" s="59"/>
      <x:c r="G86" s="59"/>
      <x:c r="H86" s="59"/>
      <x:c r="I86" s="59"/>
      <x:c r="J86" s="59"/>
      <x:c r="K86" s="59"/>
      <x:c r="L86" s="59"/>
      <x:c r="M86" s="59"/>
      <x:c r="N86" s="59"/>
      <x:c r="O86" s="59"/>
      <x:c r="P86" s="59"/>
      <x:c r="Q86" s="59"/>
      <x:c r="R86" s="59"/>
      <x:c r="S86" s="59"/>
      <x:c r="T86" s="59"/>
      <x:c r="U86" s="59"/>
      <x:c r="V86" s="59"/>
      <x:c r="W86" s="59"/>
      <x:c r="X86" s="59"/>
      <x:c r="Y86" s="59"/>
      <x:c r="Z86" s="59"/>
      <x:c r="AA86" s="59"/>
      <x:c r="AB86" s="59"/>
      <x:c r="AC86" s="59"/>
      <x:c r="AD86" s="59"/>
      <x:c r="AE86" s="59"/>
      <x:c r="AF86" s="59"/>
      <x:c r="AG86" s="59"/>
      <x:c r="AH86" s="59"/>
      <x:c r="AI86" s="59"/>
      <x:c r="AJ86" s="59"/>
      <x:c r="AK86" s="59"/>
      <x:c r="AL86" s="59"/>
      <x:c r="AM86" s="59"/>
      <x:c r="AN86" s="59"/>
    </x:row>
    <x:row r="87">
      <x:c r="A87" s="59"/>
      <x:c r="B87" s="59"/>
      <x:c r="C87" s="59"/>
      <x:c r="D87" s="59"/>
      <x:c r="E87" s="59"/>
      <x:c r="F87" s="59"/>
      <x:c r="G87" s="59"/>
      <x:c r="H87" s="59"/>
      <x:c r="I87" s="59"/>
      <x:c r="J87" s="59"/>
      <x:c r="K87" s="59"/>
      <x:c r="L87" s="59"/>
      <x:c r="M87" s="59"/>
      <x:c r="N87" s="59"/>
      <x:c r="O87" s="59"/>
      <x:c r="P87" s="59"/>
      <x:c r="Q87" s="59"/>
      <x:c r="R87" s="59"/>
      <x:c r="S87" s="59"/>
      <x:c r="T87" s="59"/>
      <x:c r="U87" s="59"/>
      <x:c r="V87" s="59"/>
      <x:c r="W87" s="59"/>
      <x:c r="X87" s="59"/>
      <x:c r="Y87" s="59"/>
      <x:c r="Z87" s="59"/>
      <x:c r="AA87" s="59"/>
      <x:c r="AB87" s="59"/>
      <x:c r="AC87" s="59"/>
      <x:c r="AD87" s="59"/>
      <x:c r="AE87" s="59"/>
      <x:c r="AF87" s="59"/>
      <x:c r="AG87" s="59"/>
      <x:c r="AH87" s="59"/>
      <x:c r="AI87" s="59"/>
      <x:c r="AJ87" s="59"/>
      <x:c r="AK87" s="59"/>
      <x:c r="AL87" s="59"/>
      <x:c r="AM87" s="59"/>
      <x:c r="AN87" s="59"/>
    </x:row>
    <x:row r="88">
      <x:c r="A88" s="59"/>
      <x:c r="B88" s="59"/>
      <x:c r="C88" s="59"/>
      <x:c r="D88" s="59"/>
      <x:c r="E88" s="59"/>
      <x:c r="F88" s="59"/>
      <x:c r="G88" s="59"/>
      <x:c r="H88" s="59"/>
      <x:c r="I88" s="59"/>
      <x:c r="J88" s="59"/>
      <x:c r="K88" s="59"/>
      <x:c r="L88" s="59"/>
      <x:c r="M88" s="59"/>
      <x:c r="N88" s="59"/>
      <x:c r="O88" s="59"/>
      <x:c r="P88" s="59"/>
      <x:c r="Q88" s="59"/>
      <x:c r="R88" s="59"/>
      <x:c r="S88" s="59"/>
      <x:c r="T88" s="59"/>
      <x:c r="U88" s="59"/>
      <x:c r="V88" s="59"/>
      <x:c r="W88" s="59"/>
      <x:c r="X88" s="59"/>
      <x:c r="Y88" s="59"/>
      <x:c r="Z88" s="59"/>
      <x:c r="AA88" s="59"/>
      <x:c r="AB88" s="59"/>
      <x:c r="AC88" s="59"/>
      <x:c r="AD88" s="59"/>
      <x:c r="AE88" s="59"/>
      <x:c r="AF88" s="59"/>
      <x:c r="AG88" s="59"/>
      <x:c r="AH88" s="59"/>
      <x:c r="AI88" s="59"/>
      <x:c r="AJ88" s="59"/>
      <x:c r="AK88" s="59"/>
      <x:c r="AL88" s="59"/>
      <x:c r="AM88" s="59"/>
      <x:c r="AN88" s="59"/>
    </x:row>
    <x:row r="89">
      <x:c r="A89" s="59"/>
      <x:c r="B89" s="59"/>
      <x:c r="C89" s="59"/>
      <x:c r="D89" s="59"/>
      <x:c r="E89" s="59"/>
      <x:c r="F89" s="59"/>
      <x:c r="G89" s="59"/>
      <x:c r="H89" s="59"/>
      <x:c r="I89" s="59"/>
      <x:c r="J89" s="59"/>
      <x:c r="K89" s="59"/>
      <x:c r="L89" s="59"/>
      <x:c r="M89" s="59"/>
      <x:c r="N89" s="59"/>
      <x:c r="O89" s="59"/>
      <x:c r="P89" s="59"/>
      <x:c r="Q89" s="59"/>
      <x:c r="R89" s="59"/>
      <x:c r="S89" s="59"/>
      <x:c r="T89" s="59"/>
      <x:c r="U89" s="59"/>
      <x:c r="V89" s="59"/>
      <x:c r="W89" s="59"/>
      <x:c r="X89" s="59"/>
      <x:c r="Y89" s="59"/>
      <x:c r="Z89" s="59"/>
      <x:c r="AA89" s="59"/>
      <x:c r="AB89" s="59"/>
      <x:c r="AC89" s="59"/>
      <x:c r="AD89" s="59"/>
      <x:c r="AE89" s="59"/>
      <x:c r="AF89" s="59"/>
      <x:c r="AG89" s="59"/>
      <x:c r="AH89" s="59"/>
      <x:c r="AI89" s="59"/>
      <x:c r="AJ89" s="59"/>
      <x:c r="AK89" s="59"/>
      <x:c r="AL89" s="59"/>
      <x:c r="AM89" s="59"/>
      <x:c r="AN89" s="59"/>
    </x:row>
    <x:row r="90">
      <x:c r="A90" s="59"/>
      <x:c r="B90" s="59"/>
      <x:c r="C90" s="59"/>
      <x:c r="D90" s="59"/>
      <x:c r="E90" s="59"/>
      <x:c r="F90" s="59"/>
      <x:c r="G90" s="59"/>
      <x:c r="H90" s="59"/>
      <x:c r="I90" s="59"/>
      <x:c r="J90" s="59"/>
      <x:c r="K90" s="59"/>
      <x:c r="L90" s="59"/>
      <x:c r="M90" s="59"/>
      <x:c r="N90" s="59"/>
      <x:c r="O90" s="59"/>
      <x:c r="P90" s="59"/>
      <x:c r="Q90" s="59"/>
      <x:c r="R90" s="59"/>
      <x:c r="S90" s="59"/>
      <x:c r="T90" s="59"/>
      <x:c r="U90" s="59"/>
      <x:c r="V90" s="59"/>
      <x:c r="W90" s="59"/>
      <x:c r="X90" s="59"/>
      <x:c r="Y90" s="59"/>
      <x:c r="Z90" s="59"/>
      <x:c r="AA90" s="59"/>
      <x:c r="AB90" s="59"/>
      <x:c r="AC90" s="59"/>
      <x:c r="AD90" s="59"/>
      <x:c r="AE90" s="59"/>
      <x:c r="AF90" s="59"/>
      <x:c r="AG90" s="59"/>
      <x:c r="AH90" s="59"/>
      <x:c r="AI90" s="59"/>
      <x:c r="AJ90" s="59"/>
      <x:c r="AK90" s="59"/>
      <x:c r="AL90" s="59"/>
      <x:c r="AM90" s="59"/>
      <x:c r="AN90" s="59"/>
    </x:row>
    <x:row r="91">
      <x:c r="A91" s="59"/>
      <x:c r="B91" s="59"/>
      <x:c r="C91" s="59"/>
      <x:c r="D91" s="59"/>
      <x:c r="E91" s="59"/>
      <x:c r="F91" s="59"/>
      <x:c r="G91" s="59"/>
      <x:c r="H91" s="59"/>
      <x:c r="I91" s="59"/>
      <x:c r="J91" s="59"/>
      <x:c r="K91" s="59"/>
      <x:c r="L91" s="59"/>
      <x:c r="M91" s="59"/>
      <x:c r="N91" s="59"/>
      <x:c r="O91" s="59"/>
      <x:c r="P91" s="59"/>
      <x:c r="Q91" s="59"/>
      <x:c r="R91" s="59"/>
      <x:c r="S91" s="59"/>
      <x:c r="T91" s="59"/>
      <x:c r="U91" s="59"/>
      <x:c r="V91" s="59"/>
      <x:c r="W91" s="59"/>
      <x:c r="X91" s="59"/>
      <x:c r="Y91" s="59"/>
      <x:c r="Z91" s="59"/>
      <x:c r="AA91" s="59"/>
      <x:c r="AB91" s="59"/>
      <x:c r="AC91" s="59"/>
      <x:c r="AD91" s="59"/>
      <x:c r="AE91" s="59"/>
      <x:c r="AF91" s="59"/>
      <x:c r="AG91" s="59"/>
      <x:c r="AH91" s="59"/>
      <x:c r="AI91" s="59"/>
      <x:c r="AJ91" s="59"/>
      <x:c r="AK91" s="59"/>
      <x:c r="AL91" s="59"/>
      <x:c r="AM91" s="59"/>
      <x:c r="AN91" s="59"/>
    </x:row>
    <x:row r="92">
      <x:c r="A92" s="59"/>
      <x:c r="B92" s="59"/>
      <x:c r="C92" s="59"/>
      <x:c r="D92" s="59"/>
      <x:c r="E92" s="59"/>
      <x:c r="F92" s="59"/>
      <x:c r="G92" s="59"/>
      <x:c r="H92" s="59"/>
      <x:c r="I92" s="59"/>
      <x:c r="J92" s="59"/>
      <x:c r="K92" s="59"/>
      <x:c r="L92" s="59"/>
      <x:c r="M92" s="59"/>
      <x:c r="N92" s="59"/>
      <x:c r="O92" s="59"/>
      <x:c r="P92" s="59"/>
      <x:c r="Q92" s="59"/>
      <x:c r="R92" s="59"/>
      <x:c r="S92" s="59"/>
      <x:c r="T92" s="59"/>
      <x:c r="U92" s="59"/>
      <x:c r="V92" s="59"/>
      <x:c r="W92" s="59"/>
      <x:c r="X92" s="59"/>
      <x:c r="Y92" s="59"/>
      <x:c r="Z92" s="59"/>
      <x:c r="AA92" s="59"/>
      <x:c r="AB92" s="59"/>
      <x:c r="AC92" s="59"/>
      <x:c r="AD92" s="59"/>
      <x:c r="AE92" s="59"/>
      <x:c r="AF92" s="59"/>
      <x:c r="AG92" s="59"/>
      <x:c r="AH92" s="59"/>
      <x:c r="AI92" s="59"/>
      <x:c r="AJ92" s="59"/>
      <x:c r="AK92" s="59"/>
      <x:c r="AL92" s="59"/>
      <x:c r="AM92" s="59"/>
      <x:c r="AN92" s="59"/>
    </x:row>
    <x:row r="93">
      <x:c r="A93" s="59"/>
      <x:c r="B93" s="59"/>
      <x:c r="C93" s="59"/>
      <x:c r="D93" s="59"/>
      <x:c r="E93" s="59"/>
      <x:c r="F93" s="59"/>
      <x:c r="G93" s="59"/>
      <x:c r="H93" s="59"/>
      <x:c r="I93" s="59"/>
      <x:c r="J93" s="59"/>
      <x:c r="K93" s="59"/>
      <x:c r="L93" s="59"/>
      <x:c r="M93" s="59"/>
      <x:c r="N93" s="59"/>
      <x:c r="O93" s="59"/>
      <x:c r="P93" s="59"/>
      <x:c r="Q93" s="59"/>
      <x:c r="R93" s="59"/>
      <x:c r="S93" s="59"/>
      <x:c r="T93" s="59"/>
      <x:c r="U93" s="59"/>
      <x:c r="V93" s="59"/>
      <x:c r="W93" s="59"/>
      <x:c r="X93" s="59"/>
      <x:c r="Y93" s="59"/>
      <x:c r="Z93" s="59"/>
      <x:c r="AA93" s="59"/>
      <x:c r="AB93" s="59"/>
      <x:c r="AC93" s="59"/>
      <x:c r="AD93" s="59"/>
      <x:c r="AE93" s="59"/>
      <x:c r="AF93" s="59"/>
      <x:c r="AG93" s="59"/>
      <x:c r="AH93" s="59"/>
      <x:c r="AI93" s="59"/>
      <x:c r="AJ93" s="59"/>
      <x:c r="AK93" s="59"/>
      <x:c r="AL93" s="59"/>
      <x:c r="AM93" s="59"/>
      <x:c r="AN93" s="59"/>
    </x:row>
    <x:row r="94">
      <x:c r="A94" s="59"/>
      <x:c r="B94" s="59"/>
      <x:c r="C94" s="59"/>
      <x:c r="D94" s="59"/>
      <x:c r="E94" s="59"/>
      <x:c r="F94" s="59"/>
      <x:c r="G94" s="59"/>
      <x:c r="H94" s="59"/>
      <x:c r="I94" s="59"/>
      <x:c r="J94" s="59"/>
      <x:c r="K94" s="59"/>
      <x:c r="L94" s="59"/>
      <x:c r="M94" s="59"/>
      <x:c r="N94" s="59"/>
      <x:c r="O94" s="59"/>
      <x:c r="P94" s="59"/>
      <x:c r="Q94" s="59"/>
      <x:c r="R94" s="59"/>
      <x:c r="S94" s="59"/>
      <x:c r="T94" s="59"/>
      <x:c r="U94" s="59"/>
      <x:c r="V94" s="59"/>
      <x:c r="W94" s="59"/>
      <x:c r="X94" s="59"/>
      <x:c r="Y94" s="59"/>
      <x:c r="Z94" s="59"/>
      <x:c r="AA94" s="59"/>
      <x:c r="AB94" s="59"/>
      <x:c r="AC94" s="59"/>
      <x:c r="AD94" s="59"/>
      <x:c r="AE94" s="59"/>
      <x:c r="AF94" s="59"/>
      <x:c r="AG94" s="59"/>
      <x:c r="AH94" s="59"/>
      <x:c r="AI94" s="59"/>
      <x:c r="AJ94" s="59"/>
      <x:c r="AK94" s="59"/>
      <x:c r="AL94" s="59"/>
      <x:c r="AM94" s="59"/>
      <x:c r="AN94" s="59"/>
    </x:row>
    <x:row r="95">
      <x:c r="A95" s="59"/>
      <x:c r="B95" s="59"/>
      <x:c r="C95" s="59"/>
      <x:c r="D95" s="59"/>
      <x:c r="E95" s="59"/>
      <x:c r="F95" s="59"/>
      <x:c r="G95" s="59"/>
      <x:c r="H95" s="59"/>
      <x:c r="I95" s="59"/>
      <x:c r="J95" s="59"/>
      <x:c r="K95" s="59"/>
      <x:c r="L95" s="59"/>
      <x:c r="M95" s="59"/>
      <x:c r="N95" s="59"/>
      <x:c r="O95" s="59"/>
      <x:c r="P95" s="59"/>
      <x:c r="Q95" s="59"/>
      <x:c r="R95" s="59"/>
      <x:c r="S95" s="59"/>
      <x:c r="T95" s="59"/>
      <x:c r="U95" s="59"/>
      <x:c r="V95" s="59"/>
      <x:c r="W95" s="59"/>
      <x:c r="X95" s="59"/>
      <x:c r="Y95" s="59"/>
      <x:c r="Z95" s="59"/>
      <x:c r="AA95" s="59"/>
      <x:c r="AB95" s="59"/>
      <x:c r="AC95" s="59"/>
      <x:c r="AD95" s="59"/>
      <x:c r="AE95" s="59"/>
      <x:c r="AF95" s="59"/>
      <x:c r="AG95" s="59"/>
      <x:c r="AH95" s="59"/>
      <x:c r="AI95" s="59"/>
      <x:c r="AJ95" s="59"/>
      <x:c r="AK95" s="59"/>
      <x:c r="AL95" s="59"/>
      <x:c r="AM95" s="59"/>
      <x:c r="AN95" s="59"/>
    </x:row>
    <x:row r="96">
      <x:c r="A96" s="59"/>
      <x:c r="B96" s="59"/>
      <x:c r="C96" s="59"/>
      <x:c r="D96" s="59"/>
      <x:c r="E96" s="59"/>
      <x:c r="F96" s="59"/>
      <x:c r="G96" s="59"/>
      <x:c r="H96" s="59"/>
      <x:c r="I96" s="59"/>
      <x:c r="J96" s="59"/>
      <x:c r="K96" s="59"/>
      <x:c r="L96" s="59"/>
      <x:c r="M96" s="59"/>
      <x:c r="N96" s="59"/>
      <x:c r="O96" s="59"/>
      <x:c r="P96" s="59"/>
      <x:c r="Q96" s="59"/>
      <x:c r="R96" s="59"/>
      <x:c r="S96" s="59"/>
      <x:c r="T96" s="59"/>
      <x:c r="U96" s="59"/>
      <x:c r="V96" s="59"/>
      <x:c r="W96" s="59"/>
      <x:c r="X96" s="59"/>
      <x:c r="Y96" s="59"/>
      <x:c r="Z96" s="59"/>
      <x:c r="AA96" s="59"/>
      <x:c r="AB96" s="59"/>
      <x:c r="AC96" s="59"/>
      <x:c r="AD96" s="59"/>
      <x:c r="AE96" s="59"/>
      <x:c r="AF96" s="59"/>
      <x:c r="AG96" s="59"/>
      <x:c r="AH96" s="59"/>
      <x:c r="AI96" s="59"/>
      <x:c r="AJ96" s="59"/>
      <x:c r="AK96" s="59"/>
      <x:c r="AL96" s="59"/>
      <x:c r="AM96" s="59"/>
      <x:c r="AN96" s="59"/>
    </x:row>
    <x:row r="97">
      <x:c r="A97" s="59"/>
      <x:c r="B97" s="59"/>
      <x:c r="C97" s="59"/>
      <x:c r="D97" s="59"/>
      <x:c r="E97" s="59"/>
      <x:c r="F97" s="59"/>
      <x:c r="G97" s="59"/>
      <x:c r="H97" s="59"/>
      <x:c r="I97" s="59"/>
      <x:c r="J97" s="59"/>
      <x:c r="K97" s="59"/>
      <x:c r="L97" s="59"/>
      <x:c r="M97" s="59"/>
      <x:c r="N97" s="59"/>
      <x:c r="O97" s="59"/>
      <x:c r="P97" s="59"/>
      <x:c r="Q97" s="59"/>
      <x:c r="R97" s="59"/>
      <x:c r="S97" s="59"/>
      <x:c r="T97" s="59"/>
      <x:c r="U97" s="59"/>
      <x:c r="V97" s="59"/>
      <x:c r="W97" s="59"/>
      <x:c r="X97" s="59"/>
      <x:c r="Y97" s="59"/>
      <x:c r="Z97" s="59"/>
      <x:c r="AA97" s="59"/>
      <x:c r="AB97" s="59"/>
      <x:c r="AC97" s="59"/>
      <x:c r="AD97" s="59"/>
      <x:c r="AE97" s="59"/>
      <x:c r="AF97" s="59"/>
      <x:c r="AG97" s="59"/>
      <x:c r="AH97" s="59"/>
      <x:c r="AI97" s="59"/>
      <x:c r="AJ97" s="59"/>
      <x:c r="AK97" s="59"/>
      <x:c r="AL97" s="59"/>
      <x:c r="AM97" s="59"/>
      <x:c r="AN97" s="59"/>
    </x:row>
    <x:row r="98">
      <x:c r="A98" s="59"/>
      <x:c r="B98" s="59"/>
      <x:c r="C98" s="59"/>
      <x:c r="D98" s="59"/>
      <x:c r="E98" s="59"/>
      <x:c r="F98" s="59"/>
      <x:c r="G98" s="59"/>
      <x:c r="H98" s="59"/>
      <x:c r="I98" s="59"/>
      <x:c r="J98" s="59"/>
      <x:c r="K98" s="59"/>
      <x:c r="L98" s="59"/>
      <x:c r="M98" s="59"/>
      <x:c r="N98" s="59"/>
      <x:c r="O98" s="59"/>
      <x:c r="P98" s="59"/>
      <x:c r="Q98" s="59"/>
      <x:c r="R98" s="59"/>
      <x:c r="S98" s="59"/>
      <x:c r="T98" s="59"/>
      <x:c r="U98" s="59"/>
      <x:c r="V98" s="59"/>
      <x:c r="W98" s="59"/>
      <x:c r="X98" s="59"/>
      <x:c r="Y98" s="59"/>
      <x:c r="Z98" s="59"/>
      <x:c r="AA98" s="59"/>
      <x:c r="AB98" s="59"/>
      <x:c r="AC98" s="59"/>
      <x:c r="AD98" s="59"/>
      <x:c r="AE98" s="59"/>
      <x:c r="AF98" s="59"/>
      <x:c r="AG98" s="59"/>
      <x:c r="AH98" s="59"/>
      <x:c r="AI98" s="59"/>
      <x:c r="AJ98" s="59"/>
      <x:c r="AK98" s="59"/>
      <x:c r="AL98" s="59"/>
      <x:c r="AM98" s="59"/>
      <x:c r="AN98" s="59"/>
    </x:row>
    <x:row r="99">
      <x:c r="A99" s="59"/>
      <x:c r="B99" s="59"/>
      <x:c r="C99" s="59"/>
      <x:c r="D99" s="59"/>
      <x:c r="E99" s="59"/>
      <x:c r="F99" s="59"/>
      <x:c r="G99" s="59"/>
      <x:c r="H99" s="59"/>
      <x:c r="I99" s="59"/>
      <x:c r="J99" s="59"/>
      <x:c r="K99" s="59"/>
      <x:c r="L99" s="59"/>
      <x:c r="M99" s="59"/>
      <x:c r="N99" s="59"/>
      <x:c r="O99" s="59"/>
      <x:c r="P99" s="59"/>
      <x:c r="Q99" s="59"/>
      <x:c r="R99" s="59"/>
      <x:c r="S99" s="59"/>
      <x:c r="T99" s="59"/>
      <x:c r="U99" s="59"/>
      <x:c r="V99" s="59"/>
      <x:c r="W99" s="59"/>
      <x:c r="X99" s="59"/>
      <x:c r="Y99" s="59"/>
      <x:c r="Z99" s="59"/>
      <x:c r="AA99" s="59"/>
      <x:c r="AB99" s="59"/>
      <x:c r="AC99" s="59"/>
      <x:c r="AD99" s="59"/>
      <x:c r="AE99" s="59"/>
      <x:c r="AF99" s="59"/>
      <x:c r="AG99" s="59"/>
      <x:c r="AH99" s="59"/>
      <x:c r="AI99" s="59"/>
      <x:c r="AJ99" s="59"/>
      <x:c r="AK99" s="59"/>
      <x:c r="AL99" s="59"/>
      <x:c r="AM99" s="59"/>
      <x:c r="AN99" s="59"/>
    </x:row>
    <x:row r="100">
      <x:c r="A100" s="59"/>
      <x:c r="B100" s="59"/>
      <x:c r="C100" s="59"/>
      <x:c r="D100" s="59"/>
      <x:c r="E100" s="59"/>
      <x:c r="F100" s="59"/>
      <x:c r="G100" s="59"/>
      <x:c r="H100" s="59"/>
      <x:c r="I100" s="59"/>
      <x:c r="J100" s="59"/>
      <x:c r="K100" s="59"/>
      <x:c r="L100" s="59"/>
      <x:c r="M100" s="59"/>
      <x:c r="N100" s="59"/>
      <x:c r="O100" s="59"/>
      <x:c r="P100" s="59"/>
      <x:c r="Q100" s="59"/>
      <x:c r="R100" s="59"/>
      <x:c r="S100" s="59"/>
      <x:c r="T100" s="59"/>
      <x:c r="U100" s="59"/>
      <x:c r="V100" s="59"/>
      <x:c r="W100" s="59"/>
      <x:c r="X100" s="59"/>
      <x:c r="Y100" s="59"/>
      <x:c r="Z100" s="59"/>
      <x:c r="AA100" s="59"/>
      <x:c r="AB100" s="59"/>
      <x:c r="AC100" s="59"/>
      <x:c r="AD100" s="59"/>
      <x:c r="AE100" s="59"/>
      <x:c r="AF100" s="59"/>
      <x:c r="AG100" s="59"/>
      <x:c r="AH100" s="59"/>
      <x:c r="AI100" s="59"/>
      <x:c r="AJ100" s="59"/>
      <x:c r="AK100" s="59"/>
      <x:c r="AL100" s="59"/>
      <x:c r="AM100" s="59"/>
      <x:c r="AN100" s="59"/>
    </x:row>
    <x:row r="101">
      <x:c r="A101" s="59"/>
      <x:c r="B101" s="59"/>
      <x:c r="C101" s="59"/>
      <x:c r="D101" s="59"/>
      <x:c r="E101" s="59"/>
      <x:c r="F101" s="59"/>
      <x:c r="G101" s="59"/>
      <x:c r="H101" s="59"/>
      <x:c r="I101" s="59"/>
      <x:c r="J101" s="59"/>
      <x:c r="K101" s="59"/>
      <x:c r="L101" s="59"/>
      <x:c r="M101" s="59"/>
      <x:c r="N101" s="59"/>
      <x:c r="O101" s="59"/>
      <x:c r="P101" s="59"/>
      <x:c r="Q101" s="59"/>
      <x:c r="R101" s="59"/>
      <x:c r="S101" s="59"/>
      <x:c r="T101" s="59"/>
      <x:c r="U101" s="59"/>
      <x:c r="V101" s="59"/>
      <x:c r="W101" s="59"/>
      <x:c r="X101" s="59"/>
      <x:c r="Y101" s="59"/>
      <x:c r="Z101" s="59"/>
      <x:c r="AA101" s="59"/>
      <x:c r="AB101" s="59"/>
      <x:c r="AC101" s="59"/>
      <x:c r="AD101" s="59"/>
      <x:c r="AE101" s="59"/>
      <x:c r="AF101" s="59"/>
      <x:c r="AG101" s="59"/>
      <x:c r="AH101" s="59"/>
      <x:c r="AI101" s="59"/>
      <x:c r="AJ101" s="59"/>
      <x:c r="AK101" s="59"/>
      <x:c r="AL101" s="59"/>
      <x:c r="AM101" s="59"/>
      <x:c r="AN101" s="59"/>
    </x:row>
    <x:row r="102">
      <x:c r="A102" s="59"/>
      <x:c r="B102" s="59"/>
      <x:c r="C102" s="59"/>
      <x:c r="D102" s="59"/>
      <x:c r="E102" s="59"/>
      <x:c r="F102" s="59"/>
      <x:c r="G102" s="59"/>
      <x:c r="H102" s="59"/>
      <x:c r="I102" s="59"/>
      <x:c r="J102" s="59"/>
      <x:c r="K102" s="59"/>
      <x:c r="L102" s="59"/>
      <x:c r="M102" s="59"/>
      <x:c r="N102" s="59"/>
      <x:c r="O102" s="59"/>
      <x:c r="P102" s="59"/>
      <x:c r="Q102" s="59"/>
      <x:c r="R102" s="59"/>
      <x:c r="S102" s="59"/>
      <x:c r="T102" s="59"/>
      <x:c r="U102" s="59"/>
      <x:c r="V102" s="59"/>
      <x:c r="W102" s="59"/>
      <x:c r="X102" s="59"/>
      <x:c r="Y102" s="59"/>
      <x:c r="Z102" s="59"/>
      <x:c r="AA102" s="59"/>
      <x:c r="AB102" s="59"/>
      <x:c r="AC102" s="59"/>
      <x:c r="AD102" s="59"/>
      <x:c r="AE102" s="59"/>
      <x:c r="AF102" s="59"/>
      <x:c r="AG102" s="59"/>
      <x:c r="AH102" s="59"/>
      <x:c r="AI102" s="59"/>
      <x:c r="AJ102" s="59"/>
      <x:c r="AK102" s="59"/>
      <x:c r="AL102" s="59"/>
      <x:c r="AM102" s="59"/>
      <x:c r="AN102" s="59"/>
    </x:row>
    <x:row r="103">
      <x:c r="A103" s="59"/>
      <x:c r="B103" s="59"/>
      <x:c r="C103" s="59"/>
      <x:c r="D103" s="59"/>
      <x:c r="E103" s="59"/>
      <x:c r="F103" s="59"/>
      <x:c r="G103" s="59"/>
      <x:c r="H103" s="59"/>
      <x:c r="I103" s="59"/>
      <x:c r="J103" s="59"/>
      <x:c r="K103" s="59"/>
      <x:c r="L103" s="59"/>
      <x:c r="M103" s="59"/>
      <x:c r="N103" s="59"/>
      <x:c r="O103" s="59"/>
      <x:c r="P103" s="59"/>
      <x:c r="Q103" s="59"/>
      <x:c r="R103" s="59"/>
      <x:c r="S103" s="59"/>
      <x:c r="T103" s="59"/>
      <x:c r="U103" s="59"/>
      <x:c r="V103" s="59"/>
      <x:c r="W103" s="59"/>
      <x:c r="X103" s="59"/>
      <x:c r="Y103" s="59"/>
      <x:c r="Z103" s="59"/>
      <x:c r="AA103" s="59"/>
      <x:c r="AB103" s="59"/>
      <x:c r="AC103" s="59"/>
      <x:c r="AD103" s="59"/>
      <x:c r="AE103" s="59"/>
      <x:c r="AF103" s="59"/>
      <x:c r="AG103" s="59"/>
      <x:c r="AH103" s="59"/>
      <x:c r="AI103" s="59"/>
      <x:c r="AJ103" s="59"/>
      <x:c r="AK103" s="59"/>
      <x:c r="AL103" s="59"/>
      <x:c r="AM103" s="59"/>
      <x:c r="AN103" s="59"/>
    </x:row>
    <x:row r="104">
      <x:c r="A104" s="59"/>
      <x:c r="B104" s="59"/>
      <x:c r="C104" s="59"/>
      <x:c r="D104" s="59"/>
      <x:c r="E104" s="59"/>
      <x:c r="F104" s="59"/>
      <x:c r="G104" s="59"/>
      <x:c r="H104" s="59"/>
      <x:c r="I104" s="59"/>
      <x:c r="J104" s="59"/>
      <x:c r="K104" s="59"/>
      <x:c r="L104" s="59"/>
      <x:c r="M104" s="59"/>
      <x:c r="N104" s="59"/>
      <x:c r="O104" s="59"/>
      <x:c r="P104" s="59"/>
      <x:c r="Q104" s="59"/>
      <x:c r="R104" s="59"/>
      <x:c r="S104" s="59"/>
      <x:c r="T104" s="59"/>
      <x:c r="U104" s="59"/>
      <x:c r="V104" s="59"/>
      <x:c r="W104" s="59"/>
      <x:c r="X104" s="59"/>
      <x:c r="Y104" s="59"/>
      <x:c r="Z104" s="59"/>
      <x:c r="AA104" s="59"/>
      <x:c r="AB104" s="59"/>
      <x:c r="AC104" s="59"/>
      <x:c r="AD104" s="59"/>
      <x:c r="AE104" s="59"/>
      <x:c r="AF104" s="59"/>
      <x:c r="AG104" s="59"/>
      <x:c r="AH104" s="59"/>
      <x:c r="AI104" s="59"/>
      <x:c r="AJ104" s="59"/>
      <x:c r="AK104" s="59"/>
      <x:c r="AL104" s="59"/>
      <x:c r="AM104" s="59"/>
      <x:c r="AN104" s="59"/>
    </x:row>
    <x:row r="105">
      <x:c r="A105" s="59"/>
      <x:c r="B105" s="59"/>
      <x:c r="C105" s="59"/>
      <x:c r="D105" s="59"/>
      <x:c r="E105" s="59"/>
      <x:c r="F105" s="59"/>
      <x:c r="G105" s="59"/>
      <x:c r="H105" s="59"/>
      <x:c r="I105" s="59"/>
      <x:c r="J105" s="59"/>
      <x:c r="K105" s="59"/>
      <x:c r="L105" s="59"/>
      <x:c r="M105" s="59"/>
      <x:c r="N105" s="59"/>
      <x:c r="O105" s="59"/>
      <x:c r="P105" s="59"/>
      <x:c r="Q105" s="59"/>
      <x:c r="R105" s="59"/>
      <x:c r="S105" s="59"/>
      <x:c r="T105" s="59"/>
      <x:c r="U105" s="59"/>
      <x:c r="V105" s="59"/>
      <x:c r="W105" s="59"/>
      <x:c r="X105" s="59"/>
      <x:c r="Y105" s="59"/>
      <x:c r="Z105" s="59"/>
      <x:c r="AA105" s="59"/>
      <x:c r="AB105" s="59"/>
      <x:c r="AC105" s="59"/>
      <x:c r="AD105" s="59"/>
      <x:c r="AE105" s="59"/>
      <x:c r="AF105" s="59"/>
      <x:c r="AG105" s="59"/>
      <x:c r="AH105" s="59"/>
      <x:c r="AI105" s="59"/>
      <x:c r="AJ105" s="59"/>
      <x:c r="AK105" s="59"/>
      <x:c r="AL105" s="59"/>
      <x:c r="AM105" s="59"/>
      <x:c r="AN105" s="59"/>
    </x:row>
    <x:row r="106">
      <x:c r="A106" s="59"/>
      <x:c r="B106" s="59"/>
      <x:c r="C106" s="59"/>
      <x:c r="D106" s="59"/>
      <x:c r="E106" s="59"/>
      <x:c r="F106" s="59"/>
      <x:c r="G106" s="59"/>
      <x:c r="H106" s="59"/>
      <x:c r="I106" s="59"/>
      <x:c r="J106" s="59"/>
      <x:c r="K106" s="59"/>
      <x:c r="L106" s="59"/>
      <x:c r="M106" s="59"/>
      <x:c r="N106" s="59"/>
      <x:c r="O106" s="59"/>
      <x:c r="P106" s="59"/>
      <x:c r="Q106" s="59"/>
      <x:c r="R106" s="59"/>
      <x:c r="S106" s="59"/>
      <x:c r="T106" s="59"/>
      <x:c r="U106" s="59"/>
      <x:c r="V106" s="59"/>
      <x:c r="W106" s="59"/>
      <x:c r="X106" s="59"/>
      <x:c r="Y106" s="59"/>
      <x:c r="Z106" s="59"/>
      <x:c r="AA106" s="59"/>
      <x:c r="AB106" s="59"/>
      <x:c r="AC106" s="59"/>
      <x:c r="AD106" s="59"/>
      <x:c r="AE106" s="59"/>
      <x:c r="AF106" s="59"/>
      <x:c r="AG106" s="59"/>
      <x:c r="AH106" s="59"/>
      <x:c r="AI106" s="59"/>
      <x:c r="AJ106" s="59"/>
      <x:c r="AK106" s="59"/>
      <x:c r="AL106" s="59"/>
      <x:c r="AM106" s="59"/>
      <x:c r="AN106" s="59"/>
    </x:row>
    <x:row r="107">
      <x:c r="A107" s="59"/>
      <x:c r="B107" s="59"/>
      <x:c r="C107" s="59"/>
      <x:c r="D107" s="59"/>
      <x:c r="E107" s="59"/>
      <x:c r="F107" s="59"/>
      <x:c r="G107" s="59"/>
      <x:c r="H107" s="59"/>
      <x:c r="I107" s="59"/>
      <x:c r="J107" s="59"/>
      <x:c r="K107" s="59"/>
      <x:c r="L107" s="59"/>
      <x:c r="M107" s="59"/>
      <x:c r="N107" s="59"/>
      <x:c r="O107" s="59"/>
      <x:c r="P107" s="59"/>
      <x:c r="Q107" s="59"/>
      <x:c r="R107" s="59"/>
      <x:c r="S107" s="59"/>
      <x:c r="T107" s="59"/>
      <x:c r="U107" s="59"/>
      <x:c r="V107" s="59"/>
      <x:c r="W107" s="59"/>
      <x:c r="X107" s="59"/>
      <x:c r="Y107" s="59"/>
      <x:c r="Z107" s="59"/>
      <x:c r="AA107" s="59"/>
      <x:c r="AB107" s="59"/>
      <x:c r="AC107" s="59"/>
      <x:c r="AD107" s="59"/>
      <x:c r="AE107" s="59"/>
      <x:c r="AF107" s="59"/>
      <x:c r="AG107" s="59"/>
      <x:c r="AH107" s="59"/>
      <x:c r="AI107" s="59"/>
      <x:c r="AJ107" s="59"/>
      <x:c r="AK107" s="59"/>
      <x:c r="AL107" s="59"/>
      <x:c r="AM107" s="59"/>
      <x:c r="AN107" s="59"/>
    </x:row>
    <x:row r="108">
      <x:c r="A108" s="59"/>
      <x:c r="B108" s="59"/>
      <x:c r="C108" s="59"/>
      <x:c r="D108" s="59"/>
      <x:c r="E108" s="59"/>
      <x:c r="F108" s="59"/>
      <x:c r="G108" s="59"/>
      <x:c r="H108" s="59"/>
      <x:c r="I108" s="59"/>
      <x:c r="J108" s="59"/>
      <x:c r="K108" s="59"/>
      <x:c r="L108" s="59"/>
      <x:c r="M108" s="59"/>
      <x:c r="N108" s="59"/>
      <x:c r="O108" s="59"/>
      <x:c r="P108" s="59"/>
      <x:c r="Q108" s="59"/>
      <x:c r="R108" s="59"/>
      <x:c r="S108" s="59"/>
      <x:c r="T108" s="59"/>
      <x:c r="U108" s="59"/>
      <x:c r="V108" s="59"/>
      <x:c r="W108" s="59"/>
      <x:c r="X108" s="59"/>
      <x:c r="Y108" s="59"/>
      <x:c r="Z108" s="59"/>
      <x:c r="AA108" s="59"/>
      <x:c r="AB108" s="59"/>
      <x:c r="AC108" s="59"/>
      <x:c r="AD108" s="59"/>
      <x:c r="AE108" s="59"/>
      <x:c r="AF108" s="59"/>
      <x:c r="AG108" s="59"/>
      <x:c r="AH108" s="59"/>
      <x:c r="AI108" s="59"/>
      <x:c r="AJ108" s="59"/>
      <x:c r="AK108" s="59"/>
      <x:c r="AL108" s="59"/>
      <x:c r="AM108" s="59"/>
      <x:c r="AN108" s="59"/>
    </x:row>
    <x:row r="109">
      <x:c r="A109" s="59"/>
      <x:c r="B109" s="59"/>
      <x:c r="C109" s="59"/>
      <x:c r="D109" s="59"/>
      <x:c r="E109" s="59"/>
      <x:c r="F109" s="59"/>
      <x:c r="G109" s="59"/>
      <x:c r="H109" s="59"/>
      <x:c r="I109" s="59"/>
      <x:c r="J109" s="59"/>
      <x:c r="K109" s="59"/>
      <x:c r="L109" s="59"/>
      <x:c r="M109" s="59"/>
      <x:c r="N109" s="59"/>
      <x:c r="O109" s="59"/>
      <x:c r="P109" s="59"/>
      <x:c r="Q109" s="59"/>
      <x:c r="R109" s="59"/>
      <x:c r="S109" s="59"/>
      <x:c r="T109" s="59"/>
      <x:c r="U109" s="59"/>
      <x:c r="V109" s="59"/>
      <x:c r="W109" s="59"/>
      <x:c r="X109" s="59"/>
      <x:c r="Y109" s="59"/>
      <x:c r="Z109" s="59"/>
      <x:c r="AA109" s="59"/>
      <x:c r="AB109" s="59"/>
      <x:c r="AC109" s="59"/>
      <x:c r="AD109" s="59"/>
      <x:c r="AE109" s="59"/>
      <x:c r="AF109" s="59"/>
      <x:c r="AG109" s="59"/>
      <x:c r="AH109" s="59"/>
      <x:c r="AI109" s="59"/>
      <x:c r="AJ109" s="59"/>
      <x:c r="AK109" s="59"/>
      <x:c r="AL109" s="59"/>
      <x:c r="AM109" s="59"/>
      <x:c r="AN109" s="59"/>
    </x:row>
    <x:row r="110">
      <x:c r="A110" s="59"/>
      <x:c r="B110" s="59"/>
      <x:c r="C110" s="59"/>
      <x:c r="D110" s="59"/>
      <x:c r="E110" s="59"/>
      <x:c r="F110" s="59"/>
      <x:c r="G110" s="59"/>
      <x:c r="H110" s="59"/>
      <x:c r="I110" s="59"/>
      <x:c r="J110" s="59"/>
      <x:c r="K110" s="59"/>
      <x:c r="L110" s="59"/>
      <x:c r="M110" s="59"/>
      <x:c r="N110" s="59"/>
      <x:c r="O110" s="59"/>
      <x:c r="P110" s="59"/>
      <x:c r="Q110" s="59"/>
      <x:c r="R110" s="59"/>
      <x:c r="S110" s="59"/>
      <x:c r="T110" s="59"/>
      <x:c r="U110" s="59"/>
      <x:c r="V110" s="59"/>
      <x:c r="W110" s="59"/>
      <x:c r="X110" s="59"/>
      <x:c r="Y110" s="59"/>
      <x:c r="Z110" s="59"/>
      <x:c r="AA110" s="59"/>
      <x:c r="AB110" s="59"/>
      <x:c r="AC110" s="59"/>
      <x:c r="AD110" s="59"/>
      <x:c r="AE110" s="59"/>
      <x:c r="AF110" s="59"/>
      <x:c r="AG110" s="59"/>
      <x:c r="AH110" s="59"/>
      <x:c r="AI110" s="59"/>
      <x:c r="AJ110" s="59"/>
      <x:c r="AK110" s="59"/>
      <x:c r="AL110" s="59"/>
      <x:c r="AM110" s="59"/>
      <x:c r="AN110" s="59"/>
    </x:row>
    <x:row r="111">
      <x:c r="A111" s="59"/>
      <x:c r="B111" s="59"/>
      <x:c r="C111" s="59"/>
      <x:c r="D111" s="59"/>
      <x:c r="E111" s="59"/>
      <x:c r="F111" s="59"/>
      <x:c r="G111" s="59"/>
      <x:c r="H111" s="59"/>
      <x:c r="I111" s="59"/>
      <x:c r="J111" s="59"/>
      <x:c r="K111" s="59"/>
      <x:c r="L111" s="59"/>
      <x:c r="M111" s="59"/>
      <x:c r="N111" s="59"/>
      <x:c r="O111" s="59"/>
      <x:c r="P111" s="59"/>
      <x:c r="Q111" s="59"/>
      <x:c r="R111" s="59"/>
      <x:c r="S111" s="59"/>
      <x:c r="T111" s="59"/>
      <x:c r="U111" s="59"/>
      <x:c r="V111" s="59"/>
      <x:c r="W111" s="59"/>
      <x:c r="X111" s="59"/>
      <x:c r="Y111" s="59"/>
      <x:c r="Z111" s="59"/>
      <x:c r="AA111" s="59"/>
      <x:c r="AB111" s="59"/>
      <x:c r="AC111" s="59"/>
      <x:c r="AD111" s="59"/>
      <x:c r="AE111" s="59"/>
      <x:c r="AF111" s="59"/>
      <x:c r="AG111" s="59"/>
      <x:c r="AH111" s="59"/>
      <x:c r="AI111" s="59"/>
      <x:c r="AJ111" s="59"/>
      <x:c r="AK111" s="59"/>
      <x:c r="AL111" s="59"/>
      <x:c r="AM111" s="59"/>
      <x:c r="AN111" s="59"/>
    </x:row>
    <x:row r="112">
      <x:c r="A112" s="59"/>
      <x:c r="B112" s="59"/>
      <x:c r="C112" s="59"/>
      <x:c r="D112" s="59"/>
      <x:c r="E112" s="59"/>
      <x:c r="F112" s="59"/>
      <x:c r="G112" s="59"/>
      <x:c r="H112" s="59"/>
      <x:c r="I112" s="59"/>
      <x:c r="J112" s="59"/>
      <x:c r="K112" s="59"/>
      <x:c r="L112" s="59"/>
      <x:c r="M112" s="59"/>
      <x:c r="N112" s="59"/>
      <x:c r="O112" s="59"/>
      <x:c r="P112" s="59"/>
      <x:c r="Q112" s="59"/>
      <x:c r="R112" s="59"/>
      <x:c r="S112" s="59"/>
      <x:c r="T112" s="59"/>
      <x:c r="U112" s="59"/>
      <x:c r="V112" s="59"/>
      <x:c r="W112" s="59"/>
      <x:c r="X112" s="59"/>
      <x:c r="Y112" s="59"/>
      <x:c r="Z112" s="59"/>
      <x:c r="AA112" s="59"/>
      <x:c r="AB112" s="59"/>
      <x:c r="AC112" s="59"/>
      <x:c r="AD112" s="59"/>
      <x:c r="AE112" s="59"/>
      <x:c r="AF112" s="59"/>
      <x:c r="AG112" s="59"/>
      <x:c r="AH112" s="59"/>
      <x:c r="AI112" s="59"/>
      <x:c r="AJ112" s="59"/>
      <x:c r="AK112" s="59"/>
      <x:c r="AL112" s="59"/>
      <x:c r="AM112" s="59"/>
      <x:c r="AN112" s="59"/>
    </x:row>
    <x:row r="113">
      <x:c r="A113" s="59"/>
      <x:c r="B113" s="59"/>
      <x:c r="C113" s="59"/>
      <x:c r="D113" s="59"/>
      <x:c r="E113" s="59"/>
      <x:c r="F113" s="59"/>
      <x:c r="G113" s="59"/>
      <x:c r="H113" s="59"/>
      <x:c r="I113" s="59"/>
      <x:c r="J113" s="59"/>
      <x:c r="K113" s="59"/>
      <x:c r="L113" s="59"/>
      <x:c r="M113" s="59"/>
      <x:c r="N113" s="59"/>
      <x:c r="O113" s="59"/>
      <x:c r="P113" s="59"/>
      <x:c r="Q113" s="59"/>
      <x:c r="R113" s="59"/>
      <x:c r="S113" s="59"/>
      <x:c r="T113" s="59"/>
      <x:c r="U113" s="59"/>
      <x:c r="V113" s="59"/>
      <x:c r="W113" s="59"/>
      <x:c r="X113" s="59"/>
      <x:c r="Y113" s="59"/>
      <x:c r="Z113" s="59"/>
      <x:c r="AA113" s="59"/>
      <x:c r="AB113" s="59"/>
      <x:c r="AC113" s="59"/>
      <x:c r="AD113" s="59"/>
      <x:c r="AE113" s="59"/>
      <x:c r="AF113" s="59"/>
      <x:c r="AG113" s="59"/>
      <x:c r="AH113" s="59"/>
      <x:c r="AI113" s="59"/>
      <x:c r="AJ113" s="59"/>
      <x:c r="AK113" s="59"/>
      <x:c r="AL113" s="59"/>
      <x:c r="AM113" s="59"/>
      <x:c r="AN113" s="59"/>
    </x:row>
    <x:row r="114">
      <x:c r="A114" s="59"/>
      <x:c r="B114" s="59"/>
      <x:c r="C114" s="59"/>
      <x:c r="D114" s="59"/>
      <x:c r="E114" s="59"/>
      <x:c r="F114" s="59"/>
      <x:c r="G114" s="59"/>
      <x:c r="H114" s="59"/>
      <x:c r="I114" s="59"/>
      <x:c r="J114" s="59"/>
      <x:c r="K114" s="59"/>
      <x:c r="L114" s="59"/>
      <x:c r="M114" s="59"/>
      <x:c r="N114" s="59"/>
      <x:c r="O114" s="59"/>
      <x:c r="P114" s="59"/>
      <x:c r="Q114" s="59"/>
      <x:c r="R114" s="59"/>
      <x:c r="S114" s="59"/>
      <x:c r="T114" s="59"/>
      <x:c r="U114" s="59"/>
      <x:c r="V114" s="59"/>
      <x:c r="W114" s="59"/>
      <x:c r="X114" s="59"/>
      <x:c r="Y114" s="59"/>
      <x:c r="Z114" s="59"/>
      <x:c r="AA114" s="59"/>
      <x:c r="AB114" s="59"/>
      <x:c r="AC114" s="59"/>
      <x:c r="AD114" s="59"/>
      <x:c r="AE114" s="59"/>
      <x:c r="AF114" s="59"/>
      <x:c r="AG114" s="59"/>
      <x:c r="AH114" s="59"/>
      <x:c r="AI114" s="59"/>
      <x:c r="AJ114" s="59"/>
      <x:c r="AK114" s="59"/>
      <x:c r="AL114" s="59"/>
      <x:c r="AM114" s="59"/>
      <x:c r="AN114" s="59"/>
    </x:row>
    <x:row r="115">
      <x:c r="A115" s="59"/>
      <x:c r="B115" s="59"/>
      <x:c r="C115" s="59"/>
      <x:c r="D115" s="59"/>
      <x:c r="E115" s="59"/>
      <x:c r="F115" s="59"/>
      <x:c r="G115" s="59"/>
      <x:c r="H115" s="59"/>
      <x:c r="I115" s="59"/>
      <x:c r="J115" s="59"/>
      <x:c r="K115" s="59"/>
      <x:c r="L115" s="59"/>
      <x:c r="M115" s="59"/>
      <x:c r="N115" s="59"/>
      <x:c r="O115" s="59"/>
      <x:c r="P115" s="59"/>
      <x:c r="Q115" s="59"/>
      <x:c r="R115" s="59"/>
      <x:c r="S115" s="59"/>
      <x:c r="T115" s="59"/>
      <x:c r="U115" s="59"/>
      <x:c r="V115" s="59"/>
      <x:c r="W115" s="59"/>
      <x:c r="X115" s="59"/>
      <x:c r="Y115" s="59"/>
      <x:c r="Z115" s="59"/>
      <x:c r="AA115" s="59"/>
      <x:c r="AB115" s="59"/>
      <x:c r="AC115" s="59"/>
      <x:c r="AD115" s="59"/>
      <x:c r="AE115" s="59"/>
      <x:c r="AF115" s="59"/>
      <x:c r="AG115" s="59"/>
      <x:c r="AH115" s="59"/>
      <x:c r="AI115" s="59"/>
      <x:c r="AJ115" s="59"/>
      <x:c r="AK115" s="59"/>
      <x:c r="AL115" s="59"/>
      <x:c r="AM115" s="59"/>
      <x:c r="AN115" s="59"/>
    </x:row>
    <x:row r="116">
      <x:c r="A116" s="59"/>
      <x:c r="B116" s="59"/>
      <x:c r="C116" s="59"/>
      <x:c r="D116" s="59"/>
      <x:c r="E116" s="59"/>
      <x:c r="F116" s="59"/>
      <x:c r="G116" s="59"/>
      <x:c r="H116" s="59"/>
      <x:c r="I116" s="59"/>
      <x:c r="J116" s="59"/>
      <x:c r="K116" s="59"/>
      <x:c r="L116" s="59"/>
      <x:c r="M116" s="59"/>
      <x:c r="N116" s="59"/>
      <x:c r="O116" s="59"/>
      <x:c r="P116" s="59"/>
      <x:c r="Q116" s="59"/>
      <x:c r="R116" s="59"/>
      <x:c r="S116" s="59"/>
      <x:c r="T116" s="59"/>
      <x:c r="U116" s="59"/>
      <x:c r="V116" s="59"/>
      <x:c r="W116" s="59"/>
      <x:c r="X116" s="59"/>
      <x:c r="Y116" s="59"/>
      <x:c r="Z116" s="59"/>
      <x:c r="AA116" s="59"/>
      <x:c r="AB116" s="59"/>
      <x:c r="AC116" s="59"/>
      <x:c r="AD116" s="59"/>
      <x:c r="AE116" s="59"/>
      <x:c r="AF116" s="59"/>
      <x:c r="AG116" s="59"/>
      <x:c r="AH116" s="59"/>
      <x:c r="AI116" s="59"/>
      <x:c r="AJ116" s="59"/>
      <x:c r="AK116" s="59"/>
      <x:c r="AL116" s="59"/>
      <x:c r="AM116" s="59"/>
      <x:c r="AN116" s="59"/>
    </x:row>
    <x:row r="117">
      <x:c r="A117" s="59"/>
      <x:c r="B117" s="59"/>
      <x:c r="C117" s="59"/>
      <x:c r="D117" s="59"/>
      <x:c r="E117" s="59"/>
      <x:c r="F117" s="59"/>
      <x:c r="G117" s="59"/>
      <x:c r="H117" s="59"/>
      <x:c r="I117" s="59"/>
      <x:c r="J117" s="59"/>
      <x:c r="K117" s="59"/>
      <x:c r="L117" s="59"/>
      <x:c r="M117" s="59"/>
      <x:c r="N117" s="59"/>
      <x:c r="O117" s="59"/>
      <x:c r="P117" s="59"/>
      <x:c r="Q117" s="59"/>
      <x:c r="R117" s="59"/>
      <x:c r="S117" s="59"/>
      <x:c r="T117" s="59"/>
      <x:c r="U117" s="59"/>
      <x:c r="V117" s="59"/>
      <x:c r="W117" s="59"/>
      <x:c r="X117" s="59"/>
      <x:c r="Y117" s="59"/>
      <x:c r="Z117" s="59"/>
      <x:c r="AA117" s="59"/>
      <x:c r="AB117" s="59"/>
      <x:c r="AC117" s="59"/>
      <x:c r="AD117" s="59"/>
      <x:c r="AE117" s="59"/>
      <x:c r="AF117" s="59"/>
      <x:c r="AG117" s="59"/>
      <x:c r="AH117" s="59"/>
      <x:c r="AI117" s="59"/>
      <x:c r="AJ117" s="59"/>
      <x:c r="AK117" s="59"/>
      <x:c r="AL117" s="59"/>
      <x:c r="AM117" s="59"/>
      <x:c r="AN117" s="59"/>
    </x:row>
    <x:row r="118">
      <x:c r="A118" s="59"/>
      <x:c r="B118" s="59"/>
      <x:c r="C118" s="59"/>
      <x:c r="D118" s="59"/>
      <x:c r="E118" s="59"/>
      <x:c r="F118" s="59"/>
      <x:c r="G118" s="59"/>
      <x:c r="H118" s="59"/>
      <x:c r="I118" s="59"/>
      <x:c r="J118" s="59"/>
      <x:c r="K118" s="59"/>
      <x:c r="L118" s="59"/>
      <x:c r="M118" s="59"/>
      <x:c r="N118" s="59"/>
      <x:c r="O118" s="59"/>
      <x:c r="P118" s="59"/>
      <x:c r="Q118" s="59"/>
      <x:c r="R118" s="59"/>
      <x:c r="S118" s="59"/>
      <x:c r="T118" s="59"/>
      <x:c r="U118" s="59"/>
      <x:c r="V118" s="59"/>
      <x:c r="W118" s="59"/>
      <x:c r="X118" s="59"/>
      <x:c r="Y118" s="59"/>
      <x:c r="Z118" s="59"/>
      <x:c r="AA118" s="59"/>
      <x:c r="AB118" s="59"/>
      <x:c r="AC118" s="59"/>
      <x:c r="AD118" s="59"/>
      <x:c r="AE118" s="59"/>
      <x:c r="AF118" s="59"/>
      <x:c r="AG118" s="59"/>
      <x:c r="AH118" s="59"/>
      <x:c r="AI118" s="59"/>
      <x:c r="AJ118" s="59"/>
      <x:c r="AK118" s="59"/>
      <x:c r="AL118" s="59"/>
      <x:c r="AM118" s="59"/>
      <x:c r="AN118" s="59"/>
    </x:row>
    <x:row r="119">
      <x:c r="A119" s="59"/>
      <x:c r="B119" s="59"/>
      <x:c r="C119" s="59"/>
      <x:c r="D119" s="59"/>
      <x:c r="E119" s="59"/>
      <x:c r="F119" s="59"/>
      <x:c r="G119" s="59"/>
      <x:c r="H119" s="59"/>
      <x:c r="I119" s="59"/>
      <x:c r="J119" s="59"/>
      <x:c r="K119" s="59"/>
      <x:c r="L119" s="59"/>
      <x:c r="M119" s="59"/>
      <x:c r="N119" s="59"/>
      <x:c r="O119" s="59"/>
      <x:c r="P119" s="59"/>
      <x:c r="Q119" s="59"/>
      <x:c r="R119" s="59"/>
      <x:c r="S119" s="59"/>
      <x:c r="T119" s="59"/>
      <x:c r="U119" s="59"/>
      <x:c r="V119" s="59"/>
      <x:c r="W119" s="59"/>
      <x:c r="X119" s="59"/>
      <x:c r="Y119" s="59"/>
      <x:c r="Z119" s="59"/>
      <x:c r="AA119" s="59"/>
      <x:c r="AB119" s="59"/>
      <x:c r="AC119" s="59"/>
      <x:c r="AD119" s="59"/>
      <x:c r="AE119" s="59"/>
      <x:c r="AF119" s="59"/>
      <x:c r="AG119" s="59"/>
      <x:c r="AH119" s="59"/>
      <x:c r="AI119" s="59"/>
      <x:c r="AJ119" s="59"/>
      <x:c r="AK119" s="59"/>
      <x:c r="AL119" s="59"/>
      <x:c r="AM119" s="59"/>
      <x:c r="AN119" s="59"/>
    </x:row>
    <x:row r="120">
      <x:c r="A120" s="59"/>
      <x:c r="B120" s="59"/>
      <x:c r="C120" s="59"/>
      <x:c r="D120" s="59"/>
      <x:c r="E120" s="59"/>
      <x:c r="F120" s="59"/>
      <x:c r="G120" s="59"/>
      <x:c r="H120" s="59"/>
      <x:c r="I120" s="59"/>
      <x:c r="J120" s="59"/>
      <x:c r="K120" s="59"/>
      <x:c r="L120" s="59"/>
      <x:c r="M120" s="59"/>
      <x:c r="N120" s="59"/>
      <x:c r="O120" s="59"/>
      <x:c r="P120" s="59"/>
      <x:c r="Q120" s="59"/>
      <x:c r="R120" s="59"/>
      <x:c r="S120" s="59"/>
      <x:c r="T120" s="59"/>
      <x:c r="U120" s="59"/>
      <x:c r="V120" s="59"/>
      <x:c r="W120" s="59"/>
      <x:c r="X120" s="59"/>
      <x:c r="Y120" s="59"/>
      <x:c r="Z120" s="59"/>
      <x:c r="AA120" s="59"/>
      <x:c r="AB120" s="59"/>
      <x:c r="AC120" s="59"/>
      <x:c r="AD120" s="59"/>
      <x:c r="AE120" s="59"/>
      <x:c r="AF120" s="59"/>
      <x:c r="AG120" s="59"/>
      <x:c r="AH120" s="59"/>
      <x:c r="AI120" s="59"/>
      <x:c r="AJ120" s="59"/>
      <x:c r="AK120" s="59"/>
      <x:c r="AL120" s="59"/>
      <x:c r="AM120" s="59"/>
      <x:c r="AN120" s="59"/>
    </x:row>
    <x:row r="121">
      <x:c r="A121" s="59"/>
      <x:c r="B121" s="59"/>
      <x:c r="C121" s="59"/>
      <x:c r="D121" s="59"/>
      <x:c r="E121" s="59"/>
      <x:c r="F121" s="59"/>
      <x:c r="G121" s="59"/>
      <x:c r="H121" s="59"/>
      <x:c r="I121" s="59"/>
      <x:c r="J121" s="59"/>
      <x:c r="K121" s="59"/>
      <x:c r="L121" s="59"/>
      <x:c r="M121" s="59"/>
      <x:c r="N121" s="59"/>
      <x:c r="O121" s="59"/>
      <x:c r="P121" s="59"/>
      <x:c r="Q121" s="59"/>
      <x:c r="R121" s="59"/>
      <x:c r="S121" s="59"/>
      <x:c r="T121" s="59"/>
      <x:c r="U121" s="59"/>
      <x:c r="V121" s="59"/>
      <x:c r="W121" s="59"/>
      <x:c r="X121" s="59"/>
      <x:c r="Y121" s="59"/>
      <x:c r="Z121" s="59"/>
      <x:c r="AA121" s="59"/>
      <x:c r="AB121" s="59"/>
      <x:c r="AC121" s="59"/>
      <x:c r="AD121" s="59"/>
      <x:c r="AE121" s="59"/>
      <x:c r="AF121" s="59"/>
      <x:c r="AG121" s="59"/>
      <x:c r="AH121" s="59"/>
      <x:c r="AI121" s="59"/>
      <x:c r="AJ121" s="59"/>
      <x:c r="AK121" s="59"/>
      <x:c r="AL121" s="59"/>
      <x:c r="AM121" s="59"/>
      <x:c r="AN121" s="59"/>
    </x:row>
    <x:row r="122">
      <x:c r="A122" s="59"/>
      <x:c r="B122" s="59"/>
      <x:c r="C122" s="59"/>
      <x:c r="D122" s="59"/>
      <x:c r="E122" s="59"/>
      <x:c r="F122" s="59"/>
      <x:c r="G122" s="59"/>
      <x:c r="H122" s="59"/>
      <x:c r="I122" s="59"/>
      <x:c r="J122" s="59"/>
      <x:c r="K122" s="59"/>
      <x:c r="L122" s="59"/>
      <x:c r="M122" s="59"/>
      <x:c r="N122" s="59"/>
      <x:c r="O122" s="59"/>
      <x:c r="P122" s="59"/>
      <x:c r="Q122" s="59"/>
      <x:c r="R122" s="59"/>
      <x:c r="S122" s="59"/>
      <x:c r="T122" s="59"/>
      <x:c r="U122" s="59"/>
      <x:c r="V122" s="59"/>
      <x:c r="W122" s="59"/>
      <x:c r="X122" s="59"/>
      <x:c r="Y122" s="59"/>
      <x:c r="Z122" s="59"/>
      <x:c r="AA122" s="59"/>
      <x:c r="AB122" s="59"/>
      <x:c r="AC122" s="59"/>
      <x:c r="AD122" s="59"/>
      <x:c r="AE122" s="59"/>
      <x:c r="AF122" s="59"/>
      <x:c r="AG122" s="59"/>
      <x:c r="AH122" s="59"/>
      <x:c r="AI122" s="59"/>
      <x:c r="AJ122" s="59"/>
      <x:c r="AK122" s="59"/>
      <x:c r="AL122" s="59"/>
      <x:c r="AM122" s="59"/>
      <x:c r="AN122" s="59"/>
    </x:row>
    <x:row r="123">
      <x:c r="A123" s="59"/>
      <x:c r="B123" s="59"/>
      <x:c r="C123" s="59"/>
      <x:c r="D123" s="59"/>
      <x:c r="E123" s="59"/>
      <x:c r="F123" s="59"/>
      <x:c r="G123" s="59"/>
      <x:c r="H123" s="59"/>
      <x:c r="I123" s="59"/>
      <x:c r="J123" s="59"/>
      <x:c r="K123" s="59"/>
      <x:c r="L123" s="59"/>
      <x:c r="M123" s="59"/>
      <x:c r="N123" s="59"/>
      <x:c r="O123" s="59"/>
      <x:c r="P123" s="59"/>
      <x:c r="Q123" s="59"/>
      <x:c r="R123" s="59"/>
      <x:c r="S123" s="59"/>
      <x:c r="T123" s="59"/>
      <x:c r="U123" s="59"/>
      <x:c r="V123" s="59"/>
      <x:c r="W123" s="59"/>
      <x:c r="X123" s="59"/>
      <x:c r="Y123" s="59"/>
      <x:c r="Z123" s="59"/>
      <x:c r="AA123" s="59"/>
      <x:c r="AB123" s="59"/>
      <x:c r="AC123" s="59"/>
      <x:c r="AD123" s="59"/>
      <x:c r="AE123" s="59"/>
      <x:c r="AF123" s="59"/>
      <x:c r="AG123" s="59"/>
      <x:c r="AH123" s="59"/>
      <x:c r="AI123" s="59"/>
      <x:c r="AJ123" s="59"/>
      <x:c r="AK123" s="59"/>
      <x:c r="AL123" s="59"/>
      <x:c r="AM123" s="59"/>
      <x:c r="AN123" s="59"/>
    </x:row>
    <x:row r="124">
      <x:c r="A124" s="59"/>
      <x:c r="B124" s="59"/>
      <x:c r="C124" s="59"/>
      <x:c r="D124" s="59"/>
      <x:c r="E124" s="59"/>
      <x:c r="F124" s="59"/>
      <x:c r="G124" s="59"/>
      <x:c r="H124" s="59"/>
      <x:c r="I124" s="59"/>
      <x:c r="J124" s="59"/>
      <x:c r="K124" s="59"/>
      <x:c r="L124" s="59"/>
      <x:c r="M124" s="59"/>
      <x:c r="N124" s="59"/>
      <x:c r="O124" s="59"/>
      <x:c r="P124" s="59"/>
      <x:c r="Q124" s="59"/>
      <x:c r="R124" s="59"/>
      <x:c r="S124" s="59"/>
      <x:c r="T124" s="59"/>
      <x:c r="U124" s="59"/>
      <x:c r="V124" s="59"/>
      <x:c r="W124" s="59"/>
      <x:c r="X124" s="59"/>
      <x:c r="Y124" s="59"/>
      <x:c r="Z124" s="59"/>
      <x:c r="AA124" s="59"/>
      <x:c r="AB124" s="59"/>
      <x:c r="AC124" s="59"/>
      <x:c r="AD124" s="59"/>
      <x:c r="AE124" s="59"/>
      <x:c r="AF124" s="59"/>
      <x:c r="AG124" s="59"/>
      <x:c r="AH124" s="59"/>
      <x:c r="AI124" s="59"/>
      <x:c r="AJ124" s="59"/>
      <x:c r="AK124" s="59"/>
      <x:c r="AL124" s="59"/>
      <x:c r="AM124" s="59"/>
      <x:c r="AN124" s="59"/>
    </x:row>
    <x:row r="125">
      <x:c r="A125" s="59"/>
      <x:c r="B125" s="59"/>
      <x:c r="C125" s="59"/>
      <x:c r="D125" s="59"/>
      <x:c r="E125" s="59"/>
      <x:c r="F125" s="59"/>
      <x:c r="G125" s="59"/>
      <x:c r="H125" s="59"/>
      <x:c r="I125" s="59"/>
      <x:c r="J125" s="59"/>
      <x:c r="K125" s="59"/>
      <x:c r="L125" s="59"/>
      <x:c r="M125" s="59"/>
      <x:c r="N125" s="59"/>
      <x:c r="O125" s="59"/>
      <x:c r="P125" s="59"/>
      <x:c r="Q125" s="59"/>
      <x:c r="R125" s="59"/>
      <x:c r="S125" s="59"/>
      <x:c r="T125" s="59"/>
      <x:c r="U125" s="59"/>
      <x:c r="V125" s="59"/>
      <x:c r="W125" s="59"/>
      <x:c r="X125" s="59"/>
      <x:c r="Y125" s="59"/>
      <x:c r="Z125" s="59"/>
      <x:c r="AA125" s="59"/>
      <x:c r="AB125" s="59"/>
      <x:c r="AC125" s="59"/>
      <x:c r="AD125" s="59"/>
      <x:c r="AE125" s="59"/>
      <x:c r="AF125" s="59"/>
      <x:c r="AG125" s="59"/>
      <x:c r="AH125" s="59"/>
      <x:c r="AI125" s="59"/>
      <x:c r="AJ125" s="59"/>
      <x:c r="AK125" s="59"/>
      <x:c r="AL125" s="59"/>
      <x:c r="AM125" s="59"/>
      <x:c r="AN125" s="59"/>
    </x:row>
    <x:row r="126">
      <x:c r="A126" s="59"/>
      <x:c r="B126" s="59"/>
      <x:c r="C126" s="59"/>
      <x:c r="D126" s="59"/>
      <x:c r="E126" s="59"/>
      <x:c r="F126" s="59"/>
      <x:c r="G126" s="59"/>
      <x:c r="H126" s="59"/>
      <x:c r="I126" s="59"/>
      <x:c r="J126" s="59"/>
      <x:c r="K126" s="59"/>
      <x:c r="L126" s="59"/>
      <x:c r="M126" s="59"/>
      <x:c r="N126" s="59"/>
      <x:c r="O126" s="59"/>
      <x:c r="P126" s="59"/>
      <x:c r="Q126" s="59"/>
      <x:c r="R126" s="59"/>
      <x:c r="S126" s="59"/>
      <x:c r="T126" s="59"/>
      <x:c r="U126" s="59"/>
      <x:c r="V126" s="59"/>
      <x:c r="W126" s="59"/>
      <x:c r="X126" s="59"/>
      <x:c r="Y126" s="59"/>
      <x:c r="Z126" s="59"/>
      <x:c r="AA126" s="59"/>
      <x:c r="AB126" s="59"/>
      <x:c r="AC126" s="59"/>
      <x:c r="AD126" s="59"/>
      <x:c r="AE126" s="59"/>
      <x:c r="AF126" s="59"/>
      <x:c r="AG126" s="59"/>
      <x:c r="AH126" s="59"/>
      <x:c r="AI126" s="59"/>
      <x:c r="AJ126" s="59"/>
      <x:c r="AK126" s="59"/>
      <x:c r="AL126" s="59"/>
      <x:c r="AM126" s="59"/>
      <x:c r="AN126" s="59"/>
    </x:row>
    <x:row r="127">
      <x:c r="A127" s="59"/>
      <x:c r="B127" s="59"/>
      <x:c r="C127" s="59"/>
      <x:c r="D127" s="59"/>
      <x:c r="E127" s="59"/>
      <x:c r="F127" s="59"/>
      <x:c r="G127" s="59"/>
      <x:c r="H127" s="59"/>
      <x:c r="I127" s="59"/>
      <x:c r="J127" s="59"/>
      <x:c r="K127" s="59"/>
      <x:c r="L127" s="59"/>
      <x:c r="M127" s="59"/>
      <x:c r="N127" s="59"/>
      <x:c r="O127" s="59"/>
      <x:c r="P127" s="59"/>
      <x:c r="Q127" s="59"/>
      <x:c r="R127" s="59"/>
      <x:c r="S127" s="59"/>
      <x:c r="T127" s="59"/>
      <x:c r="U127" s="59"/>
      <x:c r="V127" s="59"/>
      <x:c r="W127" s="59"/>
      <x:c r="X127" s="59"/>
      <x:c r="Y127" s="59"/>
      <x:c r="Z127" s="59"/>
      <x:c r="AA127" s="59"/>
      <x:c r="AB127" s="59"/>
      <x:c r="AC127" s="59"/>
      <x:c r="AD127" s="59"/>
      <x:c r="AE127" s="59"/>
      <x:c r="AF127" s="59"/>
      <x:c r="AG127" s="59"/>
      <x:c r="AH127" s="59"/>
      <x:c r="AI127" s="59"/>
      <x:c r="AJ127" s="59"/>
      <x:c r="AK127" s="59"/>
      <x:c r="AL127" s="59"/>
      <x:c r="AM127" s="59"/>
      <x:c r="AN127" s="59"/>
    </x:row>
    <x:row r="128">
      <x:c r="A128" s="59"/>
      <x:c r="B128" s="59"/>
      <x:c r="C128" s="59"/>
      <x:c r="D128" s="59"/>
      <x:c r="E128" s="59"/>
      <x:c r="F128" s="59"/>
      <x:c r="G128" s="59"/>
      <x:c r="H128" s="59"/>
      <x:c r="I128" s="59"/>
      <x:c r="J128" s="59"/>
      <x:c r="K128" s="59"/>
      <x:c r="L128" s="59"/>
      <x:c r="M128" s="59"/>
      <x:c r="N128" s="59"/>
      <x:c r="O128" s="59"/>
      <x:c r="P128" s="59"/>
      <x:c r="Q128" s="59"/>
      <x:c r="R128" s="59"/>
      <x:c r="S128" s="59"/>
      <x:c r="T128" s="59"/>
      <x:c r="U128" s="59"/>
      <x:c r="V128" s="59"/>
      <x:c r="W128" s="59"/>
      <x:c r="X128" s="59"/>
      <x:c r="Y128" s="59"/>
      <x:c r="Z128" s="59"/>
      <x:c r="AA128" s="59"/>
      <x:c r="AB128" s="59"/>
      <x:c r="AC128" s="59"/>
      <x:c r="AD128" s="59"/>
      <x:c r="AE128" s="59"/>
      <x:c r="AF128" s="59"/>
      <x:c r="AG128" s="59"/>
      <x:c r="AH128" s="59"/>
      <x:c r="AI128" s="59"/>
      <x:c r="AJ128" s="59"/>
      <x:c r="AK128" s="59"/>
      <x:c r="AL128" s="59"/>
      <x:c r="AM128" s="59"/>
      <x:c r="AN128" s="59"/>
    </x:row>
    <x:row r="129">
      <x:c r="A129" s="59"/>
      <x:c r="B129" s="59"/>
      <x:c r="C129" s="59"/>
      <x:c r="D129" s="59"/>
      <x:c r="E129" s="59"/>
      <x:c r="F129" s="59"/>
      <x:c r="G129" s="59"/>
      <x:c r="H129" s="59"/>
      <x:c r="I129" s="59"/>
      <x:c r="J129" s="59"/>
      <x:c r="K129" s="59"/>
      <x:c r="L129" s="59"/>
      <x:c r="M129" s="59"/>
      <x:c r="N129" s="59"/>
      <x:c r="O129" s="59"/>
      <x:c r="P129" s="59"/>
      <x:c r="Q129" s="59"/>
      <x:c r="R129" s="59"/>
      <x:c r="S129" s="59"/>
      <x:c r="T129" s="59"/>
      <x:c r="U129" s="59"/>
      <x:c r="V129" s="59"/>
      <x:c r="W129" s="59"/>
      <x:c r="X129" s="59"/>
      <x:c r="Y129" s="59"/>
      <x:c r="Z129" s="59"/>
      <x:c r="AA129" s="59"/>
      <x:c r="AB129" s="59"/>
      <x:c r="AC129" s="59"/>
      <x:c r="AD129" s="59"/>
      <x:c r="AE129" s="59"/>
      <x:c r="AF129" s="59"/>
      <x:c r="AG129" s="59"/>
      <x:c r="AH129" s="59"/>
      <x:c r="AI129" s="59"/>
      <x:c r="AJ129" s="59"/>
      <x:c r="AK129" s="59"/>
      <x:c r="AL129" s="59"/>
      <x:c r="AM129" s="59"/>
      <x:c r="AN129" s="59"/>
    </x:row>
    <x:row r="130">
      <x:c r="A130" s="59"/>
      <x:c r="B130" s="59"/>
      <x:c r="C130" s="59"/>
      <x:c r="D130" s="59"/>
      <x:c r="E130" s="59"/>
      <x:c r="F130" s="59"/>
      <x:c r="G130" s="59"/>
      <x:c r="H130" s="59"/>
      <x:c r="I130" s="59"/>
      <x:c r="J130" s="59"/>
      <x:c r="K130" s="59"/>
      <x:c r="L130" s="59"/>
      <x:c r="M130" s="59"/>
      <x:c r="N130" s="59"/>
      <x:c r="O130" s="59"/>
      <x:c r="P130" s="59"/>
      <x:c r="Q130" s="59"/>
      <x:c r="R130" s="59"/>
      <x:c r="S130" s="59"/>
      <x:c r="T130" s="59"/>
      <x:c r="U130" s="59"/>
      <x:c r="V130" s="59"/>
      <x:c r="W130" s="59"/>
      <x:c r="X130" s="59"/>
      <x:c r="Y130" s="59"/>
      <x:c r="Z130" s="59"/>
      <x:c r="AA130" s="59"/>
      <x:c r="AB130" s="59"/>
      <x:c r="AC130" s="59"/>
      <x:c r="AD130" s="59"/>
      <x:c r="AE130" s="59"/>
      <x:c r="AF130" s="59"/>
      <x:c r="AG130" s="59"/>
      <x:c r="AH130" s="59"/>
      <x:c r="AI130" s="59"/>
      <x:c r="AJ130" s="59"/>
      <x:c r="AK130" s="59"/>
      <x:c r="AL130" s="59"/>
      <x:c r="AM130" s="59"/>
      <x:c r="AN130" s="59"/>
    </x:row>
    <x:row r="131">
      <x:c r="A131" s="59"/>
      <x:c r="B131" s="59"/>
      <x:c r="C131" s="59"/>
      <x:c r="D131" s="59"/>
      <x:c r="E131" s="59"/>
      <x:c r="F131" s="59"/>
      <x:c r="G131" s="59"/>
      <x:c r="H131" s="59"/>
      <x:c r="I131" s="59"/>
      <x:c r="J131" s="59"/>
      <x:c r="K131" s="59"/>
      <x:c r="L131" s="59"/>
      <x:c r="M131" s="59"/>
      <x:c r="N131" s="59"/>
      <x:c r="O131" s="59"/>
      <x:c r="P131" s="59"/>
      <x:c r="Q131" s="59"/>
      <x:c r="R131" s="59"/>
      <x:c r="S131" s="59"/>
      <x:c r="T131" s="59"/>
      <x:c r="U131" s="59"/>
      <x:c r="V131" s="59"/>
      <x:c r="W131" s="59"/>
      <x:c r="X131" s="59"/>
      <x:c r="Y131" s="59"/>
      <x:c r="Z131" s="59"/>
      <x:c r="AA131" s="59"/>
      <x:c r="AB131" s="59"/>
      <x:c r="AC131" s="59"/>
      <x:c r="AD131" s="59"/>
      <x:c r="AE131" s="59"/>
      <x:c r="AF131" s="59"/>
      <x:c r="AG131" s="59"/>
      <x:c r="AH131" s="59"/>
      <x:c r="AI131" s="59"/>
      <x:c r="AJ131" s="59"/>
      <x:c r="AK131" s="59"/>
      <x:c r="AL131" s="59"/>
      <x:c r="AM131" s="59"/>
      <x:c r="AN131" s="59"/>
    </x:row>
    <x:row r="132">
      <x:c r="A132" s="59"/>
      <x:c r="B132" s="59"/>
      <x:c r="C132" s="59"/>
      <x:c r="D132" s="59"/>
      <x:c r="E132" s="59"/>
      <x:c r="F132" s="59"/>
      <x:c r="G132" s="59"/>
      <x:c r="H132" s="59"/>
      <x:c r="I132" s="59"/>
      <x:c r="J132" s="59"/>
      <x:c r="K132" s="59"/>
      <x:c r="L132" s="59"/>
      <x:c r="M132" s="59"/>
      <x:c r="N132" s="59"/>
      <x:c r="O132" s="59"/>
      <x:c r="P132" s="59"/>
      <x:c r="Q132" s="59"/>
      <x:c r="R132" s="59"/>
      <x:c r="S132" s="59"/>
      <x:c r="T132" s="59"/>
      <x:c r="U132" s="59"/>
      <x:c r="V132" s="59"/>
      <x:c r="W132" s="59"/>
      <x:c r="X132" s="59"/>
      <x:c r="Y132" s="59"/>
      <x:c r="Z132" s="59"/>
      <x:c r="AA132" s="59"/>
      <x:c r="AB132" s="59"/>
      <x:c r="AC132" s="59"/>
      <x:c r="AD132" s="59"/>
      <x:c r="AE132" s="59"/>
      <x:c r="AF132" s="59"/>
      <x:c r="AG132" s="59"/>
      <x:c r="AH132" s="59"/>
      <x:c r="AI132" s="59"/>
      <x:c r="AJ132" s="59"/>
      <x:c r="AK132" s="59"/>
      <x:c r="AL132" s="59"/>
      <x:c r="AM132" s="59"/>
      <x:c r="AN132" s="59"/>
    </x:row>
    <x:row r="133">
      <x:c r="A133" s="59"/>
      <x:c r="B133" s="59"/>
      <x:c r="C133" s="59"/>
      <x:c r="D133" s="59"/>
      <x:c r="E133" s="59"/>
      <x:c r="F133" s="59"/>
      <x:c r="G133" s="59"/>
      <x:c r="H133" s="59"/>
      <x:c r="I133" s="59"/>
      <x:c r="J133" s="59"/>
      <x:c r="K133" s="59"/>
      <x:c r="L133" s="59"/>
      <x:c r="M133" s="59"/>
      <x:c r="N133" s="59"/>
      <x:c r="O133" s="59"/>
      <x:c r="P133" s="59"/>
      <x:c r="Q133" s="59"/>
      <x:c r="R133" s="59"/>
      <x:c r="S133" s="59"/>
      <x:c r="T133" s="59"/>
      <x:c r="U133" s="59"/>
      <x:c r="V133" s="59"/>
      <x:c r="W133" s="59"/>
      <x:c r="X133" s="59"/>
      <x:c r="Y133" s="59"/>
      <x:c r="Z133" s="59"/>
      <x:c r="AA133" s="59"/>
      <x:c r="AB133" s="59"/>
      <x:c r="AC133" s="59"/>
      <x:c r="AD133" s="59"/>
      <x:c r="AE133" s="59"/>
      <x:c r="AF133" s="59"/>
      <x:c r="AG133" s="59"/>
      <x:c r="AH133" s="59"/>
      <x:c r="AI133" s="59"/>
      <x:c r="AJ133" s="59"/>
      <x:c r="AK133" s="59"/>
      <x:c r="AL133" s="59"/>
      <x:c r="AM133" s="59"/>
      <x:c r="AN133" s="59"/>
    </x:row>
    <x:row r="134">
      <x:c r="A134" s="59"/>
      <x:c r="B134" s="59"/>
      <x:c r="C134" s="59"/>
      <x:c r="D134" s="59"/>
      <x:c r="E134" s="59"/>
      <x:c r="F134" s="59"/>
      <x:c r="G134" s="59"/>
      <x:c r="H134" s="59"/>
      <x:c r="I134" s="59"/>
      <x:c r="J134" s="59"/>
      <x:c r="K134" s="59"/>
      <x:c r="L134" s="59"/>
      <x:c r="M134" s="59"/>
      <x:c r="N134" s="59"/>
      <x:c r="O134" s="59"/>
      <x:c r="P134" s="59"/>
      <x:c r="Q134" s="59"/>
      <x:c r="R134" s="59"/>
      <x:c r="S134" s="59"/>
      <x:c r="T134" s="59"/>
      <x:c r="U134" s="59"/>
      <x:c r="V134" s="59"/>
      <x:c r="W134" s="59"/>
      <x:c r="X134" s="59"/>
      <x:c r="Y134" s="59"/>
      <x:c r="Z134" s="59"/>
      <x:c r="AA134" s="59"/>
      <x:c r="AB134" s="59"/>
      <x:c r="AC134" s="59"/>
      <x:c r="AD134" s="59"/>
      <x:c r="AE134" s="59"/>
      <x:c r="AF134" s="59"/>
      <x:c r="AG134" s="59"/>
      <x:c r="AH134" s="59"/>
      <x:c r="AI134" s="59"/>
      <x:c r="AJ134" s="59"/>
      <x:c r="AK134" s="59"/>
      <x:c r="AL134" s="59"/>
      <x:c r="AM134" s="59"/>
      <x:c r="AN134" s="59"/>
    </x:row>
    <x:row r="135">
      <x:c r="A135" s="59"/>
      <x:c r="B135" s="59"/>
      <x:c r="C135" s="59"/>
      <x:c r="D135" s="59"/>
      <x:c r="E135" s="59"/>
      <x:c r="F135" s="59"/>
      <x:c r="G135" s="59"/>
      <x:c r="H135" s="59"/>
      <x:c r="I135" s="59"/>
      <x:c r="J135" s="59"/>
      <x:c r="K135" s="59"/>
      <x:c r="L135" s="59"/>
      <x:c r="M135" s="59"/>
      <x:c r="N135" s="59"/>
      <x:c r="O135" s="59"/>
      <x:c r="P135" s="59"/>
      <x:c r="Q135" s="59"/>
      <x:c r="R135" s="59"/>
      <x:c r="S135" s="59"/>
      <x:c r="T135" s="59"/>
      <x:c r="U135" s="59"/>
      <x:c r="V135" s="59"/>
      <x:c r="W135" s="59"/>
      <x:c r="X135" s="59"/>
      <x:c r="Y135" s="59"/>
      <x:c r="Z135" s="59"/>
      <x:c r="AA135" s="59"/>
      <x:c r="AB135" s="59"/>
      <x:c r="AC135" s="59"/>
      <x:c r="AD135" s="59"/>
      <x:c r="AE135" s="59"/>
      <x:c r="AF135" s="59"/>
      <x:c r="AG135" s="59"/>
      <x:c r="AH135" s="59"/>
      <x:c r="AI135" s="59"/>
      <x:c r="AJ135" s="59"/>
      <x:c r="AK135" s="59"/>
      <x:c r="AL135" s="59"/>
      <x:c r="AM135" s="59"/>
      <x:c r="AN135" s="59"/>
    </x:row>
    <x:row r="136">
      <x:c r="A136" s="59"/>
      <x:c r="B136" s="59"/>
      <x:c r="C136" s="59"/>
      <x:c r="D136" s="59"/>
      <x:c r="E136" s="59"/>
      <x:c r="F136" s="59"/>
      <x:c r="G136" s="59"/>
      <x:c r="H136" s="59"/>
      <x:c r="I136" s="59"/>
      <x:c r="J136" s="59"/>
      <x:c r="K136" s="59"/>
      <x:c r="L136" s="59"/>
      <x:c r="M136" s="59"/>
      <x:c r="N136" s="59"/>
      <x:c r="O136" s="59"/>
      <x:c r="P136" s="59"/>
      <x:c r="Q136" s="59"/>
      <x:c r="R136" s="59"/>
      <x:c r="S136" s="59"/>
      <x:c r="T136" s="59"/>
      <x:c r="U136" s="59"/>
      <x:c r="V136" s="59"/>
      <x:c r="W136" s="59"/>
      <x:c r="X136" s="59"/>
      <x:c r="Y136" s="59"/>
      <x:c r="Z136" s="59"/>
      <x:c r="AA136" s="59"/>
      <x:c r="AB136" s="59"/>
      <x:c r="AC136" s="59"/>
      <x:c r="AD136" s="59"/>
      <x:c r="AE136" s="59"/>
      <x:c r="AF136" s="59"/>
      <x:c r="AG136" s="59"/>
      <x:c r="AH136" s="59"/>
      <x:c r="AI136" s="59"/>
      <x:c r="AJ136" s="59"/>
      <x:c r="AK136" s="59"/>
      <x:c r="AL136" s="59"/>
      <x:c r="AM136" s="59"/>
      <x:c r="AN136" s="59"/>
    </x:row>
    <x:row r="137">
      <x:c r="A137" s="59"/>
      <x:c r="B137" s="59"/>
      <x:c r="C137" s="59"/>
      <x:c r="D137" s="59"/>
      <x:c r="E137" s="59"/>
      <x:c r="F137" s="59"/>
      <x:c r="G137" s="59"/>
      <x:c r="H137" s="59"/>
      <x:c r="I137" s="59"/>
      <x:c r="J137" s="59"/>
      <x:c r="K137" s="59"/>
      <x:c r="L137" s="59"/>
      <x:c r="M137" s="59"/>
      <x:c r="N137" s="59"/>
      <x:c r="O137" s="59"/>
      <x:c r="P137" s="59"/>
      <x:c r="Q137" s="59"/>
      <x:c r="R137" s="59"/>
      <x:c r="S137" s="59"/>
      <x:c r="T137" s="59"/>
      <x:c r="U137" s="59"/>
      <x:c r="V137" s="59"/>
      <x:c r="W137" s="59"/>
      <x:c r="X137" s="59"/>
      <x:c r="Y137" s="59"/>
      <x:c r="Z137" s="59"/>
      <x:c r="AA137" s="59"/>
      <x:c r="AB137" s="59"/>
      <x:c r="AC137" s="59"/>
      <x:c r="AD137" s="59"/>
      <x:c r="AE137" s="59"/>
      <x:c r="AF137" s="59"/>
      <x:c r="AG137" s="59"/>
      <x:c r="AH137" s="59"/>
      <x:c r="AI137" s="59"/>
      <x:c r="AJ137" s="59"/>
      <x:c r="AK137" s="59"/>
      <x:c r="AL137" s="59"/>
      <x:c r="AM137" s="59"/>
      <x:c r="AN137" s="59"/>
    </x:row>
    <x:row r="138">
      <x:c r="A138" s="59"/>
      <x:c r="B138" s="59"/>
      <x:c r="C138" s="59"/>
      <x:c r="D138" s="59"/>
      <x:c r="E138" s="59"/>
      <x:c r="F138" s="59"/>
      <x:c r="G138" s="59"/>
      <x:c r="H138" s="59"/>
      <x:c r="I138" s="59"/>
      <x:c r="J138" s="59"/>
      <x:c r="K138" s="59"/>
      <x:c r="L138" s="59"/>
      <x:c r="M138" s="59"/>
      <x:c r="N138" s="59"/>
      <x:c r="O138" s="59"/>
      <x:c r="P138" s="59"/>
      <x:c r="Q138" s="59"/>
      <x:c r="R138" s="59"/>
      <x:c r="S138" s="59"/>
      <x:c r="T138" s="59"/>
      <x:c r="U138" s="59"/>
      <x:c r="V138" s="59"/>
      <x:c r="W138" s="59"/>
      <x:c r="X138" s="59"/>
      <x:c r="Y138" s="59"/>
      <x:c r="Z138" s="59"/>
      <x:c r="AA138" s="59"/>
      <x:c r="AB138" s="59"/>
      <x:c r="AC138" s="59"/>
      <x:c r="AD138" s="59"/>
      <x:c r="AE138" s="59"/>
      <x:c r="AF138" s="59"/>
      <x:c r="AG138" s="59"/>
      <x:c r="AH138" s="59"/>
      <x:c r="AI138" s="59"/>
      <x:c r="AJ138" s="59"/>
      <x:c r="AK138" s="59"/>
      <x:c r="AL138" s="59"/>
      <x:c r="AM138" s="59"/>
      <x:c r="AN138" s="59"/>
    </x:row>
    <x:row r="139">
      <x:c r="A139" s="59"/>
      <x:c r="B139" s="59"/>
      <x:c r="C139" s="59"/>
      <x:c r="D139" s="59"/>
      <x:c r="E139" s="59"/>
      <x:c r="F139" s="59"/>
      <x:c r="G139" s="59"/>
      <x:c r="H139" s="59"/>
      <x:c r="I139" s="59"/>
      <x:c r="J139" s="59"/>
      <x:c r="K139" s="59"/>
      <x:c r="L139" s="59"/>
      <x:c r="M139" s="59"/>
      <x:c r="N139" s="59"/>
      <x:c r="O139" s="59"/>
      <x:c r="P139" s="59"/>
      <x:c r="Q139" s="59"/>
      <x:c r="R139" s="59"/>
      <x:c r="S139" s="59"/>
      <x:c r="T139" s="59"/>
      <x:c r="U139" s="59"/>
      <x:c r="V139" s="59"/>
      <x:c r="W139" s="59"/>
      <x:c r="X139" s="59"/>
      <x:c r="Y139" s="59"/>
      <x:c r="Z139" s="59"/>
      <x:c r="AA139" s="59"/>
      <x:c r="AB139" s="59"/>
      <x:c r="AC139" s="59"/>
      <x:c r="AD139" s="59"/>
      <x:c r="AE139" s="59"/>
      <x:c r="AF139" s="59"/>
      <x:c r="AG139" s="59"/>
      <x:c r="AH139" s="59"/>
      <x:c r="AI139" s="59"/>
      <x:c r="AJ139" s="59"/>
      <x:c r="AK139" s="59"/>
      <x:c r="AL139" s="59"/>
      <x:c r="AM139" s="59"/>
      <x:c r="AN139" s="59"/>
    </x:row>
    <x:row r="140">
      <x:c r="A140" s="59"/>
      <x:c r="B140" s="59"/>
      <x:c r="C140" s="59"/>
      <x:c r="D140" s="59"/>
      <x:c r="E140" s="59"/>
      <x:c r="F140" s="59"/>
      <x:c r="G140" s="59"/>
      <x:c r="H140" s="59"/>
      <x:c r="I140" s="59"/>
      <x:c r="J140" s="59"/>
      <x:c r="K140" s="59"/>
      <x:c r="L140" s="59"/>
      <x:c r="M140" s="59"/>
      <x:c r="N140" s="59"/>
      <x:c r="O140" s="59"/>
      <x:c r="P140" s="59"/>
      <x:c r="Q140" s="59"/>
      <x:c r="R140" s="59"/>
      <x:c r="S140" s="59"/>
      <x:c r="T140" s="59"/>
      <x:c r="U140" s="59"/>
      <x:c r="V140" s="59"/>
      <x:c r="W140" s="59"/>
      <x:c r="X140" s="59"/>
      <x:c r="Y140" s="59"/>
      <x:c r="Z140" s="59"/>
      <x:c r="AA140" s="59"/>
      <x:c r="AB140" s="59"/>
      <x:c r="AC140" s="59"/>
      <x:c r="AD140" s="59"/>
      <x:c r="AE140" s="59"/>
      <x:c r="AF140" s="59"/>
      <x:c r="AG140" s="59"/>
      <x:c r="AH140" s="59"/>
      <x:c r="AI140" s="59"/>
      <x:c r="AJ140" s="59"/>
      <x:c r="AK140" s="59"/>
      <x:c r="AL140" s="59"/>
      <x:c r="AM140" s="59"/>
      <x:c r="AN140" s="59"/>
    </x:row>
    <x:row r="141">
      <x:c r="A141" s="59"/>
      <x:c r="B141" s="59"/>
      <x:c r="C141" s="59"/>
      <x:c r="D141" s="59"/>
      <x:c r="E141" s="59"/>
      <x:c r="F141" s="59"/>
      <x:c r="G141" s="59"/>
      <x:c r="H141" s="59"/>
      <x:c r="I141" s="59"/>
      <x:c r="J141" s="59"/>
      <x:c r="K141" s="59"/>
      <x:c r="L141" s="59"/>
      <x:c r="M141" s="59"/>
      <x:c r="N141" s="59"/>
      <x:c r="O141" s="59"/>
      <x:c r="P141" s="59"/>
      <x:c r="Q141" s="59"/>
      <x:c r="R141" s="59"/>
      <x:c r="S141" s="59"/>
      <x:c r="T141" s="59"/>
      <x:c r="U141" s="59"/>
      <x:c r="V141" s="59"/>
      <x:c r="W141" s="59"/>
      <x:c r="X141" s="59"/>
      <x:c r="Y141" s="59"/>
      <x:c r="Z141" s="59"/>
      <x:c r="AA141" s="59"/>
      <x:c r="AB141" s="59"/>
      <x:c r="AC141" s="59"/>
      <x:c r="AD141" s="59"/>
      <x:c r="AE141" s="59"/>
      <x:c r="AF141" s="59"/>
      <x:c r="AG141" s="59"/>
      <x:c r="AH141" s="59"/>
      <x:c r="AI141" s="59"/>
      <x:c r="AJ141" s="59"/>
      <x:c r="AK141" s="59"/>
      <x:c r="AL141" s="59"/>
      <x:c r="AM141" s="59"/>
      <x:c r="AN141" s="59"/>
    </x:row>
    <x:row r="142">
      <x:c r="A142" s="59"/>
      <x:c r="B142" s="59"/>
      <x:c r="C142" s="59"/>
      <x:c r="D142" s="59"/>
      <x:c r="E142" s="59"/>
      <x:c r="F142" s="59"/>
      <x:c r="G142" s="59"/>
      <x:c r="H142" s="59"/>
      <x:c r="I142" s="59"/>
      <x:c r="J142" s="59"/>
      <x:c r="K142" s="59"/>
      <x:c r="L142" s="59"/>
      <x:c r="M142" s="59"/>
      <x:c r="N142" s="59"/>
      <x:c r="O142" s="59"/>
      <x:c r="P142" s="59"/>
      <x:c r="Q142" s="59"/>
      <x:c r="R142" s="59"/>
      <x:c r="S142" s="59"/>
      <x:c r="T142" s="59"/>
      <x:c r="U142" s="59"/>
      <x:c r="V142" s="59"/>
      <x:c r="W142" s="59"/>
      <x:c r="X142" s="59"/>
      <x:c r="Y142" s="59"/>
      <x:c r="Z142" s="59"/>
      <x:c r="AA142" s="59"/>
      <x:c r="AB142" s="59"/>
      <x:c r="AC142" s="59"/>
      <x:c r="AD142" s="59"/>
      <x:c r="AE142" s="59"/>
      <x:c r="AF142" s="59"/>
      <x:c r="AG142" s="59"/>
      <x:c r="AH142" s="59"/>
      <x:c r="AI142" s="59"/>
      <x:c r="AJ142" s="59"/>
      <x:c r="AK142" s="59"/>
      <x:c r="AL142" s="59"/>
      <x:c r="AM142" s="59"/>
      <x:c r="AN142" s="59"/>
    </x:row>
    <x:row r="143">
      <x:c r="A143" s="59"/>
      <x:c r="B143" s="59"/>
      <x:c r="C143" s="59"/>
      <x:c r="D143" s="59"/>
      <x:c r="E143" s="59"/>
      <x:c r="F143" s="59"/>
      <x:c r="G143" s="59"/>
      <x:c r="H143" s="59"/>
      <x:c r="I143" s="59"/>
      <x:c r="J143" s="59"/>
      <x:c r="K143" s="59"/>
      <x:c r="L143" s="59"/>
      <x:c r="M143" s="59"/>
      <x:c r="N143" s="59"/>
      <x:c r="O143" s="59"/>
      <x:c r="P143" s="59"/>
      <x:c r="Q143" s="59"/>
      <x:c r="R143" s="59"/>
      <x:c r="S143" s="59"/>
      <x:c r="T143" s="59"/>
      <x:c r="U143" s="59"/>
      <x:c r="V143" s="59"/>
      <x:c r="W143" s="59"/>
      <x:c r="X143" s="59"/>
      <x:c r="Y143" s="59"/>
      <x:c r="Z143" s="59"/>
      <x:c r="AA143" s="59"/>
      <x:c r="AB143" s="59"/>
      <x:c r="AC143" s="59"/>
      <x:c r="AD143" s="59"/>
      <x:c r="AE143" s="59"/>
      <x:c r="AF143" s="59"/>
      <x:c r="AG143" s="59"/>
      <x:c r="AH143" s="59"/>
      <x:c r="AI143" s="59"/>
      <x:c r="AJ143" s="59"/>
      <x:c r="AK143" s="59"/>
      <x:c r="AL143" s="59"/>
      <x:c r="AM143" s="59"/>
      <x:c r="AN143" s="59"/>
    </x:row>
    <x:row r="144">
      <x:c r="A144" s="59"/>
      <x:c r="B144" s="59"/>
      <x:c r="C144" s="59"/>
      <x:c r="D144" s="59"/>
      <x:c r="E144" s="59"/>
      <x:c r="F144" s="59"/>
      <x:c r="G144" s="59"/>
      <x:c r="H144" s="59"/>
      <x:c r="I144" s="59"/>
      <x:c r="J144" s="59"/>
      <x:c r="K144" s="59"/>
      <x:c r="L144" s="59"/>
      <x:c r="M144" s="59"/>
      <x:c r="N144" s="59"/>
      <x:c r="O144" s="59"/>
      <x:c r="P144" s="59"/>
      <x:c r="Q144" s="59"/>
      <x:c r="R144" s="59"/>
      <x:c r="S144" s="59"/>
      <x:c r="T144" s="59"/>
      <x:c r="U144" s="59"/>
      <x:c r="V144" s="59"/>
      <x:c r="W144" s="59"/>
      <x:c r="X144" s="59"/>
      <x:c r="Y144" s="59"/>
      <x:c r="Z144" s="59"/>
      <x:c r="AA144" s="59"/>
      <x:c r="AB144" s="59"/>
      <x:c r="AC144" s="59"/>
      <x:c r="AD144" s="59"/>
      <x:c r="AE144" s="59"/>
      <x:c r="AF144" s="59"/>
      <x:c r="AG144" s="59"/>
      <x:c r="AH144" s="59"/>
      <x:c r="AI144" s="59"/>
      <x:c r="AJ144" s="59"/>
      <x:c r="AK144" s="59"/>
      <x:c r="AL144" s="59"/>
      <x:c r="AM144" s="59"/>
      <x:c r="AN144" s="59"/>
    </x:row>
    <x:row r="145">
      <x:c r="A145" s="59"/>
      <x:c r="B145" s="59"/>
      <x:c r="C145" s="59"/>
      <x:c r="D145" s="59"/>
      <x:c r="E145" s="59"/>
      <x:c r="F145" s="59"/>
      <x:c r="G145" s="59"/>
      <x:c r="H145" s="59"/>
      <x:c r="I145" s="59"/>
      <x:c r="J145" s="59"/>
      <x:c r="K145" s="59"/>
      <x:c r="L145" s="59"/>
      <x:c r="M145" s="59"/>
      <x:c r="N145" s="59"/>
      <x:c r="O145" s="59"/>
      <x:c r="P145" s="59"/>
      <x:c r="Q145" s="59"/>
      <x:c r="R145" s="59"/>
      <x:c r="S145" s="59"/>
      <x:c r="T145" s="59"/>
      <x:c r="U145" s="59"/>
      <x:c r="V145" s="59"/>
      <x:c r="W145" s="59"/>
      <x:c r="X145" s="59"/>
      <x:c r="Y145" s="59"/>
      <x:c r="Z145" s="59"/>
      <x:c r="AA145" s="59"/>
      <x:c r="AB145" s="59"/>
      <x:c r="AC145" s="59"/>
      <x:c r="AD145" s="59"/>
      <x:c r="AE145" s="59"/>
      <x:c r="AF145" s="59"/>
      <x:c r="AG145" s="59"/>
      <x:c r="AH145" s="59"/>
      <x:c r="AI145" s="59"/>
      <x:c r="AJ145" s="59"/>
      <x:c r="AK145" s="59"/>
      <x:c r="AL145" s="59"/>
      <x:c r="AM145" s="59"/>
      <x:c r="AN145" s="59"/>
    </x:row>
    <x:row r="146">
      <x:c r="A146" s="59"/>
      <x:c r="B146" s="59"/>
      <x:c r="C146" s="59"/>
      <x:c r="D146" s="59"/>
      <x:c r="E146" s="59"/>
      <x:c r="F146" s="59"/>
      <x:c r="G146" s="59"/>
      <x:c r="H146" s="59"/>
      <x:c r="I146" s="59"/>
      <x:c r="J146" s="59"/>
      <x:c r="K146" s="59"/>
      <x:c r="L146" s="59"/>
      <x:c r="M146" s="59"/>
      <x:c r="N146" s="59"/>
      <x:c r="O146" s="59"/>
      <x:c r="P146" s="59"/>
      <x:c r="Q146" s="59"/>
      <x:c r="R146" s="59"/>
      <x:c r="S146" s="59"/>
      <x:c r="T146" s="59"/>
      <x:c r="U146" s="59"/>
      <x:c r="V146" s="59"/>
      <x:c r="W146" s="59"/>
      <x:c r="X146" s="59"/>
      <x:c r="Y146" s="59"/>
      <x:c r="Z146" s="59"/>
      <x:c r="AA146" s="59"/>
      <x:c r="AB146" s="59"/>
      <x:c r="AC146" s="59"/>
      <x:c r="AD146" s="59"/>
      <x:c r="AE146" s="59"/>
      <x:c r="AF146" s="59"/>
      <x:c r="AG146" s="59"/>
      <x:c r="AH146" s="59"/>
      <x:c r="AI146" s="59"/>
      <x:c r="AJ146" s="59"/>
      <x:c r="AK146" s="59"/>
      <x:c r="AL146" s="59"/>
      <x:c r="AM146" s="59"/>
      <x:c r="AN146" s="59"/>
    </x:row>
    <x:row r="147">
      <x:c r="A147" s="59"/>
      <x:c r="B147" s="59"/>
      <x:c r="C147" s="59"/>
      <x:c r="D147" s="59"/>
      <x:c r="E147" s="59"/>
      <x:c r="F147" s="59"/>
      <x:c r="G147" s="59"/>
      <x:c r="H147" s="59"/>
      <x:c r="I147" s="59"/>
      <x:c r="J147" s="59"/>
      <x:c r="K147" s="59"/>
      <x:c r="L147" s="59"/>
      <x:c r="M147" s="59"/>
      <x:c r="N147" s="59"/>
      <x:c r="O147" s="59"/>
      <x:c r="P147" s="59"/>
      <x:c r="Q147" s="59"/>
      <x:c r="R147" s="59"/>
      <x:c r="S147" s="59"/>
      <x:c r="T147" s="59"/>
      <x:c r="U147" s="59"/>
      <x:c r="V147" s="59"/>
      <x:c r="W147" s="59"/>
      <x:c r="X147" s="59"/>
      <x:c r="Y147" s="59"/>
      <x:c r="Z147" s="59"/>
      <x:c r="AA147" s="59"/>
      <x:c r="AB147" s="59"/>
      <x:c r="AC147" s="59"/>
      <x:c r="AD147" s="59"/>
      <x:c r="AE147" s="59"/>
      <x:c r="AF147" s="59"/>
      <x:c r="AG147" s="59"/>
      <x:c r="AH147" s="59"/>
      <x:c r="AI147" s="59"/>
      <x:c r="AJ147" s="59"/>
      <x:c r="AK147" s="59"/>
      <x:c r="AL147" s="59"/>
      <x:c r="AM147" s="59"/>
      <x:c r="AN147" s="59"/>
    </x:row>
    <x:row r="148">
      <x:c r="A148" s="59"/>
      <x:c r="B148" s="59"/>
      <x:c r="C148" s="59"/>
      <x:c r="D148" s="59"/>
      <x:c r="E148" s="59"/>
      <x:c r="F148" s="59"/>
      <x:c r="G148" s="59"/>
      <x:c r="H148" s="59"/>
      <x:c r="I148" s="59"/>
      <x:c r="J148" s="59"/>
      <x:c r="K148" s="59"/>
      <x:c r="L148" s="59"/>
      <x:c r="M148" s="59"/>
      <x:c r="N148" s="59"/>
      <x:c r="O148" s="59"/>
      <x:c r="P148" s="59"/>
      <x:c r="Q148" s="59"/>
      <x:c r="R148" s="59"/>
      <x:c r="S148" s="59"/>
      <x:c r="T148" s="59"/>
      <x:c r="U148" s="59"/>
      <x:c r="V148" s="59"/>
      <x:c r="W148" s="59"/>
      <x:c r="X148" s="59"/>
      <x:c r="Y148" s="59"/>
      <x:c r="Z148" s="59"/>
      <x:c r="AA148" s="59"/>
      <x:c r="AB148" s="59"/>
      <x:c r="AC148" s="59"/>
      <x:c r="AD148" s="59"/>
      <x:c r="AE148" s="59"/>
      <x:c r="AF148" s="59"/>
      <x:c r="AG148" s="59"/>
      <x:c r="AH148" s="59"/>
      <x:c r="AI148" s="59"/>
      <x:c r="AJ148" s="59"/>
      <x:c r="AK148" s="59"/>
      <x:c r="AL148" s="59"/>
      <x:c r="AM148" s="59"/>
      <x:c r="AN148" s="59"/>
    </x:row>
    <x:row r="149">
      <x:c r="A149" s="59"/>
      <x:c r="B149" s="59"/>
      <x:c r="C149" s="59"/>
      <x:c r="D149" s="59"/>
      <x:c r="E149" s="59"/>
      <x:c r="F149" s="59"/>
      <x:c r="G149" s="59"/>
      <x:c r="H149" s="59"/>
      <x:c r="I149" s="59"/>
      <x:c r="J149" s="59"/>
      <x:c r="K149" s="59"/>
      <x:c r="L149" s="59"/>
      <x:c r="M149" s="59"/>
      <x:c r="N149" s="59"/>
      <x:c r="O149" s="59"/>
      <x:c r="P149" s="59"/>
      <x:c r="Q149" s="59"/>
      <x:c r="R149" s="59"/>
      <x:c r="S149" s="59"/>
      <x:c r="T149" s="59"/>
      <x:c r="U149" s="59"/>
      <x:c r="V149" s="59"/>
      <x:c r="W149" s="59"/>
      <x:c r="X149" s="59"/>
      <x:c r="Y149" s="59"/>
      <x:c r="Z149" s="59"/>
      <x:c r="AA149" s="59"/>
      <x:c r="AB149" s="59"/>
      <x:c r="AC149" s="59"/>
      <x:c r="AD149" s="59"/>
      <x:c r="AE149" s="59"/>
      <x:c r="AF149" s="59"/>
      <x:c r="AG149" s="59"/>
      <x:c r="AH149" s="59"/>
      <x:c r="AI149" s="59"/>
      <x:c r="AJ149" s="59"/>
      <x:c r="AK149" s="59"/>
      <x:c r="AL149" s="59"/>
      <x:c r="AM149" s="59"/>
      <x:c r="AN149" s="59"/>
    </x:row>
    <x:row r="150">
      <x:c r="A150" s="59"/>
      <x:c r="B150" s="59"/>
      <x:c r="C150" s="59"/>
      <x:c r="D150" s="59"/>
      <x:c r="E150" s="59"/>
      <x:c r="F150" s="59"/>
      <x:c r="G150" s="59"/>
      <x:c r="H150" s="59"/>
      <x:c r="I150" s="59"/>
      <x:c r="J150" s="59"/>
      <x:c r="K150" s="59"/>
      <x:c r="L150" s="59"/>
      <x:c r="M150" s="59"/>
      <x:c r="N150" s="59"/>
      <x:c r="O150" s="59"/>
      <x:c r="P150" s="59"/>
      <x:c r="Q150" s="59"/>
      <x:c r="R150" s="59"/>
      <x:c r="S150" s="59"/>
      <x:c r="T150" s="59"/>
      <x:c r="U150" s="59"/>
      <x:c r="V150" s="59"/>
      <x:c r="W150" s="59"/>
      <x:c r="X150" s="59"/>
      <x:c r="Y150" s="59"/>
      <x:c r="Z150" s="59"/>
      <x:c r="AA150" s="59"/>
      <x:c r="AB150" s="59"/>
      <x:c r="AC150" s="59"/>
      <x:c r="AD150" s="59"/>
      <x:c r="AE150" s="59"/>
      <x:c r="AF150" s="59"/>
      <x:c r="AG150" s="59"/>
      <x:c r="AH150" s="59"/>
      <x:c r="AI150" s="59"/>
      <x:c r="AJ150" s="59"/>
      <x:c r="AK150" s="59"/>
      <x:c r="AL150" s="59"/>
      <x:c r="AM150" s="59"/>
      <x:c r="AN150" s="59"/>
    </x:row>
    <x:row r="151">
      <x:c r="A151" s="59"/>
      <x:c r="B151" s="59"/>
      <x:c r="C151" s="59"/>
      <x:c r="D151" s="59"/>
      <x:c r="E151" s="59"/>
      <x:c r="F151" s="59"/>
      <x:c r="G151" s="59"/>
      <x:c r="H151" s="59"/>
      <x:c r="I151" s="59"/>
      <x:c r="J151" s="59"/>
      <x:c r="K151" s="59"/>
      <x:c r="L151" s="59"/>
      <x:c r="M151" s="59"/>
      <x:c r="N151" s="59"/>
      <x:c r="O151" s="59"/>
      <x:c r="P151" s="59"/>
      <x:c r="Q151" s="59"/>
      <x:c r="R151" s="59"/>
      <x:c r="S151" s="59"/>
      <x:c r="T151" s="59"/>
      <x:c r="U151" s="59"/>
      <x:c r="V151" s="59"/>
      <x:c r="W151" s="59"/>
      <x:c r="X151" s="59"/>
      <x:c r="Y151" s="59"/>
      <x:c r="Z151" s="59"/>
      <x:c r="AA151" s="59"/>
      <x:c r="AB151" s="59"/>
      <x:c r="AC151" s="59"/>
      <x:c r="AD151" s="59"/>
      <x:c r="AE151" s="59"/>
      <x:c r="AF151" s="59"/>
      <x:c r="AG151" s="59"/>
      <x:c r="AH151" s="59"/>
      <x:c r="AI151" s="59"/>
      <x:c r="AJ151" s="59"/>
      <x:c r="AK151" s="59"/>
      <x:c r="AL151" s="59"/>
      <x:c r="AM151" s="59"/>
      <x:c r="AN151" s="59"/>
    </x:row>
    <x:row r="152">
      <x:c r="A152" s="59"/>
      <x:c r="B152" s="59"/>
      <x:c r="C152" s="59"/>
      <x:c r="D152" s="59"/>
      <x:c r="E152" s="59"/>
      <x:c r="F152" s="59"/>
      <x:c r="G152" s="59"/>
      <x:c r="H152" s="59"/>
      <x:c r="I152" s="59"/>
      <x:c r="J152" s="59"/>
      <x:c r="K152" s="59"/>
      <x:c r="L152" s="59"/>
      <x:c r="M152" s="59"/>
      <x:c r="N152" s="59"/>
      <x:c r="O152" s="59"/>
      <x:c r="P152" s="59"/>
      <x:c r="Q152" s="59"/>
      <x:c r="R152" s="59"/>
      <x:c r="S152" s="59"/>
      <x:c r="T152" s="59"/>
      <x:c r="U152" s="59"/>
      <x:c r="V152" s="59"/>
      <x:c r="W152" s="59"/>
      <x:c r="X152" s="59"/>
      <x:c r="Y152" s="59"/>
      <x:c r="Z152" s="59"/>
      <x:c r="AA152" s="59"/>
      <x:c r="AB152" s="59"/>
      <x:c r="AC152" s="59"/>
      <x:c r="AD152" s="59"/>
      <x:c r="AE152" s="59"/>
      <x:c r="AF152" s="59"/>
      <x:c r="AG152" s="59"/>
      <x:c r="AH152" s="59"/>
      <x:c r="AI152" s="59"/>
      <x:c r="AJ152" s="59"/>
      <x:c r="AK152" s="59"/>
      <x:c r="AL152" s="59"/>
      <x:c r="AM152" s="59"/>
      <x:c r="AN152" s="59"/>
    </x:row>
    <x:row r="153">
      <x:c r="A153" s="59"/>
      <x:c r="B153" s="59"/>
      <x:c r="C153" s="59"/>
      <x:c r="D153" s="59"/>
      <x:c r="E153" s="59"/>
      <x:c r="F153" s="59"/>
      <x:c r="G153" s="59"/>
      <x:c r="H153" s="59"/>
      <x:c r="I153" s="59"/>
      <x:c r="J153" s="59"/>
      <x:c r="K153" s="59"/>
      <x:c r="L153" s="59"/>
      <x:c r="M153" s="59"/>
      <x:c r="N153" s="59"/>
      <x:c r="O153" s="59"/>
      <x:c r="P153" s="59"/>
      <x:c r="Q153" s="59"/>
      <x:c r="R153" s="59"/>
      <x:c r="S153" s="59"/>
      <x:c r="T153" s="59"/>
      <x:c r="U153" s="59"/>
      <x:c r="V153" s="59"/>
      <x:c r="W153" s="59"/>
      <x:c r="X153" s="59"/>
      <x:c r="Y153" s="59"/>
      <x:c r="Z153" s="59"/>
      <x:c r="AA153" s="59"/>
      <x:c r="AB153" s="59"/>
      <x:c r="AC153" s="59"/>
      <x:c r="AD153" s="59"/>
      <x:c r="AE153" s="59"/>
      <x:c r="AF153" s="59"/>
      <x:c r="AG153" s="59"/>
      <x:c r="AH153" s="59"/>
      <x:c r="AI153" s="59"/>
      <x:c r="AJ153" s="59"/>
      <x:c r="AK153" s="59"/>
      <x:c r="AL153" s="59"/>
      <x:c r="AM153" s="59"/>
      <x:c r="AN153" s="59"/>
    </x:row>
    <x:row r="154">
      <x:c r="A154" s="59"/>
      <x:c r="B154" s="59"/>
      <x:c r="C154" s="59"/>
      <x:c r="D154" s="59"/>
      <x:c r="E154" s="59"/>
      <x:c r="F154" s="59"/>
      <x:c r="G154" s="59"/>
      <x:c r="H154" s="59"/>
      <x:c r="I154" s="59"/>
      <x:c r="J154" s="59"/>
      <x:c r="K154" s="59"/>
      <x:c r="L154" s="59"/>
      <x:c r="M154" s="59"/>
      <x:c r="N154" s="59"/>
      <x:c r="O154" s="59"/>
      <x:c r="P154" s="59"/>
      <x:c r="Q154" s="59"/>
      <x:c r="R154" s="59"/>
      <x:c r="S154" s="59"/>
      <x:c r="T154" s="59"/>
      <x:c r="U154" s="59"/>
      <x:c r="V154" s="59"/>
      <x:c r="W154" s="59"/>
      <x:c r="X154" s="59"/>
      <x:c r="Y154" s="59"/>
      <x:c r="Z154" s="59"/>
      <x:c r="AA154" s="59"/>
      <x:c r="AB154" s="59"/>
      <x:c r="AC154" s="59"/>
      <x:c r="AD154" s="59"/>
      <x:c r="AE154" s="59"/>
      <x:c r="AF154" s="59"/>
      <x:c r="AG154" s="59"/>
      <x:c r="AH154" s="59"/>
      <x:c r="AI154" s="59"/>
      <x:c r="AJ154" s="59"/>
      <x:c r="AK154" s="59"/>
      <x:c r="AL154" s="59"/>
      <x:c r="AM154" s="59"/>
      <x:c r="AN154" s="59"/>
    </x:row>
    <x:row r="155">
      <x:c r="A155" s="59"/>
      <x:c r="B155" s="59"/>
      <x:c r="C155" s="59"/>
      <x:c r="D155" s="59"/>
      <x:c r="E155" s="59"/>
      <x:c r="F155" s="59"/>
      <x:c r="G155" s="59"/>
      <x:c r="H155" s="59"/>
      <x:c r="I155" s="59"/>
      <x:c r="J155" s="59"/>
      <x:c r="K155" s="59"/>
      <x:c r="L155" s="59"/>
      <x:c r="M155" s="59"/>
      <x:c r="N155" s="59"/>
      <x:c r="O155" s="59"/>
      <x:c r="P155" s="59"/>
      <x:c r="Q155" s="59"/>
      <x:c r="R155" s="59"/>
      <x:c r="S155" s="59"/>
      <x:c r="T155" s="59"/>
      <x:c r="U155" s="59"/>
      <x:c r="V155" s="59"/>
      <x:c r="W155" s="59"/>
      <x:c r="X155" s="59"/>
      <x:c r="Y155" s="59"/>
      <x:c r="Z155" s="59"/>
      <x:c r="AA155" s="59"/>
      <x:c r="AB155" s="59"/>
      <x:c r="AC155" s="59"/>
      <x:c r="AD155" s="59"/>
      <x:c r="AE155" s="59"/>
      <x:c r="AF155" s="59"/>
      <x:c r="AG155" s="59"/>
      <x:c r="AH155" s="59"/>
      <x:c r="AI155" s="59"/>
      <x:c r="AJ155" s="59"/>
      <x:c r="AK155" s="59"/>
      <x:c r="AL155" s="59"/>
      <x:c r="AM155" s="59"/>
      <x:c r="AN155" s="59"/>
    </x:row>
    <x:row r="156">
      <x:c r="A156" s="59"/>
      <x:c r="B156" s="59"/>
      <x:c r="C156" s="59"/>
      <x:c r="D156" s="59"/>
      <x:c r="E156" s="59"/>
      <x:c r="F156" s="59"/>
      <x:c r="G156" s="59"/>
      <x:c r="H156" s="59"/>
      <x:c r="I156" s="59"/>
      <x:c r="J156" s="59"/>
      <x:c r="K156" s="59"/>
      <x:c r="L156" s="59"/>
      <x:c r="M156" s="59"/>
      <x:c r="N156" s="59"/>
      <x:c r="O156" s="59"/>
      <x:c r="P156" s="59"/>
      <x:c r="Q156" s="59"/>
      <x:c r="R156" s="59"/>
      <x:c r="S156" s="59"/>
      <x:c r="T156" s="59"/>
      <x:c r="U156" s="59"/>
      <x:c r="V156" s="59"/>
      <x:c r="W156" s="59"/>
      <x:c r="X156" s="59"/>
      <x:c r="Y156" s="59"/>
      <x:c r="Z156" s="59"/>
      <x:c r="AA156" s="59"/>
      <x:c r="AB156" s="59"/>
      <x:c r="AC156" s="59"/>
      <x:c r="AD156" s="59"/>
      <x:c r="AE156" s="59"/>
      <x:c r="AF156" s="59"/>
      <x:c r="AG156" s="59"/>
      <x:c r="AH156" s="59"/>
      <x:c r="AI156" s="59"/>
      <x:c r="AJ156" s="59"/>
      <x:c r="AK156" s="59"/>
      <x:c r="AL156" s="59"/>
      <x:c r="AM156" s="59"/>
      <x:c r="AN156" s="59"/>
    </x:row>
    <x:row r="157">
      <x:c r="A157" s="59"/>
      <x:c r="B157" s="59"/>
      <x:c r="C157" s="59"/>
      <x:c r="D157" s="59"/>
      <x:c r="E157" s="59"/>
      <x:c r="F157" s="59"/>
      <x:c r="G157" s="59"/>
      <x:c r="H157" s="59"/>
      <x:c r="I157" s="59"/>
      <x:c r="J157" s="59"/>
      <x:c r="K157" s="59"/>
      <x:c r="L157" s="59"/>
      <x:c r="M157" s="59"/>
      <x:c r="N157" s="59"/>
      <x:c r="O157" s="59"/>
      <x:c r="P157" s="59"/>
      <x:c r="Q157" s="59"/>
      <x:c r="R157" s="59"/>
      <x:c r="S157" s="59"/>
      <x:c r="T157" s="59"/>
      <x:c r="U157" s="59"/>
      <x:c r="V157" s="59"/>
      <x:c r="W157" s="59"/>
      <x:c r="X157" s="59"/>
      <x:c r="Y157" s="59"/>
      <x:c r="Z157" s="59"/>
      <x:c r="AA157" s="59"/>
      <x:c r="AB157" s="59"/>
      <x:c r="AC157" s="59"/>
      <x:c r="AD157" s="59"/>
      <x:c r="AE157" s="59"/>
      <x:c r="AF157" s="59"/>
      <x:c r="AG157" s="59"/>
      <x:c r="AH157" s="59"/>
      <x:c r="AI157" s="59"/>
      <x:c r="AJ157" s="59"/>
      <x:c r="AK157" s="59"/>
      <x:c r="AL157" s="59"/>
      <x:c r="AM157" s="59"/>
      <x:c r="AN157" s="59"/>
    </x:row>
    <x:row r="158">
      <x:c r="A158" s="59"/>
      <x:c r="B158" s="59"/>
      <x:c r="C158" s="59"/>
      <x:c r="D158" s="59"/>
      <x:c r="E158" s="59"/>
      <x:c r="F158" s="59"/>
      <x:c r="G158" s="59"/>
      <x:c r="H158" s="59"/>
      <x:c r="I158" s="59"/>
      <x:c r="J158" s="59"/>
      <x:c r="K158" s="59"/>
      <x:c r="L158" s="59"/>
      <x:c r="M158" s="59"/>
      <x:c r="N158" s="59"/>
      <x:c r="O158" s="59"/>
      <x:c r="P158" s="59"/>
      <x:c r="Q158" s="59"/>
      <x:c r="R158" s="59"/>
      <x:c r="S158" s="59"/>
      <x:c r="T158" s="59"/>
      <x:c r="U158" s="59"/>
      <x:c r="V158" s="59"/>
      <x:c r="W158" s="59"/>
      <x:c r="X158" s="59"/>
      <x:c r="Y158" s="59"/>
      <x:c r="Z158" s="59"/>
      <x:c r="AA158" s="59"/>
      <x:c r="AB158" s="59"/>
      <x:c r="AC158" s="59"/>
      <x:c r="AD158" s="59"/>
      <x:c r="AE158" s="59"/>
      <x:c r="AF158" s="59"/>
      <x:c r="AG158" s="59"/>
      <x:c r="AH158" s="59"/>
      <x:c r="AI158" s="59"/>
      <x:c r="AJ158" s="59"/>
      <x:c r="AK158" s="59"/>
      <x:c r="AL158" s="59"/>
      <x:c r="AM158" s="59"/>
      <x:c r="AN158" s="59"/>
    </x:row>
    <x:row r="159">
      <x:c r="A159" s="59"/>
      <x:c r="B159" s="59"/>
      <x:c r="C159" s="59"/>
      <x:c r="D159" s="59"/>
      <x:c r="E159" s="59"/>
      <x:c r="F159" s="59"/>
      <x:c r="G159" s="59"/>
      <x:c r="H159" s="59"/>
      <x:c r="I159" s="59"/>
      <x:c r="J159" s="59"/>
      <x:c r="K159" s="59"/>
      <x:c r="L159" s="59"/>
      <x:c r="M159" s="59"/>
      <x:c r="N159" s="59"/>
      <x:c r="O159" s="59"/>
      <x:c r="P159" s="59"/>
      <x:c r="Q159" s="59"/>
      <x:c r="R159" s="59"/>
      <x:c r="S159" s="59"/>
      <x:c r="T159" s="59"/>
      <x:c r="U159" s="59"/>
      <x:c r="V159" s="59"/>
      <x:c r="W159" s="59"/>
      <x:c r="X159" s="59"/>
      <x:c r="Y159" s="59"/>
      <x:c r="Z159" s="59"/>
      <x:c r="AA159" s="59"/>
      <x:c r="AB159" s="59"/>
      <x:c r="AC159" s="59"/>
      <x:c r="AD159" s="59"/>
      <x:c r="AE159" s="59"/>
      <x:c r="AF159" s="59"/>
      <x:c r="AG159" s="59"/>
      <x:c r="AH159" s="59"/>
      <x:c r="AI159" s="59"/>
      <x:c r="AJ159" s="59"/>
      <x:c r="AK159" s="59"/>
      <x:c r="AL159" s="59"/>
      <x:c r="AM159" s="59"/>
      <x:c r="AN159" s="59"/>
    </x:row>
    <x:row r="160">
      <x:c r="A160" s="59"/>
      <x:c r="B160" s="59"/>
      <x:c r="C160" s="59"/>
      <x:c r="D160" s="59"/>
      <x:c r="E160" s="59"/>
      <x:c r="F160" s="59"/>
      <x:c r="G160" s="59"/>
      <x:c r="H160" s="59"/>
      <x:c r="I160" s="59"/>
      <x:c r="J160" s="59"/>
      <x:c r="K160" s="59"/>
      <x:c r="L160" s="59"/>
      <x:c r="M160" s="59"/>
      <x:c r="N160" s="59"/>
      <x:c r="O160" s="59"/>
      <x:c r="P160" s="59"/>
      <x:c r="Q160" s="59"/>
      <x:c r="R160" s="59"/>
      <x:c r="S160" s="59"/>
      <x:c r="T160" s="59"/>
      <x:c r="U160" s="59"/>
      <x:c r="V160" s="59"/>
      <x:c r="W160" s="59"/>
      <x:c r="X160" s="59"/>
      <x:c r="Y160" s="59"/>
      <x:c r="Z160" s="59"/>
      <x:c r="AA160" s="59"/>
      <x:c r="AB160" s="59"/>
      <x:c r="AC160" s="59"/>
      <x:c r="AD160" s="59"/>
      <x:c r="AE160" s="59"/>
      <x:c r="AF160" s="59"/>
      <x:c r="AG160" s="59"/>
      <x:c r="AH160" s="59"/>
      <x:c r="AI160" s="59"/>
      <x:c r="AJ160" s="59"/>
      <x:c r="AK160" s="59"/>
      <x:c r="AL160" s="59"/>
      <x:c r="AM160" s="59"/>
      <x:c r="AN160" s="59"/>
    </x:row>
    <x:row r="161">
      <x:c r="A161" s="59"/>
      <x:c r="B161" s="59"/>
      <x:c r="C161" s="59"/>
      <x:c r="D161" s="59"/>
      <x:c r="E161" s="59"/>
      <x:c r="F161" s="59"/>
      <x:c r="G161" s="59"/>
      <x:c r="H161" s="59"/>
      <x:c r="I161" s="59"/>
      <x:c r="J161" s="59"/>
      <x:c r="K161" s="59"/>
      <x:c r="L161" s="59"/>
      <x:c r="M161" s="59"/>
      <x:c r="N161" s="59"/>
      <x:c r="O161" s="59"/>
      <x:c r="P161" s="59"/>
      <x:c r="Q161" s="59"/>
      <x:c r="R161" s="59"/>
      <x:c r="S161" s="59"/>
      <x:c r="T161" s="59"/>
      <x:c r="U161" s="59"/>
      <x:c r="V161" s="59"/>
      <x:c r="W161" s="59"/>
      <x:c r="X161" s="59"/>
      <x:c r="Y161" s="59"/>
      <x:c r="Z161" s="59"/>
      <x:c r="AA161" s="59"/>
      <x:c r="AB161" s="59"/>
      <x:c r="AC161" s="59"/>
      <x:c r="AD161" s="59"/>
      <x:c r="AE161" s="59"/>
      <x:c r="AF161" s="59"/>
      <x:c r="AG161" s="59"/>
      <x:c r="AH161" s="59"/>
      <x:c r="AI161" s="59"/>
      <x:c r="AJ161" s="59"/>
      <x:c r="AK161" s="59"/>
      <x:c r="AL161" s="59"/>
      <x:c r="AM161" s="59"/>
      <x:c r="AN161" s="59"/>
    </x:row>
    <x:row r="162">
      <x:c r="A162" s="59"/>
      <x:c r="B162" s="59"/>
      <x:c r="C162" s="59"/>
      <x:c r="D162" s="59"/>
      <x:c r="E162" s="59"/>
      <x:c r="F162" s="59"/>
      <x:c r="G162" s="59"/>
      <x:c r="H162" s="59"/>
      <x:c r="I162" s="59"/>
      <x:c r="J162" s="59"/>
      <x:c r="K162" s="59"/>
      <x:c r="L162" s="59"/>
      <x:c r="M162" s="59"/>
      <x:c r="N162" s="59"/>
      <x:c r="O162" s="59"/>
      <x:c r="P162" s="59"/>
      <x:c r="Q162" s="59"/>
      <x:c r="R162" s="59"/>
      <x:c r="S162" s="59"/>
      <x:c r="T162" s="59"/>
      <x:c r="U162" s="59"/>
      <x:c r="V162" s="59"/>
      <x:c r="W162" s="59"/>
      <x:c r="X162" s="59"/>
      <x:c r="Y162" s="59"/>
      <x:c r="Z162" s="59"/>
      <x:c r="AA162" s="59"/>
      <x:c r="AB162" s="59"/>
      <x:c r="AC162" s="59"/>
      <x:c r="AD162" s="59"/>
      <x:c r="AE162" s="59"/>
      <x:c r="AF162" s="59"/>
      <x:c r="AG162" s="59"/>
      <x:c r="AH162" s="59"/>
      <x:c r="AI162" s="59"/>
      <x:c r="AJ162" s="59"/>
      <x:c r="AK162" s="59"/>
      <x:c r="AL162" s="59"/>
      <x:c r="AM162" s="59"/>
      <x:c r="AN162" s="59"/>
    </x:row>
    <x:row r="163">
      <x:c r="A163" s="59"/>
      <x:c r="B163" s="59"/>
      <x:c r="C163" s="59"/>
      <x:c r="D163" s="59"/>
      <x:c r="E163" s="59"/>
      <x:c r="F163" s="59"/>
      <x:c r="G163" s="59"/>
      <x:c r="H163" s="59"/>
      <x:c r="I163" s="59"/>
      <x:c r="J163" s="59"/>
      <x:c r="K163" s="59"/>
      <x:c r="L163" s="59"/>
      <x:c r="M163" s="59"/>
      <x:c r="N163" s="59"/>
      <x:c r="O163" s="59"/>
      <x:c r="P163" s="59"/>
      <x:c r="Q163" s="59"/>
      <x:c r="R163" s="59"/>
      <x:c r="S163" s="59"/>
      <x:c r="T163" s="59"/>
      <x:c r="U163" s="59"/>
      <x:c r="V163" s="59"/>
      <x:c r="W163" s="59"/>
      <x:c r="X163" s="59"/>
      <x:c r="Y163" s="59"/>
      <x:c r="Z163" s="59"/>
      <x:c r="AA163" s="59"/>
      <x:c r="AB163" s="59"/>
      <x:c r="AC163" s="59"/>
      <x:c r="AD163" s="59"/>
      <x:c r="AE163" s="59"/>
      <x:c r="AF163" s="59"/>
      <x:c r="AG163" s="59"/>
      <x:c r="AH163" s="59"/>
      <x:c r="AI163" s="59"/>
      <x:c r="AJ163" s="59"/>
      <x:c r="AK163" s="59"/>
      <x:c r="AL163" s="59"/>
      <x:c r="AM163" s="59"/>
      <x:c r="AN163" s="59"/>
    </x:row>
    <x:row r="164">
      <x:c r="A164" s="59"/>
      <x:c r="B164" s="59"/>
      <x:c r="C164" s="59"/>
      <x:c r="D164" s="59"/>
      <x:c r="E164" s="59"/>
      <x:c r="F164" s="59"/>
      <x:c r="G164" s="59"/>
      <x:c r="H164" s="59"/>
      <x:c r="I164" s="59"/>
      <x:c r="J164" s="59"/>
      <x:c r="K164" s="59"/>
      <x:c r="L164" s="59"/>
      <x:c r="M164" s="59"/>
      <x:c r="N164" s="59"/>
      <x:c r="O164" s="59"/>
      <x:c r="P164" s="59"/>
      <x:c r="Q164" s="59"/>
      <x:c r="R164" s="59"/>
      <x:c r="S164" s="59"/>
      <x:c r="T164" s="59"/>
      <x:c r="U164" s="59"/>
      <x:c r="V164" s="59"/>
      <x:c r="W164" s="59"/>
      <x:c r="X164" s="59"/>
      <x:c r="Y164" s="59"/>
      <x:c r="Z164" s="59"/>
      <x:c r="AA164" s="59"/>
      <x:c r="AB164" s="59"/>
      <x:c r="AC164" s="59"/>
      <x:c r="AD164" s="59"/>
      <x:c r="AE164" s="59"/>
      <x:c r="AF164" s="59"/>
      <x:c r="AG164" s="59"/>
      <x:c r="AH164" s="59"/>
      <x:c r="AI164" s="59"/>
      <x:c r="AJ164" s="59"/>
      <x:c r="AK164" s="59"/>
      <x:c r="AL164" s="59"/>
      <x:c r="AM164" s="59"/>
      <x:c r="AN164" s="59"/>
    </x:row>
    <x:row r="165">
      <x:c r="A165" s="59"/>
      <x:c r="B165" s="59"/>
      <x:c r="C165" s="59"/>
      <x:c r="D165" s="59"/>
      <x:c r="E165" s="59"/>
      <x:c r="F165" s="59"/>
      <x:c r="G165" s="59"/>
      <x:c r="H165" s="59"/>
      <x:c r="I165" s="59"/>
      <x:c r="J165" s="59"/>
      <x:c r="K165" s="59"/>
      <x:c r="L165" s="59"/>
      <x:c r="M165" s="59"/>
      <x:c r="N165" s="59"/>
      <x:c r="O165" s="59"/>
      <x:c r="P165" s="59"/>
      <x:c r="Q165" s="59"/>
      <x:c r="R165" s="59"/>
      <x:c r="S165" s="59"/>
      <x:c r="T165" s="59"/>
      <x:c r="U165" s="59"/>
      <x:c r="V165" s="59"/>
      <x:c r="W165" s="59"/>
      <x:c r="X165" s="59"/>
      <x:c r="Y165" s="59"/>
      <x:c r="Z165" s="59"/>
      <x:c r="AA165" s="59"/>
      <x:c r="AB165" s="59"/>
      <x:c r="AC165" s="59"/>
      <x:c r="AD165" s="59"/>
      <x:c r="AE165" s="59"/>
      <x:c r="AF165" s="59"/>
      <x:c r="AG165" s="59"/>
      <x:c r="AH165" s="59"/>
      <x:c r="AI165" s="59"/>
      <x:c r="AJ165" s="59"/>
      <x:c r="AK165" s="59"/>
      <x:c r="AL165" s="59"/>
      <x:c r="AM165" s="59"/>
      <x:c r="AN165" s="59"/>
    </x:row>
    <x:row r="166">
      <x:c r="A166" s="59"/>
      <x:c r="B166" s="59"/>
      <x:c r="C166" s="59"/>
      <x:c r="D166" s="59"/>
      <x:c r="E166" s="59"/>
      <x:c r="F166" s="59"/>
      <x:c r="G166" s="59"/>
      <x:c r="H166" s="59"/>
      <x:c r="I166" s="59"/>
      <x:c r="J166" s="59"/>
      <x:c r="K166" s="59"/>
      <x:c r="L166" s="59"/>
      <x:c r="M166" s="59"/>
      <x:c r="N166" s="59"/>
      <x:c r="O166" s="59"/>
      <x:c r="P166" s="59"/>
      <x:c r="Q166" s="59"/>
      <x:c r="R166" s="59"/>
      <x:c r="S166" s="59"/>
      <x:c r="T166" s="59"/>
      <x:c r="U166" s="59"/>
      <x:c r="V166" s="59"/>
      <x:c r="W166" s="59"/>
      <x:c r="X166" s="59"/>
      <x:c r="Y166" s="59"/>
      <x:c r="Z166" s="59"/>
      <x:c r="AA166" s="59"/>
      <x:c r="AB166" s="59"/>
      <x:c r="AC166" s="59"/>
      <x:c r="AD166" s="59"/>
      <x:c r="AE166" s="59"/>
      <x:c r="AF166" s="59"/>
      <x:c r="AG166" s="59"/>
      <x:c r="AH166" s="59"/>
      <x:c r="AI166" s="59"/>
      <x:c r="AJ166" s="59"/>
      <x:c r="AK166" s="59"/>
      <x:c r="AL166" s="59"/>
      <x:c r="AM166" s="59"/>
      <x:c r="AN166" s="59"/>
    </x:row>
    <x:row r="167">
      <x:c r="A167" s="59"/>
      <x:c r="B167" s="59"/>
      <x:c r="C167" s="59"/>
      <x:c r="D167" s="59"/>
      <x:c r="E167" s="59"/>
      <x:c r="F167" s="59"/>
      <x:c r="G167" s="59"/>
      <x:c r="H167" s="59"/>
      <x:c r="I167" s="59"/>
      <x:c r="J167" s="59"/>
      <x:c r="K167" s="59"/>
      <x:c r="L167" s="59"/>
      <x:c r="M167" s="59"/>
      <x:c r="N167" s="59"/>
      <x:c r="O167" s="59"/>
      <x:c r="P167" s="59"/>
      <x:c r="Q167" s="59"/>
      <x:c r="R167" s="59"/>
      <x:c r="S167" s="59"/>
      <x:c r="T167" s="59"/>
      <x:c r="U167" s="59"/>
      <x:c r="V167" s="59"/>
      <x:c r="W167" s="59"/>
      <x:c r="X167" s="59"/>
      <x:c r="Y167" s="59"/>
      <x:c r="Z167" s="59"/>
      <x:c r="AA167" s="59"/>
      <x:c r="AB167" s="59"/>
      <x:c r="AC167" s="59"/>
      <x:c r="AD167" s="59"/>
      <x:c r="AE167" s="59"/>
      <x:c r="AF167" s="59"/>
      <x:c r="AG167" s="59"/>
      <x:c r="AH167" s="59"/>
      <x:c r="AI167" s="59"/>
      <x:c r="AJ167" s="59"/>
      <x:c r="AK167" s="59"/>
      <x:c r="AL167" s="59"/>
      <x:c r="AM167" s="59"/>
      <x:c r="AN167" s="59"/>
    </x:row>
    <x:row r="168">
      <x:c r="A168" s="59"/>
      <x:c r="B168" s="59"/>
      <x:c r="C168" s="59"/>
      <x:c r="D168" s="59"/>
      <x:c r="E168" s="59"/>
      <x:c r="F168" s="59"/>
      <x:c r="G168" s="59"/>
      <x:c r="H168" s="59"/>
      <x:c r="I168" s="59"/>
      <x:c r="J168" s="59"/>
      <x:c r="K168" s="59"/>
      <x:c r="L168" s="59"/>
      <x:c r="M168" s="59"/>
      <x:c r="N168" s="59"/>
      <x:c r="O168" s="59"/>
      <x:c r="P168" s="59"/>
      <x:c r="Q168" s="59"/>
      <x:c r="R168" s="59"/>
      <x:c r="S168" s="59"/>
      <x:c r="T168" s="59"/>
      <x:c r="U168" s="59"/>
      <x:c r="V168" s="59"/>
      <x:c r="W168" s="59"/>
      <x:c r="X168" s="59"/>
      <x:c r="Y168" s="59"/>
      <x:c r="Z168" s="59"/>
      <x:c r="AA168" s="59"/>
      <x:c r="AB168" s="59"/>
      <x:c r="AC168" s="59"/>
      <x:c r="AD168" s="59"/>
      <x:c r="AE168" s="59"/>
      <x:c r="AF168" s="59"/>
      <x:c r="AG168" s="59"/>
      <x:c r="AH168" s="59"/>
      <x:c r="AI168" s="59"/>
      <x:c r="AJ168" s="59"/>
      <x:c r="AK168" s="59"/>
      <x:c r="AL168" s="59"/>
      <x:c r="AM168" s="59"/>
      <x:c r="AN168" s="59"/>
    </x:row>
    <x:row r="169">
      <x:c r="A169" s="59"/>
      <x:c r="B169" s="59"/>
      <x:c r="C169" s="59"/>
      <x:c r="D169" s="59"/>
      <x:c r="E169" s="59"/>
      <x:c r="F169" s="59"/>
      <x:c r="G169" s="59"/>
      <x:c r="H169" s="59"/>
      <x:c r="I169" s="59"/>
      <x:c r="J169" s="59"/>
      <x:c r="K169" s="59"/>
      <x:c r="L169" s="59"/>
      <x:c r="M169" s="59"/>
      <x:c r="N169" s="59"/>
      <x:c r="O169" s="59"/>
      <x:c r="P169" s="59"/>
      <x:c r="Q169" s="59"/>
      <x:c r="R169" s="59"/>
      <x:c r="S169" s="59"/>
      <x:c r="T169" s="59"/>
      <x:c r="U169" s="59"/>
      <x:c r="V169" s="59"/>
      <x:c r="W169" s="59"/>
      <x:c r="X169" s="59"/>
      <x:c r="Y169" s="59"/>
      <x:c r="Z169" s="59"/>
      <x:c r="AA169" s="59"/>
      <x:c r="AB169" s="59"/>
      <x:c r="AC169" s="59"/>
      <x:c r="AD169" s="59"/>
      <x:c r="AE169" s="59"/>
      <x:c r="AF169" s="59"/>
      <x:c r="AG169" s="59"/>
      <x:c r="AH169" s="59"/>
      <x:c r="AI169" s="59"/>
      <x:c r="AJ169" s="59"/>
      <x:c r="AK169" s="59"/>
      <x:c r="AL169" s="59"/>
      <x:c r="AM169" s="59"/>
      <x:c r="AN169" s="59"/>
    </x:row>
    <x:row r="170">
      <x:c r="A170" s="59"/>
      <x:c r="B170" s="59"/>
      <x:c r="C170" s="59"/>
      <x:c r="D170" s="59"/>
      <x:c r="E170" s="59"/>
      <x:c r="F170" s="59"/>
      <x:c r="G170" s="59"/>
      <x:c r="H170" s="59"/>
      <x:c r="I170" s="59"/>
      <x:c r="J170" s="59"/>
      <x:c r="K170" s="59"/>
      <x:c r="L170" s="59"/>
      <x:c r="M170" s="59"/>
      <x:c r="N170" s="59"/>
      <x:c r="O170" s="59"/>
      <x:c r="P170" s="59"/>
      <x:c r="Q170" s="59"/>
      <x:c r="R170" s="59"/>
      <x:c r="S170" s="59"/>
      <x:c r="T170" s="59"/>
      <x:c r="U170" s="59"/>
      <x:c r="V170" s="59"/>
      <x:c r="W170" s="59"/>
      <x:c r="X170" s="59"/>
      <x:c r="Y170" s="59"/>
      <x:c r="Z170" s="59"/>
      <x:c r="AA170" s="59"/>
      <x:c r="AB170" s="59"/>
      <x:c r="AC170" s="59"/>
      <x:c r="AD170" s="59"/>
      <x:c r="AE170" s="59"/>
      <x:c r="AF170" s="59"/>
      <x:c r="AG170" s="59"/>
      <x:c r="AH170" s="59"/>
      <x:c r="AI170" s="59"/>
      <x:c r="AJ170" s="59"/>
      <x:c r="AK170" s="59"/>
      <x:c r="AL170" s="59"/>
      <x:c r="AM170" s="59"/>
      <x:c r="AN170" s="59"/>
    </x:row>
    <x:row r="171">
      <x:c r="A171" s="59"/>
      <x:c r="B171" s="59"/>
      <x:c r="C171" s="59"/>
      <x:c r="D171" s="59"/>
      <x:c r="E171" s="59"/>
      <x:c r="F171" s="59"/>
      <x:c r="G171" s="59"/>
      <x:c r="H171" s="59"/>
      <x:c r="I171" s="59"/>
      <x:c r="J171" s="59"/>
      <x:c r="K171" s="59"/>
      <x:c r="L171" s="59"/>
      <x:c r="M171" s="59"/>
      <x:c r="N171" s="59"/>
      <x:c r="O171" s="59"/>
      <x:c r="P171" s="59"/>
      <x:c r="Q171" s="59"/>
      <x:c r="R171" s="59"/>
      <x:c r="S171" s="59"/>
      <x:c r="T171" s="59"/>
      <x:c r="U171" s="59"/>
      <x:c r="V171" s="59"/>
      <x:c r="W171" s="59"/>
      <x:c r="X171" s="59"/>
      <x:c r="Y171" s="59"/>
      <x:c r="Z171" s="59"/>
      <x:c r="AA171" s="59"/>
      <x:c r="AB171" s="59"/>
      <x:c r="AC171" s="59"/>
      <x:c r="AD171" s="59"/>
      <x:c r="AE171" s="59"/>
      <x:c r="AF171" s="59"/>
      <x:c r="AG171" s="59"/>
      <x:c r="AH171" s="59"/>
      <x:c r="AI171" s="59"/>
      <x:c r="AJ171" s="59"/>
      <x:c r="AK171" s="59"/>
      <x:c r="AL171" s="59"/>
      <x:c r="AM171" s="59"/>
      <x:c r="AN171" s="59"/>
    </x:row>
    <x:row r="172">
      <x:c r="A172" s="59"/>
      <x:c r="B172" s="59"/>
      <x:c r="C172" s="59"/>
      <x:c r="D172" s="59"/>
      <x:c r="E172" s="59"/>
      <x:c r="F172" s="59"/>
      <x:c r="G172" s="59"/>
      <x:c r="H172" s="59"/>
      <x:c r="I172" s="59"/>
      <x:c r="J172" s="59"/>
      <x:c r="K172" s="59"/>
      <x:c r="L172" s="59"/>
      <x:c r="M172" s="59"/>
      <x:c r="N172" s="59"/>
      <x:c r="O172" s="59"/>
      <x:c r="P172" s="59"/>
      <x:c r="Q172" s="59"/>
      <x:c r="R172" s="59"/>
      <x:c r="S172" s="59"/>
      <x:c r="T172" s="59"/>
      <x:c r="U172" s="59"/>
      <x:c r="V172" s="59"/>
      <x:c r="W172" s="59"/>
      <x:c r="X172" s="59"/>
      <x:c r="Y172" s="59"/>
      <x:c r="Z172" s="59"/>
      <x:c r="AA172" s="59"/>
      <x:c r="AB172" s="59"/>
      <x:c r="AC172" s="59"/>
      <x:c r="AD172" s="59"/>
      <x:c r="AE172" s="59"/>
      <x:c r="AF172" s="59"/>
      <x:c r="AG172" s="59"/>
      <x:c r="AH172" s="59"/>
      <x:c r="AI172" s="59"/>
      <x:c r="AJ172" s="59"/>
      <x:c r="AK172" s="59"/>
      <x:c r="AL172" s="59"/>
      <x:c r="AM172" s="59"/>
      <x:c r="AN172" s="59"/>
    </x:row>
    <x:row r="173">
      <x:c r="A173" s="59"/>
      <x:c r="B173" s="59"/>
      <x:c r="C173" s="59"/>
      <x:c r="D173" s="59"/>
      <x:c r="E173" s="59"/>
      <x:c r="F173" s="59"/>
      <x:c r="G173" s="59"/>
      <x:c r="H173" s="59"/>
      <x:c r="I173" s="59"/>
      <x:c r="J173" s="59"/>
      <x:c r="K173" s="59"/>
      <x:c r="L173" s="59"/>
      <x:c r="M173" s="59"/>
      <x:c r="N173" s="59"/>
      <x:c r="O173" s="59"/>
      <x:c r="P173" s="59"/>
      <x:c r="Q173" s="59"/>
      <x:c r="R173" s="59"/>
      <x:c r="S173" s="59"/>
      <x:c r="T173" s="59"/>
      <x:c r="U173" s="59"/>
      <x:c r="V173" s="59"/>
      <x:c r="W173" s="59"/>
      <x:c r="X173" s="59"/>
      <x:c r="Y173" s="59"/>
      <x:c r="Z173" s="59"/>
      <x:c r="AA173" s="59"/>
      <x:c r="AB173" s="59"/>
      <x:c r="AC173" s="59"/>
      <x:c r="AD173" s="59"/>
      <x:c r="AE173" s="59"/>
      <x:c r="AF173" s="59"/>
      <x:c r="AG173" s="59"/>
      <x:c r="AH173" s="59"/>
      <x:c r="AI173" s="59"/>
      <x:c r="AJ173" s="59"/>
      <x:c r="AK173" s="59"/>
      <x:c r="AL173" s="59"/>
      <x:c r="AM173" s="59"/>
      <x:c r="AN173" s="59"/>
    </x:row>
    <x:row r="174">
      <x:c r="A174" s="59"/>
      <x:c r="B174" s="59"/>
      <x:c r="C174" s="59"/>
      <x:c r="D174" s="59"/>
      <x:c r="E174" s="59"/>
      <x:c r="F174" s="59"/>
      <x:c r="G174" s="59"/>
      <x:c r="H174" s="59"/>
      <x:c r="I174" s="59"/>
      <x:c r="J174" s="59"/>
      <x:c r="K174" s="59"/>
      <x:c r="L174" s="59"/>
      <x:c r="M174" s="59"/>
      <x:c r="N174" s="59"/>
      <x:c r="O174" s="59"/>
      <x:c r="P174" s="59"/>
      <x:c r="Q174" s="59"/>
      <x:c r="R174" s="59"/>
      <x:c r="S174" s="59"/>
      <x:c r="T174" s="59"/>
      <x:c r="U174" s="59"/>
      <x:c r="V174" s="59"/>
      <x:c r="W174" s="59"/>
      <x:c r="X174" s="59"/>
      <x:c r="Y174" s="59"/>
      <x:c r="Z174" s="59"/>
      <x:c r="AA174" s="59"/>
      <x:c r="AB174" s="59"/>
      <x:c r="AC174" s="59"/>
      <x:c r="AD174" s="59"/>
      <x:c r="AE174" s="59"/>
      <x:c r="AF174" s="59"/>
      <x:c r="AG174" s="59"/>
      <x:c r="AH174" s="59"/>
      <x:c r="AI174" s="59"/>
      <x:c r="AJ174" s="59"/>
      <x:c r="AK174" s="59"/>
      <x:c r="AL174" s="59"/>
      <x:c r="AM174" s="59"/>
      <x:c r="AN174" s="59"/>
    </x:row>
    <x:row r="175">
      <x:c r="A175" s="59"/>
      <x:c r="B175" s="59"/>
      <x:c r="C175" s="59"/>
      <x:c r="D175" s="59"/>
      <x:c r="E175" s="59"/>
      <x:c r="F175" s="59"/>
      <x:c r="G175" s="59"/>
      <x:c r="H175" s="59"/>
      <x:c r="I175" s="59"/>
      <x:c r="J175" s="59"/>
      <x:c r="K175" s="59"/>
      <x:c r="L175" s="59"/>
      <x:c r="M175" s="59"/>
      <x:c r="N175" s="59"/>
      <x:c r="O175" s="59"/>
      <x:c r="P175" s="59"/>
      <x:c r="Q175" s="59"/>
      <x:c r="R175" s="59"/>
      <x:c r="S175" s="59"/>
      <x:c r="T175" s="59"/>
      <x:c r="U175" s="59"/>
      <x:c r="V175" s="59"/>
      <x:c r="W175" s="59"/>
      <x:c r="X175" s="59"/>
      <x:c r="Y175" s="59"/>
      <x:c r="Z175" s="59"/>
      <x:c r="AA175" s="59"/>
      <x:c r="AB175" s="59"/>
      <x:c r="AC175" s="59"/>
      <x:c r="AD175" s="59"/>
      <x:c r="AE175" s="59"/>
      <x:c r="AF175" s="59"/>
      <x:c r="AG175" s="59"/>
      <x:c r="AH175" s="59"/>
      <x:c r="AI175" s="59"/>
      <x:c r="AJ175" s="59"/>
      <x:c r="AK175" s="59"/>
      <x:c r="AL175" s="59"/>
      <x:c r="AM175" s="59"/>
      <x:c r="AN175" s="59"/>
    </x:row>
    <x:row r="176">
      <x:c r="A176" s="59"/>
      <x:c r="B176" s="59"/>
      <x:c r="C176" s="59"/>
      <x:c r="D176" s="59"/>
      <x:c r="E176" s="59"/>
      <x:c r="F176" s="59"/>
      <x:c r="G176" s="59"/>
      <x:c r="H176" s="59"/>
      <x:c r="I176" s="59"/>
      <x:c r="J176" s="59"/>
      <x:c r="K176" s="59"/>
      <x:c r="L176" s="59"/>
      <x:c r="M176" s="59"/>
      <x:c r="N176" s="59"/>
      <x:c r="O176" s="59"/>
      <x:c r="P176" s="59"/>
      <x:c r="Q176" s="59"/>
      <x:c r="R176" s="59"/>
      <x:c r="S176" s="59"/>
      <x:c r="T176" s="59"/>
      <x:c r="U176" s="59"/>
      <x:c r="V176" s="59"/>
      <x:c r="W176" s="59"/>
      <x:c r="X176" s="59"/>
      <x:c r="Y176" s="59"/>
      <x:c r="Z176" s="59"/>
      <x:c r="AA176" s="59"/>
      <x:c r="AB176" s="59"/>
      <x:c r="AC176" s="59"/>
      <x:c r="AD176" s="59"/>
      <x:c r="AE176" s="59"/>
      <x:c r="AF176" s="59"/>
      <x:c r="AG176" s="59"/>
      <x:c r="AH176" s="59"/>
      <x:c r="AI176" s="59"/>
      <x:c r="AJ176" s="59"/>
      <x:c r="AK176" s="59"/>
      <x:c r="AL176" s="59"/>
      <x:c r="AM176" s="59"/>
      <x:c r="AN176" s="59"/>
    </x:row>
    <x:row r="177">
      <x:c r="A177" s="59"/>
      <x:c r="B177" s="59"/>
      <x:c r="C177" s="59"/>
      <x:c r="D177" s="59"/>
      <x:c r="E177" s="59"/>
      <x:c r="F177" s="59"/>
      <x:c r="G177" s="59"/>
      <x:c r="H177" s="59"/>
      <x:c r="I177" s="59"/>
      <x:c r="J177" s="59"/>
      <x:c r="K177" s="59"/>
      <x:c r="L177" s="59"/>
      <x:c r="M177" s="59"/>
      <x:c r="N177" s="59"/>
      <x:c r="O177" s="59"/>
      <x:c r="P177" s="59"/>
      <x:c r="Q177" s="59"/>
      <x:c r="R177" s="59"/>
      <x:c r="S177" s="59"/>
      <x:c r="T177" s="59"/>
      <x:c r="U177" s="59"/>
      <x:c r="V177" s="59"/>
      <x:c r="W177" s="59"/>
      <x:c r="X177" s="59"/>
      <x:c r="Y177" s="59"/>
      <x:c r="Z177" s="59"/>
      <x:c r="AA177" s="59"/>
      <x:c r="AB177" s="59"/>
      <x:c r="AC177" s="59"/>
      <x:c r="AD177" s="59"/>
      <x:c r="AE177" s="59"/>
      <x:c r="AF177" s="59"/>
      <x:c r="AG177" s="59"/>
      <x:c r="AH177" s="59"/>
      <x:c r="AI177" s="59"/>
      <x:c r="AJ177" s="59"/>
      <x:c r="AK177" s="59"/>
      <x:c r="AL177" s="59"/>
      <x:c r="AM177" s="59"/>
      <x:c r="AN177" s="59"/>
    </x:row>
    <x:row r="178">
      <x:c r="A178" s="59"/>
      <x:c r="B178" s="59"/>
      <x:c r="C178" s="59"/>
      <x:c r="D178" s="59"/>
      <x:c r="E178" s="59"/>
      <x:c r="F178" s="59"/>
      <x:c r="G178" s="59"/>
      <x:c r="H178" s="59"/>
      <x:c r="I178" s="59"/>
      <x:c r="J178" s="59"/>
      <x:c r="K178" s="59"/>
      <x:c r="L178" s="59"/>
      <x:c r="M178" s="59"/>
      <x:c r="N178" s="59"/>
      <x:c r="O178" s="59"/>
      <x:c r="P178" s="59"/>
      <x:c r="Q178" s="59"/>
      <x:c r="R178" s="59"/>
      <x:c r="S178" s="59"/>
      <x:c r="T178" s="59"/>
      <x:c r="U178" s="59"/>
      <x:c r="V178" s="59"/>
      <x:c r="W178" s="59"/>
      <x:c r="X178" s="59"/>
      <x:c r="Y178" s="59"/>
      <x:c r="Z178" s="59"/>
      <x:c r="AA178" s="59"/>
      <x:c r="AB178" s="59"/>
      <x:c r="AC178" s="59"/>
      <x:c r="AD178" s="59"/>
      <x:c r="AE178" s="59"/>
      <x:c r="AF178" s="59"/>
      <x:c r="AG178" s="59"/>
      <x:c r="AH178" s="59"/>
      <x:c r="AI178" s="59"/>
      <x:c r="AJ178" s="59"/>
      <x:c r="AK178" s="59"/>
      <x:c r="AL178" s="59"/>
      <x:c r="AM178" s="59"/>
      <x:c r="AN178" s="59"/>
    </x:row>
    <x:row r="179">
      <x:c r="A179" s="59"/>
      <x:c r="B179" s="59"/>
      <x:c r="C179" s="59"/>
      <x:c r="D179" s="59"/>
      <x:c r="E179" s="59"/>
      <x:c r="F179" s="59"/>
      <x:c r="G179" s="59"/>
      <x:c r="H179" s="59"/>
      <x:c r="I179" s="59"/>
      <x:c r="J179" s="59"/>
      <x:c r="K179" s="59"/>
      <x:c r="L179" s="59"/>
      <x:c r="M179" s="59"/>
      <x:c r="N179" s="59"/>
      <x:c r="O179" s="59"/>
      <x:c r="P179" s="59"/>
      <x:c r="Q179" s="59"/>
      <x:c r="R179" s="59"/>
      <x:c r="S179" s="59"/>
      <x:c r="T179" s="59"/>
      <x:c r="U179" s="59"/>
      <x:c r="V179" s="59"/>
      <x:c r="W179" s="59"/>
      <x:c r="X179" s="59"/>
      <x:c r="Y179" s="59"/>
      <x:c r="Z179" s="59"/>
      <x:c r="AA179" s="59"/>
      <x:c r="AB179" s="59"/>
      <x:c r="AC179" s="59"/>
      <x:c r="AD179" s="59"/>
      <x:c r="AE179" s="59"/>
      <x:c r="AF179" s="59"/>
      <x:c r="AG179" s="59"/>
      <x:c r="AH179" s="59"/>
      <x:c r="AI179" s="59"/>
      <x:c r="AJ179" s="59"/>
      <x:c r="AK179" s="59"/>
      <x:c r="AL179" s="59"/>
      <x:c r="AM179" s="59"/>
      <x:c r="AN179" s="59"/>
    </x:row>
    <x:row r="180">
      <x:c r="A180" s="59"/>
      <x:c r="B180" s="59"/>
      <x:c r="C180" s="59"/>
      <x:c r="D180" s="59"/>
      <x:c r="E180" s="59"/>
      <x:c r="F180" s="59"/>
      <x:c r="G180" s="59"/>
      <x:c r="H180" s="59"/>
      <x:c r="I180" s="59"/>
      <x:c r="J180" s="59"/>
      <x:c r="K180" s="59"/>
      <x:c r="L180" s="59"/>
      <x:c r="M180" s="59"/>
      <x:c r="N180" s="59"/>
      <x:c r="O180" s="59"/>
      <x:c r="P180" s="59"/>
      <x:c r="Q180" s="59"/>
      <x:c r="R180" s="59"/>
      <x:c r="S180" s="59"/>
      <x:c r="T180" s="59"/>
      <x:c r="U180" s="59"/>
      <x:c r="V180" s="59"/>
      <x:c r="W180" s="59"/>
      <x:c r="X180" s="59"/>
      <x:c r="Y180" s="59"/>
      <x:c r="Z180" s="59"/>
      <x:c r="AA180" s="59"/>
      <x:c r="AB180" s="59"/>
      <x:c r="AC180" s="59"/>
      <x:c r="AD180" s="59"/>
      <x:c r="AE180" s="59"/>
      <x:c r="AF180" s="59"/>
      <x:c r="AG180" s="59"/>
      <x:c r="AH180" s="59"/>
      <x:c r="AI180" s="59"/>
      <x:c r="AJ180" s="59"/>
      <x:c r="AK180" s="59"/>
      <x:c r="AL180" s="59"/>
      <x:c r="AM180" s="59"/>
      <x:c r="AN180" s="59"/>
    </x:row>
    <x:row r="181">
      <x:c r="A181" s="59"/>
      <x:c r="B181" s="59"/>
      <x:c r="C181" s="59"/>
      <x:c r="D181" s="59"/>
      <x:c r="E181" s="59"/>
      <x:c r="F181" s="59"/>
      <x:c r="G181" s="59"/>
      <x:c r="H181" s="59"/>
      <x:c r="I181" s="59"/>
      <x:c r="J181" s="59"/>
      <x:c r="K181" s="59"/>
      <x:c r="L181" s="59"/>
      <x:c r="M181" s="59"/>
      <x:c r="N181" s="59"/>
      <x:c r="O181" s="59"/>
      <x:c r="P181" s="59"/>
      <x:c r="Q181" s="59"/>
      <x:c r="R181" s="59"/>
      <x:c r="S181" s="59"/>
      <x:c r="T181" s="59"/>
      <x:c r="U181" s="59"/>
      <x:c r="V181" s="59"/>
      <x:c r="W181" s="59"/>
      <x:c r="X181" s="59"/>
      <x:c r="Y181" s="59"/>
      <x:c r="Z181" s="59"/>
      <x:c r="AA181" s="59"/>
      <x:c r="AB181" s="59"/>
      <x:c r="AC181" s="59"/>
      <x:c r="AD181" s="59"/>
      <x:c r="AE181" s="59"/>
      <x:c r="AF181" s="59"/>
      <x:c r="AG181" s="59"/>
      <x:c r="AH181" s="59"/>
      <x:c r="AI181" s="59"/>
      <x:c r="AJ181" s="59"/>
      <x:c r="AK181" s="59"/>
      <x:c r="AL181" s="59"/>
      <x:c r="AM181" s="59"/>
      <x:c r="AN181" s="59"/>
    </x:row>
    <x:row r="182">
      <x:c r="A182" s="59"/>
      <x:c r="B182" s="59"/>
      <x:c r="C182" s="59"/>
      <x:c r="D182" s="59"/>
      <x:c r="E182" s="59"/>
      <x:c r="F182" s="59"/>
      <x:c r="G182" s="59"/>
      <x:c r="H182" s="59"/>
      <x:c r="I182" s="59"/>
      <x:c r="J182" s="59"/>
      <x:c r="K182" s="59"/>
      <x:c r="L182" s="59"/>
      <x:c r="M182" s="59"/>
      <x:c r="N182" s="59"/>
      <x:c r="O182" s="59"/>
      <x:c r="P182" s="59"/>
      <x:c r="Q182" s="59"/>
      <x:c r="R182" s="59"/>
      <x:c r="S182" s="59"/>
      <x:c r="T182" s="59"/>
      <x:c r="U182" s="59"/>
      <x:c r="V182" s="59"/>
      <x:c r="W182" s="59"/>
      <x:c r="X182" s="59"/>
      <x:c r="Y182" s="59"/>
      <x:c r="Z182" s="59"/>
      <x:c r="AA182" s="59"/>
      <x:c r="AB182" s="59"/>
      <x:c r="AC182" s="59"/>
      <x:c r="AD182" s="59"/>
      <x:c r="AE182" s="59"/>
      <x:c r="AF182" s="59"/>
      <x:c r="AG182" s="59"/>
      <x:c r="AH182" s="59"/>
      <x:c r="AI182" s="59"/>
      <x:c r="AJ182" s="59"/>
      <x:c r="AK182" s="59"/>
      <x:c r="AL182" s="59"/>
      <x:c r="AM182" s="59"/>
      <x:c r="AN182" s="59"/>
    </x:row>
    <x:row r="183">
      <x:c r="A183" s="59"/>
      <x:c r="B183" s="59"/>
      <x:c r="C183" s="59"/>
      <x:c r="D183" s="59"/>
      <x:c r="E183" s="59"/>
      <x:c r="F183" s="59"/>
      <x:c r="G183" s="59"/>
      <x:c r="H183" s="59"/>
      <x:c r="I183" s="59"/>
      <x:c r="J183" s="59"/>
      <x:c r="K183" s="59"/>
      <x:c r="L183" s="59"/>
      <x:c r="M183" s="59"/>
      <x:c r="N183" s="59"/>
      <x:c r="O183" s="59"/>
      <x:c r="P183" s="59"/>
      <x:c r="Q183" s="59"/>
      <x:c r="R183" s="59"/>
      <x:c r="S183" s="59"/>
      <x:c r="T183" s="59"/>
      <x:c r="U183" s="59"/>
      <x:c r="V183" s="59"/>
      <x:c r="W183" s="59"/>
      <x:c r="X183" s="59"/>
      <x:c r="Y183" s="59"/>
      <x:c r="Z183" s="59"/>
      <x:c r="AA183" s="59"/>
      <x:c r="AB183" s="59"/>
      <x:c r="AC183" s="59"/>
      <x:c r="AD183" s="59"/>
      <x:c r="AE183" s="59"/>
      <x:c r="AF183" s="59"/>
      <x:c r="AG183" s="59"/>
      <x:c r="AH183" s="59"/>
      <x:c r="AI183" s="59"/>
      <x:c r="AJ183" s="59"/>
      <x:c r="AK183" s="59"/>
      <x:c r="AL183" s="59"/>
      <x:c r="AM183" s="59"/>
      <x:c r="AN183" s="59"/>
    </x:row>
    <x:row r="184">
      <x:c r="A184" s="59"/>
      <x:c r="B184" s="59"/>
      <x:c r="C184" s="59"/>
      <x:c r="D184" s="59"/>
      <x:c r="E184" s="59"/>
      <x:c r="F184" s="59"/>
      <x:c r="G184" s="59"/>
      <x:c r="H184" s="59"/>
      <x:c r="I184" s="59"/>
      <x:c r="J184" s="59"/>
      <x:c r="K184" s="59"/>
      <x:c r="L184" s="59"/>
      <x:c r="M184" s="59"/>
      <x:c r="N184" s="59"/>
      <x:c r="O184" s="59"/>
      <x:c r="P184" s="59"/>
      <x:c r="Q184" s="59"/>
      <x:c r="R184" s="59"/>
      <x:c r="S184" s="59"/>
      <x:c r="T184" s="59"/>
      <x:c r="U184" s="59"/>
      <x:c r="V184" s="59"/>
      <x:c r="W184" s="59"/>
      <x:c r="X184" s="59"/>
      <x:c r="Y184" s="59"/>
      <x:c r="Z184" s="59"/>
      <x:c r="AA184" s="59"/>
      <x:c r="AB184" s="59"/>
      <x:c r="AC184" s="59"/>
      <x:c r="AD184" s="59"/>
      <x:c r="AE184" s="59"/>
      <x:c r="AF184" s="59"/>
      <x:c r="AG184" s="59"/>
      <x:c r="AH184" s="59"/>
      <x:c r="AI184" s="59"/>
      <x:c r="AJ184" s="59"/>
      <x:c r="AK184" s="59"/>
      <x:c r="AL184" s="59"/>
      <x:c r="AM184" s="59"/>
      <x:c r="AN184" s="59"/>
    </x:row>
    <x:row r="185">
      <x:c r="A185" s="59"/>
      <x:c r="B185" s="59"/>
      <x:c r="C185" s="59"/>
      <x:c r="D185" s="59"/>
      <x:c r="E185" s="59"/>
      <x:c r="F185" s="59"/>
      <x:c r="G185" s="59"/>
      <x:c r="H185" s="59"/>
      <x:c r="I185" s="59"/>
      <x:c r="J185" s="59"/>
      <x:c r="K185" s="59"/>
      <x:c r="L185" s="59"/>
      <x:c r="M185" s="59"/>
      <x:c r="N185" s="59"/>
      <x:c r="O185" s="59"/>
      <x:c r="P185" s="59"/>
      <x:c r="Q185" s="59"/>
      <x:c r="R185" s="59"/>
      <x:c r="S185" s="59"/>
      <x:c r="T185" s="59"/>
      <x:c r="U185" s="59"/>
      <x:c r="V185" s="59"/>
      <x:c r="W185" s="59"/>
      <x:c r="X185" s="59"/>
      <x:c r="Y185" s="59"/>
      <x:c r="Z185" s="59"/>
      <x:c r="AA185" s="59"/>
      <x:c r="AB185" s="59"/>
      <x:c r="AC185" s="59"/>
      <x:c r="AD185" s="59"/>
      <x:c r="AE185" s="59"/>
      <x:c r="AF185" s="59"/>
      <x:c r="AG185" s="59"/>
      <x:c r="AH185" s="59"/>
      <x:c r="AI185" s="59"/>
      <x:c r="AJ185" s="59"/>
      <x:c r="AK185" s="59"/>
      <x:c r="AL185" s="59"/>
      <x:c r="AM185" s="59"/>
      <x:c r="AN185" s="59"/>
    </x:row>
    <x:row r="186">
      <x:c r="A186" s="59"/>
      <x:c r="B186" s="59"/>
      <x:c r="C186" s="59"/>
      <x:c r="D186" s="59"/>
      <x:c r="E186" s="59"/>
      <x:c r="F186" s="59"/>
      <x:c r="G186" s="59"/>
      <x:c r="H186" s="59"/>
      <x:c r="I186" s="59"/>
      <x:c r="J186" s="59"/>
      <x:c r="K186" s="59"/>
      <x:c r="L186" s="59"/>
      <x:c r="M186" s="59"/>
      <x:c r="N186" s="59"/>
      <x:c r="O186" s="59"/>
      <x:c r="P186" s="59"/>
      <x:c r="Q186" s="59"/>
      <x:c r="R186" s="59"/>
      <x:c r="S186" s="59"/>
      <x:c r="T186" s="59"/>
      <x:c r="U186" s="59"/>
      <x:c r="V186" s="59"/>
      <x:c r="W186" s="59"/>
      <x:c r="X186" s="59"/>
      <x:c r="Y186" s="59"/>
      <x:c r="Z186" s="59"/>
      <x:c r="AA186" s="59"/>
      <x:c r="AB186" s="59"/>
      <x:c r="AC186" s="59"/>
      <x:c r="AD186" s="59"/>
      <x:c r="AE186" s="59"/>
      <x:c r="AF186" s="59"/>
      <x:c r="AG186" s="59"/>
      <x:c r="AH186" s="59"/>
      <x:c r="AI186" s="59"/>
      <x:c r="AJ186" s="59"/>
      <x:c r="AK186" s="59"/>
      <x:c r="AL186" s="59"/>
      <x:c r="AM186" s="59"/>
      <x:c r="AN186" s="59"/>
    </x:row>
    <x:row r="187">
      <x:c r="A187" s="59"/>
      <x:c r="B187" s="59"/>
      <x:c r="C187" s="59"/>
      <x:c r="D187" s="59"/>
      <x:c r="E187" s="59"/>
      <x:c r="F187" s="59"/>
      <x:c r="G187" s="59"/>
      <x:c r="H187" s="59"/>
      <x:c r="I187" s="59"/>
      <x:c r="J187" s="59"/>
      <x:c r="K187" s="59"/>
      <x:c r="L187" s="59"/>
      <x:c r="M187" s="59"/>
      <x:c r="N187" s="59"/>
      <x:c r="O187" s="59"/>
      <x:c r="P187" s="59"/>
      <x:c r="Q187" s="59"/>
      <x:c r="R187" s="59"/>
      <x:c r="S187" s="59"/>
      <x:c r="T187" s="59"/>
      <x:c r="U187" s="59"/>
      <x:c r="V187" s="59"/>
      <x:c r="W187" s="59"/>
      <x:c r="X187" s="59"/>
      <x:c r="Y187" s="59"/>
      <x:c r="Z187" s="59"/>
      <x:c r="AA187" s="59"/>
      <x:c r="AB187" s="59"/>
      <x:c r="AC187" s="59"/>
      <x:c r="AD187" s="59"/>
      <x:c r="AE187" s="59"/>
      <x:c r="AF187" s="59"/>
      <x:c r="AG187" s="59"/>
      <x:c r="AH187" s="59"/>
      <x:c r="AI187" s="59"/>
      <x:c r="AJ187" s="59"/>
      <x:c r="AK187" s="59"/>
      <x:c r="AL187" s="59"/>
      <x:c r="AM187" s="59"/>
      <x:c r="AN187" s="59"/>
    </x:row>
    <x:row r="188">
      <x:c r="A188" s="59"/>
      <x:c r="B188" s="59"/>
      <x:c r="C188" s="59"/>
      <x:c r="D188" s="59"/>
      <x:c r="E188" s="59"/>
      <x:c r="F188" s="59"/>
      <x:c r="G188" s="59"/>
      <x:c r="H188" s="59"/>
      <x:c r="I188" s="59"/>
      <x:c r="J188" s="59"/>
      <x:c r="K188" s="59"/>
      <x:c r="L188" s="59"/>
      <x:c r="M188" s="59"/>
      <x:c r="N188" s="59"/>
      <x:c r="O188" s="59"/>
      <x:c r="P188" s="59"/>
      <x:c r="Q188" s="59"/>
      <x:c r="R188" s="59"/>
      <x:c r="S188" s="59"/>
      <x:c r="T188" s="59"/>
      <x:c r="U188" s="59"/>
      <x:c r="V188" s="59"/>
      <x:c r="W188" s="59"/>
      <x:c r="X188" s="59"/>
      <x:c r="Y188" s="59"/>
      <x:c r="Z188" s="59"/>
      <x:c r="AA188" s="59"/>
      <x:c r="AB188" s="59"/>
      <x:c r="AC188" s="59"/>
      <x:c r="AD188" s="59"/>
      <x:c r="AE188" s="59"/>
      <x:c r="AF188" s="59"/>
      <x:c r="AG188" s="59"/>
      <x:c r="AH188" s="59"/>
      <x:c r="AI188" s="59"/>
      <x:c r="AJ188" s="59"/>
      <x:c r="AK188" s="59"/>
      <x:c r="AL188" s="59"/>
      <x:c r="AM188" s="59"/>
      <x:c r="AN188" s="59"/>
    </x:row>
    <x:row r="189">
      <x:c r="A189" s="59"/>
      <x:c r="B189" s="59"/>
      <x:c r="C189" s="59"/>
      <x:c r="D189" s="59"/>
      <x:c r="E189" s="59"/>
      <x:c r="F189" s="59"/>
      <x:c r="G189" s="59"/>
      <x:c r="H189" s="59"/>
      <x:c r="I189" s="59"/>
      <x:c r="J189" s="59"/>
      <x:c r="K189" s="59"/>
      <x:c r="L189" s="59"/>
      <x:c r="M189" s="59"/>
      <x:c r="N189" s="59"/>
      <x:c r="O189" s="59"/>
      <x:c r="P189" s="59"/>
      <x:c r="Q189" s="59"/>
      <x:c r="R189" s="59"/>
      <x:c r="S189" s="59"/>
      <x:c r="T189" s="59"/>
      <x:c r="U189" s="59"/>
      <x:c r="V189" s="59"/>
      <x:c r="W189" s="59"/>
      <x:c r="X189" s="59"/>
      <x:c r="Y189" s="59"/>
      <x:c r="Z189" s="59"/>
      <x:c r="AA189" s="59"/>
      <x:c r="AB189" s="59"/>
      <x:c r="AC189" s="59"/>
      <x:c r="AD189" s="59"/>
      <x:c r="AE189" s="59"/>
      <x:c r="AF189" s="59"/>
      <x:c r="AG189" s="59"/>
      <x:c r="AH189" s="59"/>
      <x:c r="AI189" s="59"/>
      <x:c r="AJ189" s="59"/>
      <x:c r="AK189" s="59"/>
      <x:c r="AL189" s="59"/>
      <x:c r="AM189" s="59"/>
      <x:c r="AN189" s="59"/>
    </x:row>
    <x:row r="190">
      <x:c r="A190" s="59"/>
      <x:c r="B190" s="59"/>
      <x:c r="C190" s="59"/>
      <x:c r="D190" s="59"/>
      <x:c r="E190" s="59"/>
      <x:c r="F190" s="59"/>
      <x:c r="G190" s="59"/>
      <x:c r="H190" s="59"/>
      <x:c r="I190" s="59"/>
      <x:c r="J190" s="59"/>
      <x:c r="K190" s="59"/>
      <x:c r="L190" s="59"/>
      <x:c r="M190" s="59"/>
      <x:c r="N190" s="59"/>
      <x:c r="O190" s="59"/>
      <x:c r="P190" s="59"/>
      <x:c r="Q190" s="59"/>
      <x:c r="R190" s="59"/>
      <x:c r="S190" s="59"/>
      <x:c r="T190" s="59"/>
      <x:c r="U190" s="59"/>
      <x:c r="V190" s="59"/>
      <x:c r="W190" s="59"/>
      <x:c r="X190" s="59"/>
      <x:c r="Y190" s="59"/>
      <x:c r="Z190" s="59"/>
      <x:c r="AA190" s="59"/>
      <x:c r="AB190" s="59"/>
      <x:c r="AC190" s="59"/>
      <x:c r="AD190" s="59"/>
      <x:c r="AE190" s="59"/>
      <x:c r="AF190" s="59"/>
      <x:c r="AG190" s="59"/>
      <x:c r="AH190" s="59"/>
      <x:c r="AI190" s="59"/>
      <x:c r="AJ190" s="59"/>
      <x:c r="AK190" s="59"/>
      <x:c r="AL190" s="59"/>
      <x:c r="AM190" s="59"/>
      <x:c r="AN190" s="59"/>
    </x:row>
    <x:row r="191">
      <x:c r="A191" s="59"/>
      <x:c r="B191" s="59"/>
      <x:c r="C191" s="59"/>
      <x:c r="D191" s="59"/>
      <x:c r="E191" s="59"/>
      <x:c r="F191" s="59"/>
      <x:c r="G191" s="59"/>
      <x:c r="H191" s="59"/>
      <x:c r="I191" s="59"/>
      <x:c r="J191" s="59"/>
      <x:c r="K191" s="59"/>
      <x:c r="L191" s="59"/>
      <x:c r="M191" s="59"/>
      <x:c r="N191" s="59"/>
      <x:c r="O191" s="59"/>
      <x:c r="P191" s="59"/>
      <x:c r="Q191" s="59"/>
      <x:c r="R191" s="59"/>
      <x:c r="S191" s="59"/>
      <x:c r="T191" s="59"/>
      <x:c r="U191" s="59"/>
      <x:c r="V191" s="59"/>
      <x:c r="W191" s="59"/>
      <x:c r="X191" s="59"/>
      <x:c r="Y191" s="59"/>
      <x:c r="Z191" s="59"/>
      <x:c r="AA191" s="59"/>
      <x:c r="AB191" s="59"/>
      <x:c r="AC191" s="59"/>
      <x:c r="AD191" s="59"/>
      <x:c r="AE191" s="59"/>
      <x:c r="AF191" s="59"/>
      <x:c r="AG191" s="59"/>
      <x:c r="AH191" s="59"/>
      <x:c r="AI191" s="59"/>
      <x:c r="AJ191" s="59"/>
      <x:c r="AK191" s="59"/>
      <x:c r="AL191" s="59"/>
      <x:c r="AM191" s="59"/>
      <x:c r="AN191" s="59"/>
    </x:row>
    <x:row r="192">
      <x:c r="A192" s="59"/>
      <x:c r="B192" s="59"/>
      <x:c r="C192" s="59"/>
      <x:c r="D192" s="59"/>
      <x:c r="E192" s="59"/>
      <x:c r="F192" s="59"/>
      <x:c r="G192" s="59"/>
      <x:c r="H192" s="59"/>
      <x:c r="I192" s="59"/>
      <x:c r="J192" s="59"/>
      <x:c r="K192" s="59"/>
      <x:c r="L192" s="59"/>
      <x:c r="M192" s="59"/>
      <x:c r="N192" s="59"/>
      <x:c r="O192" s="59"/>
      <x:c r="P192" s="59"/>
      <x:c r="Q192" s="59"/>
      <x:c r="R192" s="59"/>
      <x:c r="S192" s="59"/>
      <x:c r="T192" s="59"/>
      <x:c r="U192" s="59"/>
      <x:c r="V192" s="59"/>
      <x:c r="W192" s="59"/>
      <x:c r="X192" s="59"/>
      <x:c r="Y192" s="59"/>
      <x:c r="Z192" s="59"/>
      <x:c r="AA192" s="59"/>
      <x:c r="AB192" s="59"/>
      <x:c r="AC192" s="59"/>
      <x:c r="AD192" s="59"/>
      <x:c r="AE192" s="59"/>
      <x:c r="AF192" s="59"/>
      <x:c r="AG192" s="59"/>
      <x:c r="AH192" s="59"/>
      <x:c r="AI192" s="59"/>
      <x:c r="AJ192" s="59"/>
      <x:c r="AK192" s="59"/>
      <x:c r="AL192" s="59"/>
      <x:c r="AM192" s="59"/>
      <x:c r="AN192" s="59"/>
    </x:row>
    <x:row r="193">
      <x:c r="A193" s="59"/>
      <x:c r="B193" s="59"/>
      <x:c r="C193" s="59"/>
      <x:c r="D193" s="59"/>
      <x:c r="E193" s="59"/>
      <x:c r="F193" s="59"/>
      <x:c r="G193" s="59"/>
      <x:c r="H193" s="59"/>
      <x:c r="I193" s="59"/>
      <x:c r="J193" s="59"/>
      <x:c r="K193" s="59"/>
      <x:c r="L193" s="59"/>
      <x:c r="M193" s="59"/>
      <x:c r="N193" s="59"/>
      <x:c r="O193" s="59"/>
      <x:c r="P193" s="59"/>
      <x:c r="Q193" s="59"/>
      <x:c r="R193" s="59"/>
      <x:c r="S193" s="59"/>
      <x:c r="T193" s="59"/>
      <x:c r="U193" s="59"/>
      <x:c r="V193" s="59"/>
      <x:c r="W193" s="59"/>
      <x:c r="X193" s="59"/>
      <x:c r="Y193" s="59"/>
      <x:c r="Z193" s="59"/>
      <x:c r="AA193" s="59"/>
      <x:c r="AB193" s="59"/>
      <x:c r="AC193" s="59"/>
      <x:c r="AD193" s="59"/>
      <x:c r="AE193" s="59"/>
      <x:c r="AF193" s="59"/>
      <x:c r="AG193" s="59"/>
      <x:c r="AH193" s="59"/>
      <x:c r="AI193" s="59"/>
      <x:c r="AJ193" s="59"/>
      <x:c r="AK193" s="59"/>
      <x:c r="AL193" s="59"/>
      <x:c r="AM193" s="59"/>
      <x:c r="AN193" s="59"/>
    </x:row>
    <x:row r="194">
      <x:c r="A194" s="59"/>
      <x:c r="B194" s="59"/>
      <x:c r="C194" s="59"/>
      <x:c r="D194" s="59"/>
      <x:c r="E194" s="59"/>
      <x:c r="F194" s="59"/>
      <x:c r="G194" s="59"/>
      <x:c r="H194" s="59"/>
      <x:c r="I194" s="59"/>
      <x:c r="J194" s="59"/>
      <x:c r="K194" s="59"/>
      <x:c r="L194" s="59"/>
      <x:c r="M194" s="59"/>
      <x:c r="N194" s="59"/>
      <x:c r="O194" s="59"/>
      <x:c r="P194" s="59"/>
      <x:c r="Q194" s="59"/>
      <x:c r="R194" s="59"/>
      <x:c r="S194" s="59"/>
      <x:c r="T194" s="59"/>
      <x:c r="U194" s="59"/>
      <x:c r="V194" s="59"/>
      <x:c r="W194" s="59"/>
      <x:c r="X194" s="59"/>
      <x:c r="Y194" s="59"/>
      <x:c r="Z194" s="59"/>
      <x:c r="AA194" s="59"/>
      <x:c r="AB194" s="59"/>
      <x:c r="AC194" s="59"/>
      <x:c r="AD194" s="59"/>
      <x:c r="AE194" s="59"/>
      <x:c r="AF194" s="59"/>
      <x:c r="AG194" s="59"/>
      <x:c r="AH194" s="59"/>
      <x:c r="AI194" s="59"/>
      <x:c r="AJ194" s="59"/>
      <x:c r="AK194" s="59"/>
      <x:c r="AL194" s="59"/>
      <x:c r="AM194" s="59"/>
      <x:c r="AN194" s="59"/>
    </x:row>
    <x:row r="195">
      <x:c r="A195" s="59"/>
      <x:c r="B195" s="59"/>
      <x:c r="C195" s="59"/>
      <x:c r="D195" s="59"/>
      <x:c r="E195" s="59"/>
      <x:c r="F195" s="59"/>
      <x:c r="G195" s="59"/>
      <x:c r="H195" s="59"/>
      <x:c r="I195" s="59"/>
      <x:c r="J195" s="59"/>
      <x:c r="K195" s="59"/>
      <x:c r="L195" s="59"/>
      <x:c r="M195" s="59"/>
      <x:c r="N195" s="59"/>
      <x:c r="O195" s="59"/>
      <x:c r="P195" s="59"/>
      <x:c r="Q195" s="59"/>
      <x:c r="R195" s="59"/>
      <x:c r="S195" s="59"/>
      <x:c r="T195" s="59"/>
      <x:c r="U195" s="59"/>
      <x:c r="V195" s="59"/>
      <x:c r="W195" s="59"/>
      <x:c r="X195" s="59"/>
      <x:c r="Y195" s="59"/>
      <x:c r="Z195" s="59"/>
      <x:c r="AA195" s="59"/>
      <x:c r="AB195" s="59"/>
      <x:c r="AC195" s="59"/>
      <x:c r="AD195" s="59"/>
      <x:c r="AE195" s="59"/>
      <x:c r="AF195" s="59"/>
      <x:c r="AG195" s="59"/>
      <x:c r="AH195" s="59"/>
      <x:c r="AI195" s="59"/>
      <x:c r="AJ195" s="59"/>
      <x:c r="AK195" s="59"/>
      <x:c r="AL195" s="59"/>
      <x:c r="AM195" s="59"/>
      <x:c r="AN195" s="59"/>
    </x:row>
    <x:row r="196">
      <x:c r="A196" s="59"/>
      <x:c r="B196" s="59"/>
      <x:c r="C196" s="59"/>
      <x:c r="D196" s="59"/>
      <x:c r="E196" s="59"/>
      <x:c r="F196" s="59"/>
      <x:c r="G196" s="59"/>
      <x:c r="H196" s="59"/>
      <x:c r="I196" s="59"/>
      <x:c r="J196" s="59"/>
      <x:c r="K196" s="59"/>
      <x:c r="L196" s="59"/>
      <x:c r="M196" s="59"/>
      <x:c r="N196" s="59"/>
      <x:c r="O196" s="59"/>
      <x:c r="P196" s="59"/>
      <x:c r="Q196" s="59"/>
      <x:c r="R196" s="59"/>
      <x:c r="S196" s="59"/>
      <x:c r="T196" s="59"/>
      <x:c r="U196" s="59"/>
      <x:c r="V196" s="59"/>
      <x:c r="W196" s="59"/>
      <x:c r="X196" s="59"/>
      <x:c r="Y196" s="59"/>
      <x:c r="Z196" s="59"/>
      <x:c r="AA196" s="59"/>
      <x:c r="AB196" s="59"/>
      <x:c r="AC196" s="59"/>
      <x:c r="AD196" s="59"/>
      <x:c r="AE196" s="59"/>
      <x:c r="AF196" s="59"/>
      <x:c r="AG196" s="59"/>
      <x:c r="AH196" s="59"/>
      <x:c r="AI196" s="59"/>
      <x:c r="AJ196" s="59"/>
      <x:c r="AK196" s="59"/>
      <x:c r="AL196" s="59"/>
      <x:c r="AM196" s="59"/>
      <x:c r="AN196" s="59"/>
    </x:row>
    <x:row r="197">
      <x:c r="A197" s="59"/>
      <x:c r="B197" s="59"/>
      <x:c r="C197" s="59"/>
      <x:c r="D197" s="59"/>
      <x:c r="E197" s="59"/>
      <x:c r="F197" s="59"/>
      <x:c r="G197" s="59"/>
      <x:c r="H197" s="59"/>
      <x:c r="I197" s="59"/>
      <x:c r="J197" s="59"/>
      <x:c r="K197" s="59"/>
      <x:c r="L197" s="59"/>
      <x:c r="M197" s="59"/>
      <x:c r="N197" s="59"/>
      <x:c r="O197" s="59"/>
      <x:c r="P197" s="59"/>
      <x:c r="Q197" s="59"/>
      <x:c r="R197" s="59"/>
      <x:c r="S197" s="59"/>
      <x:c r="T197" s="59"/>
      <x:c r="U197" s="59"/>
      <x:c r="V197" s="59"/>
      <x:c r="W197" s="59"/>
      <x:c r="X197" s="59"/>
      <x:c r="Y197" s="59"/>
      <x:c r="Z197" s="59"/>
      <x:c r="AA197" s="59"/>
      <x:c r="AB197" s="59"/>
      <x:c r="AC197" s="59"/>
      <x:c r="AD197" s="59"/>
      <x:c r="AE197" s="59"/>
      <x:c r="AF197" s="59"/>
      <x:c r="AG197" s="59"/>
      <x:c r="AH197" s="59"/>
      <x:c r="AI197" s="59"/>
      <x:c r="AJ197" s="59"/>
      <x:c r="AK197" s="59"/>
      <x:c r="AL197" s="59"/>
      <x:c r="AM197" s="59"/>
      <x:c r="AN197" s="59"/>
    </x:row>
    <x:row r="198">
      <x:c r="A198" s="59"/>
      <x:c r="B198" s="59"/>
      <x:c r="C198" s="59"/>
      <x:c r="D198" s="59"/>
      <x:c r="E198" s="59"/>
      <x:c r="F198" s="59"/>
      <x:c r="G198" s="59"/>
      <x:c r="H198" s="59"/>
      <x:c r="I198" s="59"/>
      <x:c r="J198" s="59"/>
      <x:c r="K198" s="59"/>
      <x:c r="L198" s="59"/>
      <x:c r="M198" s="59"/>
      <x:c r="N198" s="59"/>
      <x:c r="O198" s="59"/>
      <x:c r="P198" s="59"/>
      <x:c r="Q198" s="59"/>
      <x:c r="R198" s="59"/>
      <x:c r="S198" s="59"/>
      <x:c r="T198" s="59"/>
      <x:c r="U198" s="59"/>
      <x:c r="V198" s="59"/>
      <x:c r="W198" s="59"/>
      <x:c r="X198" s="59"/>
      <x:c r="Y198" s="59"/>
      <x:c r="Z198" s="59"/>
      <x:c r="AA198" s="59"/>
      <x:c r="AB198" s="59"/>
      <x:c r="AC198" s="59"/>
      <x:c r="AD198" s="59"/>
      <x:c r="AE198" s="59"/>
      <x:c r="AF198" s="59"/>
      <x:c r="AG198" s="59"/>
      <x:c r="AH198" s="59"/>
      <x:c r="AI198" s="59"/>
      <x:c r="AJ198" s="59"/>
      <x:c r="AK198" s="59"/>
      <x:c r="AL198" s="59"/>
      <x:c r="AM198" s="59"/>
      <x:c r="AN198" s="59"/>
    </x:row>
    <x:row r="199">
      <x:c r="A199" s="59"/>
      <x:c r="B199" s="59"/>
      <x:c r="C199" s="59"/>
      <x:c r="D199" s="59"/>
      <x:c r="E199" s="59"/>
      <x:c r="F199" s="59"/>
      <x:c r="G199" s="59"/>
      <x:c r="H199" s="59"/>
      <x:c r="I199" s="59"/>
      <x:c r="J199" s="59"/>
      <x:c r="K199" s="59"/>
      <x:c r="L199" s="59"/>
      <x:c r="M199" s="59"/>
      <x:c r="N199" s="59"/>
      <x:c r="O199" s="59"/>
      <x:c r="P199" s="59"/>
      <x:c r="Q199" s="59"/>
      <x:c r="R199" s="59"/>
      <x:c r="S199" s="59"/>
      <x:c r="T199" s="59"/>
      <x:c r="U199" s="59"/>
      <x:c r="V199" s="59"/>
      <x:c r="W199" s="59"/>
      <x:c r="X199" s="59"/>
      <x:c r="Y199" s="59"/>
      <x:c r="Z199" s="59"/>
      <x:c r="AA199" s="59"/>
      <x:c r="AB199" s="59"/>
      <x:c r="AC199" s="59"/>
      <x:c r="AD199" s="59"/>
      <x:c r="AE199" s="59"/>
      <x:c r="AF199" s="59"/>
      <x:c r="AG199" s="59"/>
      <x:c r="AH199" s="59"/>
      <x:c r="AI199" s="59"/>
      <x:c r="AJ199" s="59"/>
      <x:c r="AK199" s="59"/>
      <x:c r="AL199" s="59"/>
      <x:c r="AM199" s="59"/>
      <x:c r="AN199" s="59"/>
    </x:row>
    <x:row r="200">
      <x:c r="A200" s="59"/>
      <x:c r="B200" s="59"/>
      <x:c r="C200" s="59"/>
      <x:c r="D200" s="59"/>
      <x:c r="E200" s="59"/>
      <x:c r="F200" s="59"/>
      <x:c r="G200" s="59"/>
      <x:c r="H200" s="59"/>
      <x:c r="I200" s="59"/>
      <x:c r="J200" s="59"/>
      <x:c r="K200" s="59"/>
      <x:c r="L200" s="59"/>
      <x:c r="M200" s="59"/>
      <x:c r="N200" s="59"/>
      <x:c r="O200" s="59"/>
      <x:c r="P200" s="59"/>
      <x:c r="Q200" s="59"/>
      <x:c r="R200" s="59"/>
      <x:c r="S200" s="59"/>
      <x:c r="T200" s="59"/>
      <x:c r="U200" s="59"/>
      <x:c r="V200" s="59"/>
      <x:c r="W200" s="59"/>
      <x:c r="X200" s="59"/>
      <x:c r="Y200" s="59"/>
      <x:c r="Z200" s="59"/>
      <x:c r="AA200" s="59"/>
      <x:c r="AB200" s="59"/>
      <x:c r="AC200" s="59"/>
      <x:c r="AD200" s="59"/>
      <x:c r="AE200" s="59"/>
      <x:c r="AF200" s="59"/>
      <x:c r="AG200" s="59"/>
      <x:c r="AH200" s="59"/>
      <x:c r="AI200" s="59"/>
      <x:c r="AJ200" s="59"/>
      <x:c r="AK200" s="59"/>
      <x:c r="AL200" s="59"/>
      <x:c r="AM200" s="59"/>
      <x:c r="AN200" s="59"/>
    </x:row>
  </x:sheetData>
  <x:mergeCells>
    <x:mergeCell ref="A1:B1"/>
  </x:mergeCells>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14" hidden="0" customWidth="1"/>
    <x:col min="3" max="3" width="13" hidden="0" customWidth="1"/>
    <x:col min="4" max="4" width="10" hidden="0" customWidth="1"/>
    <x:col min="5" max="5" width="42" hidden="0" customWidth="1"/>
    <x:col min="6" max="6" width="55" hidden="0" customWidth="1"/>
    <x:col min="7" max="7" width="14" hidden="0" customWidth="1"/>
    <x:col min="8" max="8" width="20" hidden="0" customWidth="1"/>
    <x:col min="9" max="9" width="35" hidden="0" customWidth="1"/>
    <x:col min="10" max="10" width="28" hidden="0" customWidth="1"/>
    <x:col min="11" max="11" width="70" hidden="0" customWidth="1"/>
    <x:col min="12" max="12" width="28" hidden="0" customWidth="1"/>
    <x:col min="13" max="13" width="28" hidden="0" customWidth="1"/>
    <x:col min="14" max="14" width="55" hidden="0" customWidth="1"/>
    <x:col min="15" max="15" width="24" hidden="0" customWidth="1"/>
    <x:col min="16" max="16" width="42" hidden="0" customWidth="1"/>
    <x:col min="17" max="17" width="38" hidden="0" customWidth="1"/>
    <x:col min="18" max="18" width="55" hidden="0" customWidth="1"/>
    <x:col min="19" max="19" width="55" hidden="0" customWidth="1"/>
    <x:col min="20" max="20" width="14" hidden="0" customWidth="1"/>
    <x:col min="21" max="21" width="24" hidden="0" customWidth="1"/>
    <x:col min="22" max="22" width="20" hidden="0" customWidth="1"/>
    <x:col min="23" max="23" width="22" hidden="0" customWidth="1"/>
    <x:col min="24" max="24" width="14" hidden="0" customWidth="1"/>
    <x:col min="25" max="25" width="14" hidden="0" customWidth="1"/>
    <x:col min="26" max="26" width="16" hidden="0" customWidth="1"/>
    <x:col min="27" max="27" width="28" hidden="0" customWidth="1"/>
    <x:col min="28" max="28" width="20" hidden="0" customWidth="1"/>
    <x:col min="29" max="29" width="16" hidden="0" customWidth="1"/>
    <x:col min="30" max="30" width="16" hidden="0" customWidth="1"/>
    <x:col min="31" max="31" width="16" hidden="0" customWidth="1"/>
    <x:col min="32" max="32" width="12" hidden="0" customWidth="1"/>
    <x:col min="33" max="33" width="22" hidden="0" customWidth="1"/>
    <x:col min="34" max="34" width="24" hidden="0" customWidth="1"/>
    <x:col min="35" max="35" width="24" hidden="0" customWidth="1"/>
    <x:col min="36" max="36" width="34" hidden="0" customWidth="1"/>
    <x:col min="37" max="37" width="36" hidden="0" customWidth="1"/>
    <x:col min="38" max="38" width="16" hidden="0" customWidth="1"/>
    <x:col min="39" max="39" width="36" hidden="0" customWidth="1"/>
    <x:col min="40" max="40" width="36" hidden="0" customWidth="1"/>
  </x:cols>
  <x:sheetData>
    <x:row r="1" ht="44" customHeight="1">
      <x:c r="A1" s="56" t="str">
        <x:v>CSA Domain</x:v>
      </x:c>
      <x:c r="B1" s="56" t="str">
        <x:v>CSA Control ID</x:v>
      </x:c>
      <x:c r="C1" s="56" t="str">
        <x:v>CSA Required Maturity Level</x:v>
      </x:c>
      <x:c r="D1" s="56" t="str">
        <x:v>CSA Prefix</x:v>
      </x:c>
      <x:c r="E1" s="56" t="str">
        <x:v>CSA Control Objective</x:v>
      </x:c>
      <x:c r="F1" s="56" t="str">
        <x:v>CSA Control Description</x:v>
      </x:c>
      <x:c r="G1" s="56" t="str">
        <x:v>Automated or Manual</x:v>
      </x:c>
      <x:c r="H1" s="56" t="str">
        <x:v>Deployment Types</x:v>
      </x:c>
      <x:c r="I1" s="56" t="str">
        <x:v>CSA AICM Mapping</x:v>
      </x:c>
      <x:c r="J1" s="56" t="str">
        <x:v>NIST AI RMF Control ID(s)</x:v>
      </x:c>
      <x:c r="K1" s="56" t="str">
        <x:v>NIST AI RMF Control Language / Playbook Actions</x:v>
      </x:c>
      <x:c r="L1" s="56" t="str">
        <x:v>NIST Mapping Basis</x:v>
      </x:c>
      <x:c r="M1" s="56" t="str">
        <x:v>ISO/IEC 42001 Clause / Annex Control ID(s)</x:v>
      </x:c>
      <x:c r="N1" s="56" t="str">
        <x:v>ISO/IEC 42001 Control Language / Checklist Criteria</x:v>
      </x:c>
      <x:c r="O1" s="56" t="str">
        <x:v>ISO Mapping Basis</x:v>
      </x:c>
      <x:c r="P1" s="56" t="str">
        <x:v>Evidence / Implementation Notes</x:v>
      </x:c>
      <x:c r="Q1" s="56" t="str">
        <x:v>AISMM External References</x:v>
      </x:c>
      <x:c r="R1" s="56" t="str">
        <x:v>Suggested Reference Evidence for Verification</x:v>
      </x:c>
      <x:c r="S1" s="56" t="str">
        <x:v>Verification Test Procedure</x:v>
      </x:c>
      <x:c r="T1" s="56" t="str">
        <x:v>Applicable?</x:v>
      </x:c>
      <x:c r="U1" s="56" t="str">
        <x:v>Business Unit / AI System</x:v>
      </x:c>
      <x:c r="V1" s="56" t="str">
        <x:v>Control Owner</x:v>
      </x:c>
      <x:c r="W1" s="56" t="str">
        <x:v>Current Implementation Status</x:v>
      </x:c>
      <x:c r="X1" s="56" t="str">
        <x:v>Current Maturity Score (0-5)</x:v>
      </x:c>
      <x:c r="Y1" s="56" t="str">
        <x:v>Target Maturity Score (0-5)</x:v>
      </x:c>
      <x:c r="Z1" s="56" t="str">
        <x:v>Evidence Status</x:v>
      </x:c>
      <x:c r="AA1" s="56" t="str">
        <x:v>Evidence Repository / Link</x:v>
      </x:c>
      <x:c r="AB1" s="56" t="str">
        <x:v>Test Result</x:v>
      </x:c>
      <x:c r="AC1" s="56" t="str">
        <x:v>Last Assessed</x:v>
      </x:c>
      <x:c r="AD1" s="56" t="str">
        <x:v>Assessor</x:v>
      </x:c>
      <x:c r="AE1" s="56" t="str">
        <x:v>Residual Risk</x:v>
      </x:c>
      <x:c r="AF1" s="56" t="str">
        <x:v>Maturity Gap</x:v>
      </x:c>
      <x:c r="AG1" s="56" t="str">
        <x:v>CSA AISMM Maturity Result</x:v>
      </x:c>
      <x:c r="AH1" s="56" t="str">
        <x:v>NIST AI RMF Compliance Result</x:v>
      </x:c>
      <x:c r="AI1" s="56" t="str">
        <x:v>ISO/IEC 42001 Compliance Result</x:v>
      </x:c>
      <x:c r="AJ1" s="56" t="str">
        <x:v>Frameworks Complied To</x:v>
      </x:c>
      <x:c r="AK1" s="56" t="str">
        <x:v>Remediation Action</x:v>
      </x:c>
      <x:c r="AL1" s="56" t="str">
        <x:v>Due Date</x:v>
      </x:c>
      <x:c r="AM1" s="56" t="str">
        <x:v>Assessor Notes</x:v>
      </x:c>
      <x:c r="AN1" s="56" t="str">
        <x:v>Source / Traceability</x:v>
      </x:c>
    </x:row>
    <x:row r="2" ht="90" customHeight="1">
      <x:c r="A2" s="42" t="str">
        <x:v>Governance</x:v>
      </x:c>
      <x:c r="B2" s="42" t="str">
        <x:v>GOV-02.1</x:v>
      </x:c>
      <x:c r="C2" s="42" t="n">
        <x:v>2</x:v>
      </x:c>
      <x:c r="D2" s="42" t="str">
        <x:v>GOV</x:v>
      </x:c>
      <x:c r="E2" s="42" t="str">
        <x:v>Enterprise AI acceptable use policy with signed personnel attestation</x:v>
      </x:c>
      <x:c r="F2" s="42" t="str">
        <x:v>Every employee and contractor with system access has reviewed and assigned the organization's AI policies, which include which AI tools are permitted, what data classifications can go into each, what use cases are prohibited, and how to report incidents or request exceptions.</x:v>
      </x:c>
      <x:c r="G2" s="42" t="str">
        <x:v>Manual</x:v>
      </x:c>
      <x:c r="H2" s="42" t="str">
        <x:v>All</x:v>
      </x:c>
      <x:c r="I2" s="42" t="str">
        <x:v>HRS-15 (AI acceptable use), GRC-09 (acceptable use of AI service), HRS-02 (acceptable use of technology)</x:v>
      </x:c>
      <x:c r="J2" s="42" t="str">
        <x:v>GOVERN 1.1; GOVERN 1</x:v>
      </x:c>
      <x:c r="K2" s="42" t="str">
        <x:v>GOVERN 1.1: * Maintain awareness of the applicable legal and regulatory considerations and requirements specific to industry, sector, and business purpose, as well as the application context of the deployed AI system. * Align risk management efforts with applicable legal standards. * Maintain policies for training (and re-training) organizational staff about necessary legal or regulatory considerations that may impact AI-related design, development and deployment activities.</x:v>
      </x:c>
      <x:c r="L2" s="42" t="str">
        <x:v>Direct from AISMM external reference</x:v>
      </x:c>
      <x:c r="M2" s="42" t="str">
        <x:v>Annex A.2; Annex A.7; Annex A.8; Annex A.9</x:v>
      </x:c>
      <x:c r="N2" s="42" t="str">
        <x:v>Annex A.2 – Policies related to AI: Document and approve AI policy, include responsible AI principles and continual improvement, review policy regularly, and align it to other relevant organizational policies. Annex A.7 – Data for AI systems: Maintain documented AI data management, identify sources and provenance, record intended use, define data quality requirements, and document/justify preparation methods. Annex A.8 – Information for interested parties: Provide necessary documentation to users and interested parties; define incident reporting/escalation, incident communication, and stakeholder information requirements. Annex A.9 – Use of AI systems: Define responsible AI use processes, ethical/appropriate-use objectives, intended-purpose usage boundaries, and monitoring/remediation for misuse or unintended consequences.</x:v>
      </x:c>
      <x:c r="O2" s="42" t="str">
        <x:v>Direct from AISMM external reference</x:v>
      </x:c>
      <x:c r="P2" s="42" t="str">
        <x:v>Publish approved AI policy/standard; maintain attestation and exception workflow.</x:v>
      </x:c>
      <x:c r="Q2" s="42" t="str">
        <x:v>NIST AI RMF Govern 1.1; ISO/IEC 42001 AI management system policy requirements</x:v>
      </x:c>
      <x:c r="R2" s="42" t="str">
        <x:v>AI policy and acceptable-use standard; AI governance charter; AI Council minutes; approval records; exception logs; role/RACI matrix; training/attestation records; AI risk appetite and escalation procedure.</x:v>
      </x:c>
      <x:c r="S2" s="42" t="str">
        <x:v>Inspect approved policy and governance charter; sample approval records; verify owners and decision logs; interview AI Council or control owner; confirm exceptions and attestations are tracked.</x:v>
      </x:c>
      <x:c r="T2" s="42" t="str">
        <x:v>Yes</x:v>
      </x:c>
      <x:c r="U2" s="42" t="str"/>
      <x:c r="V2" s="42" t="str"/>
      <x:c r="W2" s="42" t="str">
        <x:v>Not Assessed</x:v>
      </x:c>
      <x:c r="X2" s="44" t="n">
        <x:v>0</x:v>
      </x:c>
      <x:c r="Y2" s="44" t="n">
        <x:v>2</x:v>
      </x:c>
      <x:c r="Z2" s="42" t="str">
        <x:v>Not Provided</x:v>
      </x:c>
      <x:c r="AA2" s="42" t="str"/>
      <x:c r="AB2" s="42" t="str">
        <x:v>Not Tested</x:v>
      </x:c>
      <x:c r="AC2" s="46" t="str"/>
      <x:c r="AD2" s="42" t="str"/>
      <x:c r="AE2" s="42" t="str">
        <x:v>Not Assessed</x:v>
      </x:c>
      <x:c r="AF2" s="42" t="n">
        <x:f>IF($T2="No","",MAX(0,$Y2-$X2))</x:f>
        <x:v>2</x:v>
      </x:c>
      <x:c r="AG2" s="42" t="str">
        <x:f>IF($T2="No","Not Applicable",IF($X2&gt;=$C2,"Meets CSA Level","Gap to CSA Level"))</x:f>
        <x:v>Gap to CSA Level</x:v>
      </x:c>
      <x:c r="AH2" s="42" t="str">
        <x:f>IF($T2="No","Not Applicable",IF($J2="","Not Mapped",IF(AND(OR($W2="Implemented",$W2="Optimized"),$Z2="Validated",$AB2="Pass"),"Compliant",IF(AND(OR($W2="Partially Implemented",$W2="Implemented",$W2="Optimized"),OR($Z2="Reviewed",$Z2="Validated"),OR($AB2="Pass with Exceptions",$AB2="Pass")),"Partially Compliant","Not Compliant"))))</x:f>
        <x:v>Not Compliant</x:v>
      </x:c>
      <x:c r="AI2" s="42" t="str">
        <x:f>IF($T2="No","Not Applicable",IF($M2="","Not Mapped",IF(AND(OR($W2="Implemented",$W2="Optimized"),$Z2="Validated",$AB2="Pass"),"Compliant",IF(AND(OR($W2="Partially Implemented",$W2="Implemented",$W2="Optimized"),OR($Z2="Reviewed",$Z2="Validated"),OR($AB2="Pass with Exceptions",$AB2="Pass")),"Partially Compliant","Not Compliant"))))</x:f>
        <x:v>Not Compliant</x:v>
      </x:c>
      <x:c r="AJ2" s="42" t="str">
        <x:f>IF($T2="No","Not Applicable",IF(AND($AG2="Meets CSA Level",$AH2="Compliant",$AI2="Compliant"),"CSA AISMM; NIST AI RMF; ISO/IEC 42001",IF(AND($AG2="Meets CSA Level",$AH2="Compliant"),"CSA AISMM; NIST AI RMF",IF(AND($AG2="Meets CSA Level",$AI2="Compliant"),"CSA AISMM; ISO/IEC 42001",IF(AND($AH2="Compliant",$AI2="Compliant"),"NIST AI RMF; ISO/IEC 42001",IF($AG2="Meets CSA Level","CSA AISMM",IF($AH2="Compliant","NIST AI RMF",IF($AI2="Compliant","ISO/IEC 42001","No mapped framework fully compliant"))))))))</x:f>
        <x:v>No mapped framework fully compliant</x:v>
      </x:c>
      <x:c r="AK2" s="42" t="str"/>
      <x:c r="AL2" s="46" t="str"/>
      <x:c r="AM2" s="42" t="str"/>
      <x:c r="AN2" s="42" t="str">
        <x:v>CSA AISMM uploaded workbook; NIST AI RMF Playbook uploaded workbook; ISO/IEC 42001 checklist uploaded PDF; official CSA/NIST/ISO web sources listed on Sources sheet</x:v>
      </x:c>
    </x:row>
    <x:row r="3" ht="90" customHeight="1">
      <x:c r="A3" s="42" t="str">
        <x:v>Governance</x:v>
      </x:c>
      <x:c r="B3" s="42" t="str">
        <x:v>GOV-02.2</x:v>
      </x:c>
      <x:c r="C3" s="42" t="n">
        <x:v>2</x:v>
      </x:c>
      <x:c r="D3" s="42" t="str">
        <x:v>GOV</x:v>
      </x:c>
      <x:c r="E3" s="42" t="str">
        <x:v>Named approval authority for enterprise AI procurement and major deployments</x:v>
      </x:c>
      <x:c r="F3" s="42" t="str">
        <x:v>A named approval authority makes and records yes/no decisions before new AI providers are contracted or AI-powered applications ship to production. Teams are not allowed to adopt new AI products or use cases without approval.</x:v>
      </x:c>
      <x:c r="G3" s="42" t="str">
        <x:v>Manual</x:v>
      </x:c>
      <x:c r="H3" s="42" t="str">
        <x:v>All</x:v>
      </x:c>
      <x:c r="I3" s="42" t="str">
        <x:v>GRC-06 (governance responsibility model), GRC-09 (acceptable use of AI service)</x:v>
      </x:c>
      <x:c r="J3" s="42" t="str">
        <x:v>GOVERN 2.1; GOVERN 2</x:v>
      </x:c>
      <x:c r="K3" s="42" t="str">
        <x:v>GOVERN 2.1: - Establish policies that define the AI risk management roles and responsibilities for positions directly and indirectly related to AI systems, including, but not limited to - Boards of directors or advisory committees - Senior management - AI audit functions - Product management - Project management - AI design - AI development - Human-AI interaction - AI testing and evaluation - AI acquisition and procurement - Impact assessment functions - Oversight functions - Establish policies that promote regular communication among AI actors participating in AI risk management efforts. - Establish policies that separate management of AI system development functions from AI system testing functions, to enable independent course-correction of AI systems. - Establish policies to identify, increase the transparency of, and prevent conflicts of interest in AI risk management efforts.…</x:v>
      </x:c>
      <x:c r="L3" s="42" t="str">
        <x:v>Direct from AISMM external reference</x:v>
      </x:c>
      <x:c r="M3" s="42" t="str">
        <x:v>Annex A.3; Annex A.6; Annex A.9; Annex A.10</x:v>
      </x:c>
      <x:c r="N3" s="42" t="str">
        <x:v>Annex A.3 – Internal organization: Define AI roles and responsibilities; provide reporting and confidential escalation paths; investigate and resolve AI-related concerns. Annex A.6 – AI system life cycle: Define responsible development objectives, specify verification and validation, maintain technical documentation, and record/maintain event logs during system use. Annex A.9 – Use of AI systems: Define responsible AI use processes, ethical/appropriate-use objectives, intended-purpose usage boundaries, and monitoring/remediation for misuse or unintended consequences. Annex A.10 – Third-party and customer relationships: Define lifecycle responsibilities with third parties, manage AI suppliers, capture customer expectations, and review third-party roles through ongoing governance.</x:v>
      </x:c>
      <x:c r="O3" s="42" t="str">
        <x:v>Derived by control theme/domain</x:v>
      </x:c>
      <x:c r="P3" s="42" t="str">
        <x:v>Use this row as a control objective to assess current state, define target maturity, collect evidence, and remediate gaps.</x:v>
      </x:c>
      <x:c r="Q3" s="42" t="str">
        <x:v>NIST AI RMF Govern 2.1 (roles, responsibilities, accountability)</x:v>
      </x:c>
      <x:c r="R3" s="42" t="str">
        <x:v>AI policy and acceptable-use standard; AI governance charter; AI Council minutes; approval records; exception logs; role/RACI matrix; training/attestation records; AI risk appetite and escalation procedure.</x:v>
      </x:c>
      <x:c r="S3" s="42" t="str">
        <x:v>Inspect approved policy and governance charter; sample approval records; verify owners and decision logs; interview AI Council or control owner; confirm exceptions and attestations are tracked.</x:v>
      </x:c>
      <x:c r="T3" s="42" t="str">
        <x:v>Yes</x:v>
      </x:c>
      <x:c r="U3" s="42" t="str"/>
      <x:c r="V3" s="42" t="str"/>
      <x:c r="W3" s="42" t="str">
        <x:v>Not Assessed</x:v>
      </x:c>
      <x:c r="X3" s="44" t="n">
        <x:v>0</x:v>
      </x:c>
      <x:c r="Y3" s="44" t="n">
        <x:v>2</x:v>
      </x:c>
      <x:c r="Z3" s="42" t="str">
        <x:v>Not Provided</x:v>
      </x:c>
      <x:c r="AA3" s="42" t="str"/>
      <x:c r="AB3" s="42" t="str">
        <x:v>Not Tested</x:v>
      </x:c>
      <x:c r="AC3" s="46" t="str"/>
      <x:c r="AD3" s="42" t="str"/>
      <x:c r="AE3" s="42" t="str">
        <x:v>Not Assessed</x:v>
      </x:c>
      <x:c r="AF3" s="42" t="n">
        <x:f>IF($T3="No","",MAX(0,$Y3-$X3))</x:f>
        <x:v>2</x:v>
      </x:c>
      <x:c r="AG3" s="42" t="str">
        <x:f>IF($T3="No","Not Applicable",IF($X3&gt;=$C3,"Meets CSA Level","Gap to CSA Level"))</x:f>
        <x:v>Gap to CSA Level</x:v>
      </x:c>
      <x:c r="AH3" s="42" t="str">
        <x:f>IF($T3="No","Not Applicable",IF($J3="","Not Mapped",IF(AND(OR($W3="Implemented",$W3="Optimized"),$Z3="Validated",$AB3="Pass"),"Compliant",IF(AND(OR($W3="Partially Implemented",$W3="Implemented",$W3="Optimized"),OR($Z3="Reviewed",$Z3="Validated"),OR($AB3="Pass with Exceptions",$AB3="Pass")),"Partially Compliant","Not Compliant"))))</x:f>
        <x:v>Not Compliant</x:v>
      </x:c>
      <x:c r="AI3" s="42" t="str">
        <x:f>IF($T3="No","Not Applicable",IF($M3="","Not Mapped",IF(AND(OR($W3="Implemented",$W3="Optimized"),$Z3="Validated",$AB3="Pass"),"Compliant",IF(AND(OR($W3="Partially Implemented",$W3="Implemented",$W3="Optimized"),OR($Z3="Reviewed",$Z3="Validated"),OR($AB3="Pass with Exceptions",$AB3="Pass")),"Partially Compliant","Not Compliant"))))</x:f>
        <x:v>Not Compliant</x:v>
      </x:c>
      <x:c r="AJ3" s="42" t="str">
        <x:f>IF($T3="No","Not Applicable",IF(AND($AG3="Meets CSA Level",$AH3="Compliant",$AI3="Compliant"),"CSA AISMM; NIST AI RMF; ISO/IEC 42001",IF(AND($AG3="Meets CSA Level",$AH3="Compliant"),"CSA AISMM; NIST AI RMF",IF(AND($AG3="Meets CSA Level",$AI3="Compliant"),"CSA AISMM; ISO/IEC 42001",IF(AND($AH3="Compliant",$AI3="Compliant"),"NIST AI RMF; ISO/IEC 42001",IF($AG3="Meets CSA Level","CSA AISMM",IF($AH3="Compliant","NIST AI RMF",IF($AI3="Compliant","ISO/IEC 42001","No mapped framework fully compliant"))))))))</x:f>
        <x:v>No mapped framework fully compliant</x:v>
      </x:c>
      <x:c r="AK3" s="42" t="str"/>
      <x:c r="AL3" s="46" t="str"/>
      <x:c r="AM3" s="42" t="str"/>
      <x:c r="AN3" s="42" t="str">
        <x:v>CSA AISMM uploaded workbook; NIST AI RMF Playbook uploaded workbook; ISO/IEC 42001 checklist uploaded PDF; official CSA/NIST/ISO web sources listed on Sources sheet</x:v>
      </x:c>
    </x:row>
    <x:row r="4" ht="90" customHeight="1">
      <x:c r="A4" s="42" t="str">
        <x:v>Governance</x:v>
      </x:c>
      <x:c r="B4" s="42" t="str">
        <x:v>GOV-03.1</x:v>
      </x:c>
      <x:c r="C4" s="42" t="n">
        <x:v>3</x:v>
      </x:c>
      <x:c r="D4" s="42" t="str">
        <x:v>GOV</x:v>
      </x:c>
      <x:c r="E4" s="42" t="str">
        <x:v>AI Council issues and maintains a catalog of approved use cases with provider and data type mappings</x:v>
      </x:c>
      <x:c r="F4" s="42" t="str">
        <x:v>A cross-functional AI Council (or equivalent body) publishes a catalog of approved AI use cases, mapped to approved AI providers/technologies and data types. Use cases include examples like AI coding tools, customer service agents, AI data analytics platforms. These map to specific providers and which data types are allowed per use case and provider (e.g. PII).</x:v>
      </x:c>
      <x:c r="G4" s="42" t="str">
        <x:v>Manual</x:v>
      </x:c>
      <x:c r="H4" s="42" t="str">
        <x:v>All</x:v>
      </x:c>
      <x:c r="I4" s="42" t="str">
        <x:v>GRC-01 (governance program policy), GRC-06 (governance responsibility model), GRC-09 (acceptable use of AI service)</x:v>
      </x:c>
      <x:c r="J4" s="42" t="str">
        <x:v>GOVERN 1.2; GOVERN 2.1; GOVERN 1; GOVERN 2</x:v>
      </x:c>
      <x:c r="K4" s="42" t="str">
        <x:v>GOVERN 1.2: Organizational AI risk management policies should be designed to: - Define key terms and concepts related to AI systems and the scope of their purposes and intended uses. - Connect AI governance to existing organizational governance and risk controls. - Align to broader data governance policies and practices, particularly the use of sensitive or otherwise risky data. - Detail standards for experimental design, data quality, and model training. - Outline and document risk mapping and measurement processes and standards. - Detail model testing and validation processes. - Detail review processes for legal and risk functions. - Establish the frequency of and detail for monitoring, auditing and review processes. - Outline change management requirements. - Outline processes for internal and external stakeholder engagement.… GOVERN 2.1: - Establish policies that define the AI risk management roles and responsibilities for positions directly and indirectly related to AI systems, including, but not limited to - Boards of directors or advisory committees - Senior management - AI audit functions - Product management - Project management - AI design - AI development - Human-AI interaction - AI testing and evaluation - AI acquisition and procurement - Impact assessment functions - Oversight functions - Establish policies that promote regular communication among AI actors participating in AI risk management efforts. - Establish policies that separate management of AI system development functions from AI system testing functions, to enable independent course-correction of AI systems. - Establish policies to identify, increase the transparency of, and prevent conflicts of interest in AI risk management efforts.…</x:v>
      </x:c>
      <x:c r="L4" s="42" t="str">
        <x:v>Direct from AISMM external reference</x:v>
      </x:c>
      <x:c r="M4" s="42" t="str">
        <x:v>Clause 5; Annex A.6</x:v>
      </x:c>
      <x:c r="N4" s="42" t="str">
        <x:v>Clause 5 – Leadership: Top management demonstrates commitment to the AIMS, establishes an AI policy aligned to strategy, and assigns/communicates AI management roles, responsibilities, and authorities. Annex A.6 – AI system life cycle: Define responsible development objectives, specify verification and validation, maintain technical documentation, and record/maintain event logs during system use.</x:v>
      </x:c>
      <x:c r="O4" s="42" t="str">
        <x:v>Direct from AISMM external reference</x:v>
      </x:c>
      <x:c r="P4" s="42" t="str">
        <x:v>Tie provider/model/library onboarding to supplier risk, licensing, model/data provenance, and AI-BOM/SBOM records.</x:v>
      </x:c>
      <x:c r="Q4" s="42" t="str">
        <x:v>NIST AI RMF Govern 1.2, Govern 2.1; ISO/IEC 42001 Clause 5 (leadership) and Annex A.6 (AI system life cycle)</x:v>
      </x:c>
      <x:c r="R4" s="42" t="str">
        <x:v>AI policy and acceptable-use standard; AI governance charter; AI Council minutes; approval records; exception logs; role/RACI matrix; training/attestation records; AI risk appetite and escalation procedure.</x:v>
      </x:c>
      <x:c r="S4" s="42" t="str">
        <x:v>Inspect approved policy and governance charter; sample approval records; verify owners and decision logs; interview AI Council or control owner; confirm exceptions and attestations are tracked.</x:v>
      </x:c>
      <x:c r="T4" s="42" t="str">
        <x:v>Yes</x:v>
      </x:c>
      <x:c r="U4" s="42" t="str"/>
      <x:c r="V4" s="42" t="str"/>
      <x:c r="W4" s="42" t="str">
        <x:v>Not Assessed</x:v>
      </x:c>
      <x:c r="X4" s="44" t="n">
        <x:v>0</x:v>
      </x:c>
      <x:c r="Y4" s="44" t="n">
        <x:v>3</x:v>
      </x:c>
      <x:c r="Z4" s="42" t="str">
        <x:v>Not Provided</x:v>
      </x:c>
      <x:c r="AA4" s="42" t="str"/>
      <x:c r="AB4" s="42" t="str">
        <x:v>Not Tested</x:v>
      </x:c>
      <x:c r="AC4" s="46" t="str"/>
      <x:c r="AD4" s="42" t="str"/>
      <x:c r="AE4" s="42" t="str">
        <x:v>Not Assessed</x:v>
      </x:c>
      <x:c r="AF4" s="42" t="n">
        <x:f>IF($T4="No","",MAX(0,$Y4-$X4))</x:f>
        <x:v>3</x:v>
      </x:c>
      <x:c r="AG4" s="42" t="str">
        <x:f>IF($T4="No","Not Applicable",IF($X4&gt;=$C4,"Meets CSA Level","Gap to CSA Level"))</x:f>
        <x:v>Gap to CSA Level</x:v>
      </x:c>
      <x:c r="AH4" s="42" t="str">
        <x:f>IF($T4="No","Not Applicable",IF($J4="","Not Mapped",IF(AND(OR($W4="Implemented",$W4="Optimized"),$Z4="Validated",$AB4="Pass"),"Compliant",IF(AND(OR($W4="Partially Implemented",$W4="Implemented",$W4="Optimized"),OR($Z4="Reviewed",$Z4="Validated"),OR($AB4="Pass with Exceptions",$AB4="Pass")),"Partially Compliant","Not Compliant"))))</x:f>
        <x:v>Not Compliant</x:v>
      </x:c>
      <x:c r="AI4" s="42" t="str">
        <x:f>IF($T4="No","Not Applicable",IF($M4="","Not Mapped",IF(AND(OR($W4="Implemented",$W4="Optimized"),$Z4="Validated",$AB4="Pass"),"Compliant",IF(AND(OR($W4="Partially Implemented",$W4="Implemented",$W4="Optimized"),OR($Z4="Reviewed",$Z4="Validated"),OR($AB4="Pass with Exceptions",$AB4="Pass")),"Partially Compliant","Not Compliant"))))</x:f>
        <x:v>Not Compliant</x:v>
      </x:c>
      <x:c r="AJ4" s="42" t="str">
        <x:f>IF($T4="No","Not Applicable",IF(AND($AG4="Meets CSA Level",$AH4="Compliant",$AI4="Compliant"),"CSA AISMM; NIST AI RMF; ISO/IEC 42001",IF(AND($AG4="Meets CSA Level",$AH4="Compliant"),"CSA AISMM; NIST AI RMF",IF(AND($AG4="Meets CSA Level",$AI4="Compliant"),"CSA AISMM; ISO/IEC 42001",IF(AND($AH4="Compliant",$AI4="Compliant"),"NIST AI RMF; ISO/IEC 42001",IF($AG4="Meets CSA Level","CSA AISMM",IF($AH4="Compliant","NIST AI RMF",IF($AI4="Compliant","ISO/IEC 42001","No mapped framework fully compliant"))))))))</x:f>
        <x:v>No mapped framework fully compliant</x:v>
      </x:c>
      <x:c r="AK4" s="42" t="str"/>
      <x:c r="AL4" s="46" t="str"/>
      <x:c r="AM4" s="42" t="str"/>
      <x:c r="AN4" s="42" t="str">
        <x:v>CSA AISMM uploaded workbook; NIST AI RMF Playbook uploaded workbook; ISO/IEC 42001 checklist uploaded PDF; official CSA/NIST/ISO web sources listed on Sources sheet</x:v>
      </x:c>
    </x:row>
    <x:row r="5" ht="90" customHeight="1">
      <x:c r="A5" s="42" t="str">
        <x:v>Governance</x:v>
      </x:c>
      <x:c r="B5" s="42" t="str">
        <x:v>GOV-03.2</x:v>
      </x:c>
      <x:c r="C5" s="42" t="n">
        <x:v>3</x:v>
      </x:c>
      <x:c r="D5" s="42" t="str">
        <x:v>GOV</x:v>
      </x:c>
      <x:c r="E5" s="42" t="str">
        <x:v>Authoritative AI deployment and application registry</x:v>
      </x:c>
      <x:c r="F5" s="42" t="str">
        <x:v>The AI Council maintains an authoritative registry of AI deployments and applications, with each entry linked to the approved use case it serves under GOV-03.1, the owning team, and the underlying models, agents, and MCP integrations in use. The registry is the canonical record of what AI runs under what approval.</x:v>
      </x:c>
      <x:c r="G5" s="42" t="str">
        <x:v>Either</x:v>
      </x:c>
      <x:c r="H5" s="42" t="str">
        <x:v>All</x:v>
      </x:c>
      <x:c r="I5" s="42" t="str">
        <x:v>GRC-05 (information security program scope), GRC-01 (governance program policy)</x:v>
      </x:c>
      <x:c r="J5" s="42" t="str">
        <x:v>MAP 1.1; MAP 1</x:v>
      </x:c>
      <x:c r="K5" s="42" t="str">
        <x:v>MAP 1.1: - Maintain awareness of industry, technical, and applicable legal standards. - Examine trustworthiness of AI system design and consider, non-AI solutions - Consider intended AI system design tasks along with unanticipated purposes in collaboration with human factors and socio-technical domain experts. - Define and document the task, purpose, minimum functionality, and benefits of the AI system to inform considerations about whether the utility of the project or its lack of. - Identify whether there are non-AI or non-technology alternatives that will lead to more trustworthy outcomes. - Examine how changes in system performance affect downstream events such as decision-making (e.g: changes in an AI model objective function create what types of impacts in how many candidates do/do not get a job interview).…</x:v>
      </x:c>
      <x:c r="L5" s="42" t="str">
        <x:v>Direct from AISMM external reference</x:v>
      </x:c>
      <x:c r="M5" s="42" t="str">
        <x:v>Annex A.6</x:v>
      </x:c>
      <x:c r="N5" s="42" t="str">
        <x:v>Annex A.6 – AI system life cycle: Define responsible development objectives, specify verification and validation, maintain technical documentation, and record/maintain event logs during system use.</x:v>
      </x:c>
      <x:c r="O5" s="42" t="str">
        <x:v>Direct from AISMM external reference</x:v>
      </x:c>
      <x:c r="P5" s="42" t="str">
        <x:v>Maintain authoritative AI inventory; link assets to owners, use cases, providers, data classes, and risk tiers.</x:v>
      </x:c>
      <x:c r="Q5" s="42" t="str">
        <x:v>NIST AI RMF Map 1.1 (AI system context); ISO/IEC 42001 Annex A.6.2 (AI system inventory)</x:v>
      </x:c>
      <x:c r="R5" s="42" t="str">
        <x:v>AI policy and acceptable-use standard; AI governance charter; AI Council minutes; approval records; exception logs; role/RACI matrix; training/attestation records; AI risk appetite and escalation procedure.</x:v>
      </x:c>
      <x:c r="S5" s="42" t="str">
        <x:v>Inspect approved policy and governance charter; sample approval records; verify owners and decision logs; interview AI Council or control owner; confirm exceptions and attestations are tracked.</x:v>
      </x:c>
      <x:c r="T5" s="42" t="str">
        <x:v>Yes</x:v>
      </x:c>
      <x:c r="U5" s="42" t="str"/>
      <x:c r="V5" s="42" t="str"/>
      <x:c r="W5" s="42" t="str">
        <x:v>Not Assessed</x:v>
      </x:c>
      <x:c r="X5" s="44" t="n">
        <x:v>0</x:v>
      </x:c>
      <x:c r="Y5" s="44" t="n">
        <x:v>3</x:v>
      </x:c>
      <x:c r="Z5" s="42" t="str">
        <x:v>Not Provided</x:v>
      </x:c>
      <x:c r="AA5" s="42" t="str"/>
      <x:c r="AB5" s="42" t="str">
        <x:v>Not Tested</x:v>
      </x:c>
      <x:c r="AC5" s="46" t="str"/>
      <x:c r="AD5" s="42" t="str"/>
      <x:c r="AE5" s="42" t="str">
        <x:v>Not Assessed</x:v>
      </x:c>
      <x:c r="AF5" s="42" t="n">
        <x:f>IF($T5="No","",MAX(0,$Y5-$X5))</x:f>
        <x:v>3</x:v>
      </x:c>
      <x:c r="AG5" s="42" t="str">
        <x:f>IF($T5="No","Not Applicable",IF($X5&gt;=$C5,"Meets CSA Level","Gap to CSA Level"))</x:f>
        <x:v>Gap to CSA Level</x:v>
      </x:c>
      <x:c r="AH5" s="42" t="str">
        <x:f>IF($T5="No","Not Applicable",IF($J5="","Not Mapped",IF(AND(OR($W5="Implemented",$W5="Optimized"),$Z5="Validated",$AB5="Pass"),"Compliant",IF(AND(OR($W5="Partially Implemented",$W5="Implemented",$W5="Optimized"),OR($Z5="Reviewed",$Z5="Validated"),OR($AB5="Pass with Exceptions",$AB5="Pass")),"Partially Compliant","Not Compliant"))))</x:f>
        <x:v>Not Compliant</x:v>
      </x:c>
      <x:c r="AI5" s="42" t="str">
        <x:f>IF($T5="No","Not Applicable",IF($M5="","Not Mapped",IF(AND(OR($W5="Implemented",$W5="Optimized"),$Z5="Validated",$AB5="Pass"),"Compliant",IF(AND(OR($W5="Partially Implemented",$W5="Implemented",$W5="Optimized"),OR($Z5="Reviewed",$Z5="Validated"),OR($AB5="Pass with Exceptions",$AB5="Pass")),"Partially Compliant","Not Compliant"))))</x:f>
        <x:v>Not Compliant</x:v>
      </x:c>
      <x:c r="AJ5" s="42" t="str">
        <x:f>IF($T5="No","Not Applicable",IF(AND($AG5="Meets CSA Level",$AH5="Compliant",$AI5="Compliant"),"CSA AISMM; NIST AI RMF; ISO/IEC 42001",IF(AND($AG5="Meets CSA Level",$AH5="Compliant"),"CSA AISMM; NIST AI RMF",IF(AND($AG5="Meets CSA Level",$AI5="Compliant"),"CSA AISMM; ISO/IEC 42001",IF(AND($AH5="Compliant",$AI5="Compliant"),"NIST AI RMF; ISO/IEC 42001",IF($AG5="Meets CSA Level","CSA AISMM",IF($AH5="Compliant","NIST AI RMF",IF($AI5="Compliant","ISO/IEC 42001","No mapped framework fully compliant"))))))))</x:f>
        <x:v>No mapped framework fully compliant</x:v>
      </x:c>
      <x:c r="AK5" s="42" t="str"/>
      <x:c r="AL5" s="46" t="str"/>
      <x:c r="AM5" s="42" t="str"/>
      <x:c r="AN5" s="42" t="str">
        <x:v>CSA AISMM uploaded workbook; NIST AI RMF Playbook uploaded workbook; ISO/IEC 42001 checklist uploaded PDF; official CSA/NIST/ISO web sources listed on Sources sheet</x:v>
      </x:c>
    </x:row>
    <x:row r="6" ht="90" customHeight="1">
      <x:c r="A6" s="42" t="str">
        <x:v>Governance</x:v>
      </x:c>
      <x:c r="B6" s="42" t="str">
        <x:v>GOV-03.3</x:v>
      </x:c>
      <x:c r="C6" s="42" t="n">
        <x:v>3</x:v>
      </x:c>
      <x:c r="D6" s="42" t="str">
        <x:v>GOV</x:v>
      </x:c>
      <x:c r="E6" s="42" t="str">
        <x:v>Role-based AI training with measured completion</x:v>
      </x:c>
      <x:c r="F6" s="42" t="str">
        <x:v>Employees receive AI training aligned with their job role. E.g. a baseline for everyone, a developer track for those using coding assistants or building AI applications, and a high-risk-role track for functions whose AI use affects customer, employee, or regulated decisions. Completion is tracked.</x:v>
      </x:c>
      <x:c r="G6" s="42" t="str">
        <x:v>Automated</x:v>
      </x:c>
      <x:c r="H6" s="42" t="str">
        <x:v>All</x:v>
      </x:c>
      <x:c r="I6" s="42" t="str">
        <x:v>HRS-14 (AI competency training), HRS-11 (security awareness training), HRS-15 (AI acceptable use)</x:v>
      </x:c>
      <x:c r="J6" s="42" t="str">
        <x:v>GOVERN 3.2; GOVERN 6.2; GOVERN 3; GOVERN 6</x:v>
      </x:c>
      <x:c r="K6" s="42" t="str">
        <x:v>GOVERN 3.2: - Establish policies and procedures that define and differentiate the various human roles and responsibilities when using, interacting with, or monitoring AI systems. - Establish procedures for capturing and tracking risk information related to human-AI configurations and associated outcomes. - Establish policies for the development of proficiency standards for AI actors carrying out system operation tasks and system oversight tasks. - Establish specified risk management training protocols for AI actors carrying out system operation tasks and system oversight tasks. - Establish policies and procedures regarding AI actor roles, and responsibilities for human oversight of deployed systems.… GOVERN 6.2: - Establish policies for handling third-party system failures to include consideration of redundancy mechanisms for vital third-party AI systems. - Verify that incident response plans address third-party AI systems.</x:v>
      </x:c>
      <x:c r="L6" s="42" t="str">
        <x:v>Direct from AISMM external reference</x:v>
      </x:c>
      <x:c r="M6" s="42" t="str">
        <x:v>Clause 7</x:v>
      </x:c>
      <x:c r="N6" s="42" t="str">
        <x:v>Clause 7 – Support: Provide AIMS resources; ensure competence, awareness, communication, and control of documented information.</x:v>
      </x:c>
      <x:c r="O6" s="42" t="str">
        <x:v>Direct from AISMM external reference</x:v>
      </x:c>
      <x:c r="P6" s="42" t="str">
        <x:v>Track role-based completion, knowledge checks, and refresh cadence.</x:v>
      </x:c>
      <x:c r="Q6" s="42" t="str">
        <x:v>NIST AI RMF Govern 3.2, Govern 6.2; ISO/IEC 42001 Clause 7.2 (competence) and Clause 7.3 (awareness)</x:v>
      </x:c>
      <x:c r="R6" s="42" t="str">
        <x:v>AI policy and acceptable-use standard; AI governance charter; AI Council minutes; approval records; exception logs; role/RACI matrix; training/attestation records; AI risk appetite and escalation procedure.</x:v>
      </x:c>
      <x:c r="S6" s="42" t="str">
        <x:v>Inspect approved policy and governance charter; sample approval records; verify owners and decision logs; interview AI Council or control owner; confirm exceptions and attestations are tracked.</x:v>
      </x:c>
      <x:c r="T6" s="42" t="str">
        <x:v>Yes</x:v>
      </x:c>
      <x:c r="U6" s="42" t="str"/>
      <x:c r="V6" s="42" t="str"/>
      <x:c r="W6" s="42" t="str">
        <x:v>Not Assessed</x:v>
      </x:c>
      <x:c r="X6" s="44" t="n">
        <x:v>0</x:v>
      </x:c>
      <x:c r="Y6" s="44" t="n">
        <x:v>3</x:v>
      </x:c>
      <x:c r="Z6" s="42" t="str">
        <x:v>Not Provided</x:v>
      </x:c>
      <x:c r="AA6" s="42" t="str"/>
      <x:c r="AB6" s="42" t="str">
        <x:v>Not Tested</x:v>
      </x:c>
      <x:c r="AC6" s="46" t="str"/>
      <x:c r="AD6" s="42" t="str"/>
      <x:c r="AE6" s="42" t="str">
        <x:v>Not Assessed</x:v>
      </x:c>
      <x:c r="AF6" s="42" t="n">
        <x:f>IF($T6="No","",MAX(0,$Y6-$X6))</x:f>
        <x:v>3</x:v>
      </x:c>
      <x:c r="AG6" s="42" t="str">
        <x:f>IF($T6="No","Not Applicable",IF($X6&gt;=$C6,"Meets CSA Level","Gap to CSA Level"))</x:f>
        <x:v>Gap to CSA Level</x:v>
      </x:c>
      <x:c r="AH6" s="42" t="str">
        <x:f>IF($T6="No","Not Applicable",IF($J6="","Not Mapped",IF(AND(OR($W6="Implemented",$W6="Optimized"),$Z6="Validated",$AB6="Pass"),"Compliant",IF(AND(OR($W6="Partially Implemented",$W6="Implemented",$W6="Optimized"),OR($Z6="Reviewed",$Z6="Validated"),OR($AB6="Pass with Exceptions",$AB6="Pass")),"Partially Compliant","Not Compliant"))))</x:f>
        <x:v>Not Compliant</x:v>
      </x:c>
      <x:c r="AI6" s="42" t="str">
        <x:f>IF($T6="No","Not Applicable",IF($M6="","Not Mapped",IF(AND(OR($W6="Implemented",$W6="Optimized"),$Z6="Validated",$AB6="Pass"),"Compliant",IF(AND(OR($W6="Partially Implemented",$W6="Implemented",$W6="Optimized"),OR($Z6="Reviewed",$Z6="Validated"),OR($AB6="Pass with Exceptions",$AB6="Pass")),"Partially Compliant","Not Compliant"))))</x:f>
        <x:v>Not Compliant</x:v>
      </x:c>
      <x:c r="AJ6" s="42" t="str">
        <x:f>IF($T6="No","Not Applicable",IF(AND($AG6="Meets CSA Level",$AH6="Compliant",$AI6="Compliant"),"CSA AISMM; NIST AI RMF; ISO/IEC 42001",IF(AND($AG6="Meets CSA Level",$AH6="Compliant"),"CSA AISMM; NIST AI RMF",IF(AND($AG6="Meets CSA Level",$AI6="Compliant"),"CSA AISMM; ISO/IEC 42001",IF(AND($AH6="Compliant",$AI6="Compliant"),"NIST AI RMF; ISO/IEC 42001",IF($AG6="Meets CSA Level","CSA AISMM",IF($AH6="Compliant","NIST AI RMF",IF($AI6="Compliant","ISO/IEC 42001","No mapped framework fully compliant"))))))))</x:f>
        <x:v>No mapped framework fully compliant</x:v>
      </x:c>
      <x:c r="AK6" s="42" t="str"/>
      <x:c r="AL6" s="46" t="str"/>
      <x:c r="AM6" s="42" t="str"/>
      <x:c r="AN6" s="42" t="str">
        <x:v>CSA AISMM uploaded workbook; NIST AI RMF Playbook uploaded workbook; ISO/IEC 42001 checklist uploaded PDF; official CSA/NIST/ISO web sources listed on Sources sheet</x:v>
      </x:c>
    </x:row>
    <x:row r="7" ht="90" customHeight="1">
      <x:c r="A7" s="42" t="str">
        <x:v>Governance</x:v>
      </x:c>
      <x:c r="B7" s="42" t="str">
        <x:v>GOV-04.1</x:v>
      </x:c>
      <x:c r="C7" s="42" t="n">
        <x:v>4</x:v>
      </x:c>
      <x:c r="D7" s="42" t="str">
        <x:v>GOV</x:v>
      </x:c>
      <x:c r="E7" s="42" t="str">
        <x:v>AI Council issues written standards that downstream categories enforce</x:v>
      </x:c>
      <x:c r="F7" s="42" t="str">
        <x:v>The AI Council adopts an enterprise standard based on an industry framework, such as the AICM, which is communicated and integrated into downstream requirements.</x:v>
      </x:c>
      <x:c r="G7" s="42" t="str">
        <x:v>Manual</x:v>
      </x:c>
      <x:c r="H7" s="42" t="str">
        <x:v>All</x:v>
      </x:c>
      <x:c r="I7" s="42" t="str">
        <x:v>GRC-01 (governance program policy), GRC-06 (governance responsibility model), GRC-09 (acceptable use of AI service)</x:v>
      </x:c>
      <x:c r="J7" s="42" t="str">
        <x:v>GOVERN 1.3; GOVERN 2.3; GOVERN 1; GOVERN 2</x:v>
      </x:c>
      <x:c r="K7" s="42" t="str">
        <x:v>GOVERN 1.3: - Establish policies to define mechanisms for measuring or understanding an AI system’s potential impacts, e.g., via regular impact assessments at key stages in the AI lifecycle, connected to system impacts and frequency of system updates. - Establish policies to define mechanisms for measuring or understanding the likelihood of an AI system’s impacts and their magnitude at key stages in the AI lifecycle. - Establish policies that define assessment scales for measuring potential AI system impact. Scales may be qualitative, such as red-amber-green (RAG), or may entail simulations or econometric approaches. - Establish policies for assigning an overall risk measurement approach for an AI system, or its important components, e.g., via multiplication or combination of a mapped risk’s impact and likelihood (risk ≈ impact x likelihood).… GOVERN 2.3: - Organizational management can: - Declare risk tolerances for developing or using AI systems. - Support AI risk management efforts, and play an active role in such efforts. - Integrate a risk and harm prevention mindset throughout the AI lifecycle as part of organizational culture - Support competent risk management executives. - Delegate the power, resources, and authorization to perform risk management to each appropriate level throughout the management chain. - Organizations can establish board committees for AI risk management and oversight functions and integrate those functions within the organization’s broader enterprise risk management approaches.</x:v>
      </x:c>
      <x:c r="L7" s="42" t="str">
        <x:v>Direct from AISMM external reference</x:v>
      </x:c>
      <x:c r="M7" s="42" t="str">
        <x:v>Annex A.6; Annex A.9</x:v>
      </x:c>
      <x:c r="N7" s="42" t="str">
        <x:v>Annex A.6 – AI system life cycle: Define responsible development objectives, specify verification and validation, maintain technical documentation, and record/maintain event logs during system use. Annex A.9 – Use of AI systems: Define responsible AI use processes, ethical/appropriate-use objectives, intended-purpose usage boundaries, and monitoring/remediation for misuse or unintended consequences.</x:v>
      </x:c>
      <x:c r="O7" s="42" t="str">
        <x:v>Direct from AISMM external reference</x:v>
      </x:c>
      <x:c r="P7" s="42" t="str">
        <x:v>Publish approved AI policy/standard; maintain attestation and exception workflow.</x:v>
      </x:c>
      <x:c r="Q7" s="42" t="str">
        <x:v>NIST AI RMF Govern 1.3, Govern 2.3; ISO/IEC 42001 Annex A.6 (AI system life cycle) and Annex A.9 (use of AI systems)</x:v>
      </x:c>
      <x:c r="R7" s="42" t="str">
        <x:v>AI policy and acceptable-use standard; AI governance charter; AI Council minutes; approval records; exception logs; role/RACI matrix; training/attestation records; AI risk appetite and escalation procedure.</x:v>
      </x:c>
      <x:c r="S7" s="42" t="str">
        <x:v>Inspect approved policy and governance charter; sample approval records; verify owners and decision logs; interview AI Council or control owner; confirm exceptions and attestations are tracked.</x:v>
      </x:c>
      <x:c r="T7" s="42" t="str">
        <x:v>Yes</x:v>
      </x:c>
      <x:c r="U7" s="42" t="str"/>
      <x:c r="V7" s="42" t="str"/>
      <x:c r="W7" s="42" t="str">
        <x:v>Not Assessed</x:v>
      </x:c>
      <x:c r="X7" s="44" t="n">
        <x:v>0</x:v>
      </x:c>
      <x:c r="Y7" s="44" t="n">
        <x:v>4</x:v>
      </x:c>
      <x:c r="Z7" s="42" t="str">
        <x:v>Not Provided</x:v>
      </x:c>
      <x:c r="AA7" s="42" t="str"/>
      <x:c r="AB7" s="42" t="str">
        <x:v>Not Tested</x:v>
      </x:c>
      <x:c r="AC7" s="46" t="str"/>
      <x:c r="AD7" s="42" t="str"/>
      <x:c r="AE7" s="42" t="str">
        <x:v>Not Assessed</x:v>
      </x:c>
      <x:c r="AF7" s="42" t="n">
        <x:f>IF($T7="No","",MAX(0,$Y7-$X7))</x:f>
        <x:v>4</x:v>
      </x:c>
      <x:c r="AG7" s="42" t="str">
        <x:f>IF($T7="No","Not Applicable",IF($X7&gt;=$C7,"Meets CSA Level","Gap to CSA Level"))</x:f>
        <x:v>Gap to CSA Level</x:v>
      </x:c>
      <x:c r="AH7" s="42" t="str">
        <x:f>IF($T7="No","Not Applicable",IF($J7="","Not Mapped",IF(AND(OR($W7="Implemented",$W7="Optimized"),$Z7="Validated",$AB7="Pass"),"Compliant",IF(AND(OR($W7="Partially Implemented",$W7="Implemented",$W7="Optimized"),OR($Z7="Reviewed",$Z7="Validated"),OR($AB7="Pass with Exceptions",$AB7="Pass")),"Partially Compliant","Not Compliant"))))</x:f>
        <x:v>Not Compliant</x:v>
      </x:c>
      <x:c r="AI7" s="42" t="str">
        <x:f>IF($T7="No","Not Applicable",IF($M7="","Not Mapped",IF(AND(OR($W7="Implemented",$W7="Optimized"),$Z7="Validated",$AB7="Pass"),"Compliant",IF(AND(OR($W7="Partially Implemented",$W7="Implemented",$W7="Optimized"),OR($Z7="Reviewed",$Z7="Validated"),OR($AB7="Pass with Exceptions",$AB7="Pass")),"Partially Compliant","Not Compliant"))))</x:f>
        <x:v>Not Compliant</x:v>
      </x:c>
      <x:c r="AJ7" s="42" t="str">
        <x:f>IF($T7="No","Not Applicable",IF(AND($AG7="Meets CSA Level",$AH7="Compliant",$AI7="Compliant"),"CSA AISMM; NIST AI RMF; ISO/IEC 42001",IF(AND($AG7="Meets CSA Level",$AH7="Compliant"),"CSA AISMM; NIST AI RMF",IF(AND($AG7="Meets CSA Level",$AI7="Compliant"),"CSA AISMM; ISO/IEC 42001",IF(AND($AH7="Compliant",$AI7="Compliant"),"NIST AI RMF; ISO/IEC 42001",IF($AG7="Meets CSA Level","CSA AISMM",IF($AH7="Compliant","NIST AI RMF",IF($AI7="Compliant","ISO/IEC 42001","No mapped framework fully compliant"))))))))</x:f>
        <x:v>No mapped framework fully compliant</x:v>
      </x:c>
      <x:c r="AK7" s="42" t="str"/>
      <x:c r="AL7" s="46" t="str"/>
      <x:c r="AM7" s="42" t="str"/>
      <x:c r="AN7" s="42" t="str">
        <x:v>CSA AISMM uploaded workbook; NIST AI RMF Playbook uploaded workbook; ISO/IEC 42001 checklist uploaded PDF; official CSA/NIST/ISO web sources listed on Sources sheet</x:v>
      </x:c>
    </x:row>
    <x:row r="8" ht="90" customHeight="1">
      <x:c r="A8" s="42" t="str">
        <x:v>Governance</x:v>
      </x:c>
      <x:c r="B8" s="42" t="str">
        <x:v>GOV-04.2</x:v>
      </x:c>
      <x:c r="C8" s="42" t="n">
        <x:v>4</x:v>
      </x:c>
      <x:c r="D8" s="42" t="str">
        <x:v>GOV</x:v>
      </x:c>
      <x:c r="E8" s="42" t="str">
        <x:v>Cross-functional ethics and safety review for high-risk AI use cases</x:v>
      </x:c>
      <x:c r="F8" s="42" t="str">
        <x:v>No high-risk AI use case reaches production without a cross-functional ethics and safety review that produces a written go / go-with-conditions / no-go disposition. This can be a function of the AI council.</x:v>
      </x:c>
      <x:c r="G8" s="42" t="str">
        <x:v>Manual</x:v>
      </x:c>
      <x:c r="H8" s="42" t="str">
        <x:v>All</x:v>
      </x:c>
      <x:c r="I8" s="42" t="str">
        <x:v>GRC-10 (AI impact assessment), GRC-11 (bias and fairness assessment), GRC-12 (ethics committee), GRC-13 (explainability requirement), GRC-14 (explainability evaluation), GRC-15 (human supervision)</x:v>
      </x:c>
      <x:c r="J8" s="42" t="str">
        <x:v>GOVERN 5.1; MEASURE 2.5; MANAGE 1.3; GOVERN 5; MEASURE 2; MANAGE 1</x:v>
      </x:c>
      <x:c r="K8" s="42" t="str">
        <x:v>GOVERN 5.1: - Establish AI risk management policies that explicitly address mechanisms for collecting, evaluating, and incorporating stakeholder and user feedback that could include: - Recourse mechanisms for faulty AI system outputs. - Bug bounties. - Human-centered design. - User-interaction and experience research. - Participatory stakeholder engagement with individuals and communities that may experience negative impacts. - Verify that stakeholder feedback is considered and addressed, including environmental concerns, and across the entire population of intended users, including historically excluded populations, people with disabilities, older people, and those with limited access to the internet and other basic technologies.… MEASURE 2.5: - Define the operating conditions and socio-technical context under which the AI system will be validated. - Define and document processes to establish the system’s operational conditions and limits. - Establish or identify, and document approaches to measure forms of validity, including: - construct validity (the test is measuring the concept it claims to measure) - internal validity (relationship being tested is not influenced by other factors or variables) - external validity (results are generalizable beyond the training condition) - the use of experimental design principles and statistical analyses and modeling. - Assess and document system variance. Standard approaches include confidence intervals, standard deviation, standard error, bootstrapping, or cross-validation. - Establish or identify, and document robustness measures.… MANAGE 1.3: - Observe regulatory and established organizational, sector, discipline, or professional standards and requirements for applying risk tolerances within the organization. - Document procedures for acting on AI system risks related to trustworthiness characteristics. - Prioritize risks involving physical safety, legal liabilities, regulatory compliance, and negative impacts on individuals, groups, or society. - Identify risk response plans and resources and organizational teams for carrying out response functions. - Store risk management and system documentation in an organized, secure repository that is accessible by relevant AI Actors and appropriate personnel.</x:v>
      </x:c>
      <x:c r="L8" s="42" t="str">
        <x:v>Direct from AISMM external reference</x:v>
      </x:c>
      <x:c r="M8" s="42" t="str">
        <x:v>Annex A.5</x:v>
      </x:c>
      <x:c r="N8" s="42" t="str">
        <x:v>Annex A.5 – Assessing impacts of AI systems: Perform documented, repeatable impact assessments on individuals, groups, or society; update after significant changes; feed findings into design, controls, and stakeholder communication.</x:v>
      </x:c>
      <x:c r="O8" s="42" t="str">
        <x:v>Direct from AISMM external reference</x:v>
      </x:c>
      <x:c r="P8" s="42" t="str">
        <x:v>Use this row as a control objective to assess current state, define target maturity, collect evidence, and remediate gaps.</x:v>
      </x:c>
      <x:c r="Q8" s="42" t="str">
        <x:v>NIST AI RMF Govern 5.1, Measure 2.5, Manage 1.3; EU AI Act Article 9 (risk management system) and Article 14 (human oversight) concepts; ISO/IEC 42001 Annex A.5 (responsible use)</x:v>
      </x:c>
      <x:c r="R8" s="42" t="str">
        <x:v>AI policy and acceptable-use standard; AI governance charter; AI Council minutes; approval records; exception logs; role/RACI matrix; training/attestation records; AI risk appetite and escalation procedure.</x:v>
      </x:c>
      <x:c r="S8" s="42" t="str">
        <x:v>Inspect approved policy and governance charter; sample approval records; verify owners and decision logs; interview AI Council or control owner; confirm exceptions and attestations are tracked.</x:v>
      </x:c>
      <x:c r="T8" s="42" t="str">
        <x:v>Yes</x:v>
      </x:c>
      <x:c r="U8" s="42" t="str"/>
      <x:c r="V8" s="42" t="str"/>
      <x:c r="W8" s="42" t="str">
        <x:v>Not Assessed</x:v>
      </x:c>
      <x:c r="X8" s="44" t="n">
        <x:v>0</x:v>
      </x:c>
      <x:c r="Y8" s="44" t="n">
        <x:v>4</x:v>
      </x:c>
      <x:c r="Z8" s="42" t="str">
        <x:v>Not Provided</x:v>
      </x:c>
      <x:c r="AA8" s="42" t="str"/>
      <x:c r="AB8" s="42" t="str">
        <x:v>Not Tested</x:v>
      </x:c>
      <x:c r="AC8" s="46" t="str"/>
      <x:c r="AD8" s="42" t="str"/>
      <x:c r="AE8" s="42" t="str">
        <x:v>Not Assessed</x:v>
      </x:c>
      <x:c r="AF8" s="42" t="n">
        <x:f>IF($T8="No","",MAX(0,$Y8-$X8))</x:f>
        <x:v>4</x:v>
      </x:c>
      <x:c r="AG8" s="42" t="str">
        <x:f>IF($T8="No","Not Applicable",IF($X8&gt;=$C8,"Meets CSA Level","Gap to CSA Level"))</x:f>
        <x:v>Gap to CSA Level</x:v>
      </x:c>
      <x:c r="AH8" s="42" t="str">
        <x:f>IF($T8="No","Not Applicable",IF($J8="","Not Mapped",IF(AND(OR($W8="Implemented",$W8="Optimized"),$Z8="Validated",$AB8="Pass"),"Compliant",IF(AND(OR($W8="Partially Implemented",$W8="Implemented",$W8="Optimized"),OR($Z8="Reviewed",$Z8="Validated"),OR($AB8="Pass with Exceptions",$AB8="Pass")),"Partially Compliant","Not Compliant"))))</x:f>
        <x:v>Not Compliant</x:v>
      </x:c>
      <x:c r="AI8" s="42" t="str">
        <x:f>IF($T8="No","Not Applicable",IF($M8="","Not Mapped",IF(AND(OR($W8="Implemented",$W8="Optimized"),$Z8="Validated",$AB8="Pass"),"Compliant",IF(AND(OR($W8="Partially Implemented",$W8="Implemented",$W8="Optimized"),OR($Z8="Reviewed",$Z8="Validated"),OR($AB8="Pass with Exceptions",$AB8="Pass")),"Partially Compliant","Not Compliant"))))</x:f>
        <x:v>Not Compliant</x:v>
      </x:c>
      <x:c r="AJ8" s="42" t="str">
        <x:f>IF($T8="No","Not Applicable",IF(AND($AG8="Meets CSA Level",$AH8="Compliant",$AI8="Compliant"),"CSA AISMM; NIST AI RMF; ISO/IEC 42001",IF(AND($AG8="Meets CSA Level",$AH8="Compliant"),"CSA AISMM; NIST AI RMF",IF(AND($AG8="Meets CSA Level",$AI8="Compliant"),"CSA AISMM; ISO/IEC 42001",IF(AND($AH8="Compliant",$AI8="Compliant"),"NIST AI RMF; ISO/IEC 42001",IF($AG8="Meets CSA Level","CSA AISMM",IF($AH8="Compliant","NIST AI RMF",IF($AI8="Compliant","ISO/IEC 42001","No mapped framework fully compliant"))))))))</x:f>
        <x:v>No mapped framework fully compliant</x:v>
      </x:c>
      <x:c r="AK8" s="42" t="str"/>
      <x:c r="AL8" s="46" t="str"/>
      <x:c r="AM8" s="42" t="str"/>
      <x:c r="AN8" s="42" t="str">
        <x:v>CSA AISMM uploaded workbook; NIST AI RMF Playbook uploaded workbook; ISO/IEC 42001 checklist uploaded PDF; official CSA/NIST/ISO web sources listed on Sources sheet</x:v>
      </x:c>
    </x:row>
    <x:row r="9" ht="90" customHeight="1">
      <x:c r="A9" s="42" t="str">
        <x:v>Governance</x:v>
      </x:c>
      <x:c r="B9" s="42" t="str">
        <x:v>GOV-04.3</x:v>
      </x:c>
      <x:c r="C9" s="42" t="n">
        <x:v>4</x:v>
      </x:c>
      <x:c r="D9" s="42" t="str">
        <x:v>GOV</x:v>
      </x:c>
      <x:c r="E9" s="42" t="str">
        <x:v>Executive / board AI risk-committee oversight with defined escalation triggers</x:v>
      </x:c>
      <x:c r="F9" s="42" t="str">
        <x:v>Executive and/or board members are actively engaged with the AI council, which includes regular reporting, review, and disposition of anything requiring executive/board feedback. Executive and/or board members sign off on any governance policies from the AI council.</x:v>
      </x:c>
      <x:c r="G9" s="42" t="str">
        <x:v>Manual</x:v>
      </x:c>
      <x:c r="H9" s="42" t="str">
        <x:v>All</x:v>
      </x:c>
      <x:c r="I9" s="42" t="str">
        <x:v>GRC-06 (governance responsibility model), GRC-07 (information security committee), GRC-12 (ethics committee)</x:v>
      </x:c>
      <x:c r="J9" s="42" t="str">
        <x:v>GOVERN 2.1; GOVERN 4.1; GOVERN 2; GOVERN 4</x:v>
      </x:c>
      <x:c r="K9" s="42" t="str">
        <x:v>GOVERN 2.1: - Establish policies that define the AI risk management roles and responsibilities for positions directly and indirectly related to AI systems, including, but not limited to - Boards of directors or advisory committees - Senior management - AI audit functions - Product management - Project management - AI design - AI development - Human-AI interaction - AI testing and evaluation - AI acquisition and procurement - Impact assessment functions - Oversight functions - Establish policies that promote regular communication among AI actors participating in AI risk management efforts. - Establish policies that separate management of AI system development functions from AI system testing functions, to enable independent course-correction of AI systems. - Establish policies to identify, increase the transparency of, and prevent conflicts of interest in AI risk management efforts.… GOVERN 4.1: - Establish policies that require inclusion of oversight functions (legal, compliance, risk management) from the outset of the system design process. - Establish policies that promote effective challenge of AI system design, implementation, and deployment decisions, via mechanisms such as the three lines of defense, model audits, or red-teaming – to minimize workplace risks such as groupthink. - Establish policies that incentivize safety-first mindset and general critical thinking and review at an organizational and procedural level. - Establish whistleblower protections for insiders who report on perceived serious problems with AI systems. - Establish policies to integrate a harm and risk prevention mindset throughout the AI lifecycle.</x:v>
      </x:c>
      <x:c r="L9" s="42" t="str">
        <x:v>Direct from AISMM external reference</x:v>
      </x:c>
      <x:c r="M9" s="42" t="str">
        <x:v>Clause 5; Clause 9</x:v>
      </x:c>
      <x:c r="N9" s="42" t="str">
        <x:v>Clause 5 – Leadership: Top management demonstrates commitment to the AIMS, establishes an AI policy aligned to strategy, and assigns/communicates AI management roles, responsibilities, and authorities. Clause 9 – Performance Evaluation: Monitor, measure, analyze, and evaluate the AIMS; perform internal audits; conduct management review at planned intervals.</x:v>
      </x:c>
      <x:c r="O9" s="42" t="str">
        <x:v>Direct from AISMM external reference</x:v>
      </x:c>
      <x:c r="P9" s="42" t="str">
        <x:v>Use this row as a control objective to assess current state, define target maturity, collect evidence, and remediate gaps.</x:v>
      </x:c>
      <x:c r="Q9" s="42" t="str">
        <x:v>NIST AI RMF Govern 2.1, Govern 4.1; ISO/IEC 42001 Clause 5.1 (leadership and commitment), Clause 9.3 (management review)</x:v>
      </x:c>
      <x:c r="R9" s="42" t="str">
        <x:v>AI policy and acceptable-use standard; AI governance charter; AI Council minutes; approval records; exception logs; role/RACI matrix; training/attestation records; AI risk appetite and escalation procedure.</x:v>
      </x:c>
      <x:c r="S9" s="42" t="str">
        <x:v>Inspect approved policy and governance charter; sample approval records; verify owners and decision logs; interview AI Council or control owner; confirm exceptions and attestations are tracked.</x:v>
      </x:c>
      <x:c r="T9" s="42" t="str">
        <x:v>Yes</x:v>
      </x:c>
      <x:c r="U9" s="42" t="str"/>
      <x:c r="V9" s="42" t="str"/>
      <x:c r="W9" s="42" t="str">
        <x:v>Not Assessed</x:v>
      </x:c>
      <x:c r="X9" s="44" t="n">
        <x:v>0</x:v>
      </x:c>
      <x:c r="Y9" s="44" t="n">
        <x:v>4</x:v>
      </x:c>
      <x:c r="Z9" s="42" t="str">
        <x:v>Not Provided</x:v>
      </x:c>
      <x:c r="AA9" s="42" t="str"/>
      <x:c r="AB9" s="42" t="str">
        <x:v>Not Tested</x:v>
      </x:c>
      <x:c r="AC9" s="46" t="str"/>
      <x:c r="AD9" s="42" t="str"/>
      <x:c r="AE9" s="42" t="str">
        <x:v>Not Assessed</x:v>
      </x:c>
      <x:c r="AF9" s="42" t="n">
        <x:f>IF($T9="No","",MAX(0,$Y9-$X9))</x:f>
        <x:v>4</x:v>
      </x:c>
      <x:c r="AG9" s="42" t="str">
        <x:f>IF($T9="No","Not Applicable",IF($X9&gt;=$C9,"Meets CSA Level","Gap to CSA Level"))</x:f>
        <x:v>Gap to CSA Level</x:v>
      </x:c>
      <x:c r="AH9" s="42" t="str">
        <x:f>IF($T9="No","Not Applicable",IF($J9="","Not Mapped",IF(AND(OR($W9="Implemented",$W9="Optimized"),$Z9="Validated",$AB9="Pass"),"Compliant",IF(AND(OR($W9="Partially Implemented",$W9="Implemented",$W9="Optimized"),OR($Z9="Reviewed",$Z9="Validated"),OR($AB9="Pass with Exceptions",$AB9="Pass")),"Partially Compliant","Not Compliant"))))</x:f>
        <x:v>Not Compliant</x:v>
      </x:c>
      <x:c r="AI9" s="42" t="str">
        <x:f>IF($T9="No","Not Applicable",IF($M9="","Not Mapped",IF(AND(OR($W9="Implemented",$W9="Optimized"),$Z9="Validated",$AB9="Pass"),"Compliant",IF(AND(OR($W9="Partially Implemented",$W9="Implemented",$W9="Optimized"),OR($Z9="Reviewed",$Z9="Validated"),OR($AB9="Pass with Exceptions",$AB9="Pass")),"Partially Compliant","Not Compliant"))))</x:f>
        <x:v>Not Compliant</x:v>
      </x:c>
      <x:c r="AJ9" s="42" t="str">
        <x:f>IF($T9="No","Not Applicable",IF(AND($AG9="Meets CSA Level",$AH9="Compliant",$AI9="Compliant"),"CSA AISMM; NIST AI RMF; ISO/IEC 42001",IF(AND($AG9="Meets CSA Level",$AH9="Compliant"),"CSA AISMM; NIST AI RMF",IF(AND($AG9="Meets CSA Level",$AI9="Compliant"),"CSA AISMM; ISO/IEC 42001",IF(AND($AH9="Compliant",$AI9="Compliant"),"NIST AI RMF; ISO/IEC 42001",IF($AG9="Meets CSA Level","CSA AISMM",IF($AH9="Compliant","NIST AI RMF",IF($AI9="Compliant","ISO/IEC 42001","No mapped framework fully compliant"))))))))</x:f>
        <x:v>No mapped framework fully compliant</x:v>
      </x:c>
      <x:c r="AK9" s="42" t="str"/>
      <x:c r="AL9" s="46" t="str"/>
      <x:c r="AM9" s="42" t="str"/>
      <x:c r="AN9" s="42" t="str">
        <x:v>CSA AISMM uploaded workbook; NIST AI RMF Playbook uploaded workbook; ISO/IEC 42001 checklist uploaded PDF; official CSA/NIST/ISO web sources listed on Sources sheet</x:v>
      </x:c>
    </x:row>
    <x:row r="10" ht="90" customHeight="1">
      <x:c r="A10" s="42" t="str">
        <x:v>Governance</x:v>
      </x:c>
      <x:c r="B10" s="42" t="str">
        <x:v>GOV-05.1</x:v>
      </x:c>
      <x:c r="C10" s="42" t="n">
        <x:v>5</x:v>
      </x:c>
      <x:c r="D10" s="42" t="str">
        <x:v>GOV</x:v>
      </x:c>
      <x:c r="E10" s="42" t="str">
        <x:v>Automated governance evidence and exception lifecycle</x:v>
      </x:c>
      <x:c r="F10" s="42" t="str">
        <x:v>Governance posture is visible on a live dashboard fed by source-system telemetry rather than hand-assembled, and policy exceptions move through a tracked lifecycle that closes or renews on schedule.</x:v>
      </x:c>
      <x:c r="G10" s="42" t="str">
        <x:v>Automated</x:v>
      </x:c>
      <x:c r="H10" s="42" t="str">
        <x:v>All</x:v>
      </x:c>
      <x:c r="I10" s="42" t="str">
        <x:v>GRC-01 (governance program policy), GRC-03 (organizational policy reviews), GRC-04 (policy exception process)</x:v>
      </x:c>
      <x:c r="J10" s="42" t="str">
        <x:v>GOVERN 1.5; MANAGE 4.1; GOVERN 1; MANAGE 4</x:v>
      </x:c>
      <x:c r="K10" s="42" t="str">
        <x:v>GOVERN 1.5: - Establish policies to allocate appropriate resources and capacity for assessing impacts of AI systems on individuals, communities and society. - Establish policies and procedures for monitoring and addressing AI system performance and trustworthiness, including bias and security problems, across the lifecycle of the system. - Establish policies for AI system incident response, or confirm that existing incident response policies apply to AI systems. - Establish policies to define organizational functions and personnel responsible for AI system monitoring and incident response activities. - Establish mechanisms to enable the sharing of feedback from impacted individuals or communities about negative impacts from AI systems. - Establish mechanisms to provide recourse for impacted individuals or communities to contest problematic AI system outcomes. - Establish opt-out mechanisms. MANAGE 4.1: - Establish and maintain procedures to monitor AI system performance for risks and negative and positive impacts associated with trustworthiness characteristics. - Perform post-deployment TEVV tasks to evaluate AI system validity and reliability, bias and fairness, privacy, and security and resilience. - Evaluate AI system trustworthiness in conditions similar to deployment context of use, and prior to deployment. - Establish and implement red-teaming exercises at a prescribed cadence, and evaluate their efficacy. - Establish procedures for tracking dataset modifications such as data deletion or rectification requests. - Establish mechanisms for regular communication and feedback between relevant AI actors and internal or external stakeholders to capture information about system performance, trustworthiness and impact.…</x:v>
      </x:c>
      <x:c r="L10" s="42" t="str">
        <x:v>Direct from AISMM external reference</x:v>
      </x:c>
      <x:c r="M10" s="42" t="str">
        <x:v>Clause 9</x:v>
      </x:c>
      <x:c r="N10" s="42" t="str">
        <x:v>Clause 9 – Performance Evaluation: Monitor, measure, analyze, and evaluate the AIMS; perform internal audits; conduct management review at planned intervals.</x:v>
      </x:c>
      <x:c r="O10" s="42" t="str">
        <x:v>Direct from AISMM external reference</x:v>
      </x:c>
      <x:c r="P10" s="42" t="str">
        <x:v>Use this row as a control objective to assess current state, define target maturity, collect evidence, and remediate gaps.</x:v>
      </x:c>
      <x:c r="Q10" s="42" t="str">
        <x:v>NIST AI RMF Govern 1.5, Manage 4.1; ISO/IEC 42001 Clause 9 (performance evaluation)</x:v>
      </x:c>
      <x:c r="R10" s="42" t="str">
        <x:v>AI policy and acceptable-use standard; AI governance charter; AI Council minutes; approval records; exception logs; role/RACI matrix; training/attestation records; AI risk appetite and escalation procedure.</x:v>
      </x:c>
      <x:c r="S10" s="42" t="str">
        <x:v>Inspect approved policy and governance charter; sample approval records; verify owners and decision logs; interview AI Council or control owner; confirm exceptions and attestations are tracked.</x:v>
      </x:c>
      <x:c r="T10" s="42" t="str">
        <x:v>Yes</x:v>
      </x:c>
      <x:c r="U10" s="42" t="str"/>
      <x:c r="V10" s="42" t="str"/>
      <x:c r="W10" s="42" t="str">
        <x:v>Not Assessed</x:v>
      </x:c>
      <x:c r="X10" s="44" t="n">
        <x:v>0</x:v>
      </x:c>
      <x:c r="Y10" s="44" t="n">
        <x:v>5</x:v>
      </x:c>
      <x:c r="Z10" s="42" t="str">
        <x:v>Not Provided</x:v>
      </x:c>
      <x:c r="AA10" s="42" t="str"/>
      <x:c r="AB10" s="42" t="str">
        <x:v>Not Tested</x:v>
      </x:c>
      <x:c r="AC10" s="46" t="str"/>
      <x:c r="AD10" s="42" t="str"/>
      <x:c r="AE10" s="42" t="str">
        <x:v>Not Assessed</x:v>
      </x:c>
      <x:c r="AF10" s="42" t="n">
        <x:f>IF($T10="No","",MAX(0,$Y10-$X10))</x:f>
        <x:v>5</x:v>
      </x:c>
      <x:c r="AG10" s="42" t="str">
        <x:f>IF($T10="No","Not Applicable",IF($X10&gt;=$C10,"Meets CSA Level","Gap to CSA Level"))</x:f>
        <x:v>Gap to CSA Level</x:v>
      </x:c>
      <x:c r="AH10" s="42" t="str">
        <x:f>IF($T10="No","Not Applicable",IF($J10="","Not Mapped",IF(AND(OR($W10="Implemented",$W10="Optimized"),$Z10="Validated",$AB10="Pass"),"Compliant",IF(AND(OR($W10="Partially Implemented",$W10="Implemented",$W10="Optimized"),OR($Z10="Reviewed",$Z10="Validated"),OR($AB10="Pass with Exceptions",$AB10="Pass")),"Partially Compliant","Not Compliant"))))</x:f>
        <x:v>Not Compliant</x:v>
      </x:c>
      <x:c r="AI10" s="42" t="str">
        <x:f>IF($T10="No","Not Applicable",IF($M10="","Not Mapped",IF(AND(OR($W10="Implemented",$W10="Optimized"),$Z10="Validated",$AB10="Pass"),"Compliant",IF(AND(OR($W10="Partially Implemented",$W10="Implemented",$W10="Optimized"),OR($Z10="Reviewed",$Z10="Validated"),OR($AB10="Pass with Exceptions",$AB10="Pass")),"Partially Compliant","Not Compliant"))))</x:f>
        <x:v>Not Compliant</x:v>
      </x:c>
      <x:c r="AJ10" s="42" t="str">
        <x:f>IF($T10="No","Not Applicable",IF(AND($AG10="Meets CSA Level",$AH10="Compliant",$AI10="Compliant"),"CSA AISMM; NIST AI RMF; ISO/IEC 42001",IF(AND($AG10="Meets CSA Level",$AH10="Compliant"),"CSA AISMM; NIST AI RMF",IF(AND($AG10="Meets CSA Level",$AI10="Compliant"),"CSA AISMM; ISO/IEC 42001",IF(AND($AH10="Compliant",$AI10="Compliant"),"NIST AI RMF; ISO/IEC 42001",IF($AG10="Meets CSA Level","CSA AISMM",IF($AH10="Compliant","NIST AI RMF",IF($AI10="Compliant","ISO/IEC 42001","No mapped framework fully compliant"))))))))</x:f>
        <x:v>No mapped framework fully compliant</x:v>
      </x:c>
      <x:c r="AK10" s="42" t="str"/>
      <x:c r="AL10" s="46" t="str"/>
      <x:c r="AM10" s="42" t="str"/>
      <x:c r="AN10" s="42" t="str">
        <x:v>CSA AISMM uploaded workbook; NIST AI RMF Playbook uploaded workbook; ISO/IEC 42001 checklist uploaded PDF; official CSA/NIST/ISO web sources listed on Sources sheet</x:v>
      </x:c>
    </x:row>
    <x:row r="11" ht="90" customHeight="1">
      <x:c r="A11" s="42" t="str">
        <x:v>Governance</x:v>
      </x:c>
      <x:c r="B11" s="42" t="str">
        <x:v>GOV-05.2</x:v>
      </x:c>
      <x:c r="C11" s="42" t="n">
        <x:v>5</x:v>
      </x:c>
      <x:c r="D11" s="42" t="str">
        <x:v>GOV</x:v>
      </x:c>
      <x:c r="E11" s="42" t="str">
        <x:v>Ethics review board with on-change reviews and enforcement authority</x:v>
      </x:c>
      <x:c r="F11" s="42" t="str">
        <x:v>A standing AI ethics review board has and demonstrably exercises enforcement authority, halting, modifying, or remediating production AI deployments as needed to meet enterprise AI ethics requirements. The governance function responds to provider and regulatory changes within defined SLAs, so governance is active and current rather than declarative.</x:v>
      </x:c>
      <x:c r="G11" s="42" t="str">
        <x:v>Manual</x:v>
      </x:c>
      <x:c r="H11" s="42" t="str">
        <x:v>All</x:v>
      </x:c>
      <x:c r="I11" s="42" t="str">
        <x:v>GRC-12 (ethics committee), GRC-10 (AI impact assessment), GRC-15 (human supervision), GRC-04 (policy exception process)</x:v>
      </x:c>
      <x:c r="J11" s="42" t="str">
        <x:v>GOVERN 1.3; GOVERN 3.2; MANAGE 4.1; MANAGE 4.3; GOVERN 1; GOVERN 3; MANAGE 4</x:v>
      </x:c>
      <x:c r="K11" s="42" t="str">
        <x:v>GOVERN 1.3: - Establish policies to define mechanisms for measuring or understanding an AI system’s potential impacts, e.g., via regular impact assessments at key stages in the AI lifecycle, connected to system impacts and frequency of system updates. - Establish policies to define mechanisms for measuring or understanding the likelihood of an AI system’s impacts and their magnitude at key stages in the AI lifecycle. - Establish policies that define assessment scales for measuring potential AI system impact. Scales may be qualitative, such as red-amber-green (RAG), or may entail simulations or econometric approaches. - Establish policies for assigning an overall risk measurement approach for an AI system, or its important components, e.g., via multiplication or combination of a mapped risk’s impact and likelihood (risk ≈ impact x likelihood).… GOVERN 3.2: - Establish policies and procedures that define and differentiate the various human roles and responsibilities when using, interacting with, or monitoring AI systems. - Establish procedures for capturing and tracking risk information related to human-AI configurations and associated outcomes. - Establish policies for the development of proficiency standards for AI actors carrying out system operation tasks and system oversight tasks. - Establish specified risk management training protocols for AI actors carrying out system operation tasks and system oversight tasks. - Establish policies and procedures regarding AI actor roles, and responsibilities for human oversight of deployed systems.… MANAGE 4.1: - Establish and maintain procedures to monitor AI system performance for risks and negative and positive impacts associated with trustworthiness characteristics. - Perform post-deployment TEVV tasks to evaluate AI system validity and reliability, bias and fairness, privacy, and security and resilience. - Evaluate AI system trustworthiness in conditions similar to deployment context of use, and prior to deployment. - Establish and implement red-teaming exercises at a prescribed cadence, and evaluate their efficacy. - Establish procedures for tracking dataset modifications such as data deletion or rectification requests. - Establish mechanisms for regular communication and feedback between relevant AI actors and internal or external stakeholders to capture information about system performance, trustworthiness and impact.… MANAGE 4.3: - Establish procedures to regularly share information about errors, incidents and negative impacts with relevant stakeholders, operators, practitioners and users, and impacted parties. - Maintain a database of reported errors, near-misses, incidents and negative impacts including date reported, number of reports, assessment of impact and severity, and responses. - Maintain a database of system changes, reason for change, and details of how the change was made, tested and deployed.…</x:v>
      </x:c>
      <x:c r="L11" s="42" t="str">
        <x:v>Direct from AISMM external reference</x:v>
      </x:c>
      <x:c r="M11" s="42" t="str">
        <x:v>Annex A.10</x:v>
      </x:c>
      <x:c r="N11" s="42" t="str">
        <x:v>Annex A.10 – Third-party and customer relationships: Define lifecycle responsibilities with third parties, manage AI suppliers, capture customer expectations, and review third-party roles through ongoing governance.</x:v>
      </x:c>
      <x:c r="O11" s="42" t="str">
        <x:v>Direct from AISMM external reference</x:v>
      </x:c>
      <x:c r="P11" s="42" t="str">
        <x:v>Use this row as a control objective to assess current state, define target maturity, collect evidence, and remediate gaps.</x:v>
      </x:c>
      <x:c r="Q11" s="42" t="str">
        <x:v>NIST AI RMF Govern 1.3, Govern 3.2, Manage 4.1, Manage 4.3; EU AI Act Article 14 (human oversight) and Article 72 (post-market monitoring) concepts; ISO/IEC 42001 Annex A.10 (third-party relationships)</x:v>
      </x:c>
      <x:c r="R11" s="42" t="str">
        <x:v>AI policy and acceptable-use standard; AI governance charter; AI Council minutes; approval records; exception logs; role/RACI matrix; training/attestation records; AI risk appetite and escalation procedure.</x:v>
      </x:c>
      <x:c r="S11" s="42" t="str">
        <x:v>Inspect approved policy and governance charter; sample approval records; verify owners and decision logs; interview AI Council or control owner; confirm exceptions and attestations are tracked.</x:v>
      </x:c>
      <x:c r="T11" s="42" t="str">
        <x:v>Yes</x:v>
      </x:c>
      <x:c r="U11" s="42" t="str"/>
      <x:c r="V11" s="42" t="str"/>
      <x:c r="W11" s="42" t="str">
        <x:v>Not Assessed</x:v>
      </x:c>
      <x:c r="X11" s="44" t="n">
        <x:v>0</x:v>
      </x:c>
      <x:c r="Y11" s="44" t="n">
        <x:v>5</x:v>
      </x:c>
      <x:c r="Z11" s="42" t="str">
        <x:v>Not Provided</x:v>
      </x:c>
      <x:c r="AA11" s="42" t="str"/>
      <x:c r="AB11" s="42" t="str">
        <x:v>Not Tested</x:v>
      </x:c>
      <x:c r="AC11" s="46" t="str"/>
      <x:c r="AD11" s="42" t="str"/>
      <x:c r="AE11" s="42" t="str">
        <x:v>Not Assessed</x:v>
      </x:c>
      <x:c r="AF11" s="42" t="n">
        <x:f>IF($T11="No","",MAX(0,$Y11-$X11))</x:f>
        <x:v>5</x:v>
      </x:c>
      <x:c r="AG11" s="42" t="str">
        <x:f>IF($T11="No","Not Applicable",IF($X11&gt;=$C11,"Meets CSA Level","Gap to CSA Level"))</x:f>
        <x:v>Gap to CSA Level</x:v>
      </x:c>
      <x:c r="AH11" s="42" t="str">
        <x:f>IF($T11="No","Not Applicable",IF($J11="","Not Mapped",IF(AND(OR($W11="Implemented",$W11="Optimized"),$Z11="Validated",$AB11="Pass"),"Compliant",IF(AND(OR($W11="Partially Implemented",$W11="Implemented",$W11="Optimized"),OR($Z11="Reviewed",$Z11="Validated"),OR($AB11="Pass with Exceptions",$AB11="Pass")),"Partially Compliant","Not Compliant"))))</x:f>
        <x:v>Not Compliant</x:v>
      </x:c>
      <x:c r="AI11" s="42" t="str">
        <x:f>IF($T11="No","Not Applicable",IF($M11="","Not Mapped",IF(AND(OR($W11="Implemented",$W11="Optimized"),$Z11="Validated",$AB11="Pass"),"Compliant",IF(AND(OR($W11="Partially Implemented",$W11="Implemented",$W11="Optimized"),OR($Z11="Reviewed",$Z11="Validated"),OR($AB11="Pass with Exceptions",$AB11="Pass")),"Partially Compliant","Not Compliant"))))</x:f>
        <x:v>Not Compliant</x:v>
      </x:c>
      <x:c r="AJ11" s="42" t="str">
        <x:f>IF($T11="No","Not Applicable",IF(AND($AG11="Meets CSA Level",$AH11="Compliant",$AI11="Compliant"),"CSA AISMM; NIST AI RMF; ISO/IEC 42001",IF(AND($AG11="Meets CSA Level",$AH11="Compliant"),"CSA AISMM; NIST AI RMF",IF(AND($AG11="Meets CSA Level",$AI11="Compliant"),"CSA AISMM; ISO/IEC 42001",IF(AND($AH11="Compliant",$AI11="Compliant"),"NIST AI RMF; ISO/IEC 42001",IF($AG11="Meets CSA Level","CSA AISMM",IF($AH11="Compliant","NIST AI RMF",IF($AI11="Compliant","ISO/IEC 42001","No mapped framework fully compliant"))))))))</x:f>
        <x:v>No mapped framework fully compliant</x:v>
      </x:c>
      <x:c r="AK11" s="42" t="str"/>
      <x:c r="AL11" s="46" t="str"/>
      <x:c r="AM11" s="42" t="str"/>
      <x:c r="AN11" s="42" t="str">
        <x:v>CSA AISMM uploaded workbook; NIST AI RMF Playbook uploaded workbook; ISO/IEC 42001 checklist uploaded PDF; official CSA/NIST/ISO web sources listed on Sources sheet</x:v>
      </x:c>
    </x:row>
    <x:row r="12" ht="90" customHeight="1">
      <x:c r="A12" s="42" t="str">
        <x:v>Organization Management</x:v>
      </x:c>
      <x:c r="B12" s="42" t="str">
        <x:v>ORG-02.1</x:v>
      </x:c>
      <x:c r="C12" s="42" t="n">
        <x:v>2</x:v>
      </x:c>
      <x:c r="D12" s="42" t="str">
        <x:v>ORG</x:v>
      </x:c>
      <x:c r="E12" s="42" t="str">
        <x:v>Enterprise AI service discovery via reconciled telemetry</x:v>
      </x:c>
      <x:c r="F12" s="42" t="str">
        <x:v>Security leadership knows which AI services are in use across the enterprise, reconciled across cloud and SaaS billing, identity provider sign-in records for AI services, and CASB or DNS/egress allowlist matches against known AI provider endpoints. AI services adopted outside formal approval channels are visible to the Council.</x:v>
      </x:c>
      <x:c r="G12" s="42" t="str">
        <x:v>Manual</x:v>
      </x:c>
      <x:c r="H12" s="42" t="str">
        <x:v>All</x:v>
      </x:c>
      <x:c r="I12" s="42" t="str">
        <x:v>CCC-06 (change management baseline — establishing the AI service baseline), CCC-07 (detection of baseline deviation — manual at L2)</x:v>
      </x:c>
      <x:c r="J12" s="42" t="str">
        <x:v>MAP 1</x:v>
      </x:c>
      <x:c r="K12" s="42" t="str">
        <x:v>MAP 1: Parent AI RMF category/function referenced; use associated subcategory rows for testable control language.</x:v>
      </x:c>
      <x:c r="L12" s="42" t="str">
        <x:v>Direct from AISMM external reference</x:v>
      </x:c>
      <x:c r="M12" s="42" t="str">
        <x:v>Annex A.3; Annex A.10</x:v>
      </x:c>
      <x:c r="N12" s="42" t="str">
        <x:v>Annex A.3 – Internal organization: Define AI roles and responsibilities; provide reporting and confidential escalation paths; investigate and resolve AI-related concerns. Annex A.10 – Third-party and customer relationships: Define lifecycle responsibilities with third parties, manage AI suppliers, capture customer expectations, and review third-party roles through ongoing governance.</x:v>
      </x:c>
      <x:c r="O12" s="42" t="str">
        <x:v>Derived by control theme/domain</x:v>
      </x:c>
      <x:c r="P12" s="42" t="str">
        <x:v>Define log schema, retention, access controls, alerting, and incident triage integration.</x:v>
      </x:c>
      <x:c r="Q12" s="42" t="str">
        <x:v>NIST AI RMF MAP-1; CSA AI Controls Matrix; Gartner AI TRiSM guidance</x:v>
      </x:c>
      <x:c r="R12" s="42" t="str">
        <x:v>AIMS scope statement; organizational context analysis; interested-party register; operating model; RACI; internal communication records; training plans; management review outputs.</x:v>
      </x:c>
      <x:c r="S12" s="42" t="str">
        <x:v>Confirm AIMS scope and organizational context are documented; sample communications and awareness records; verify role assignment and management review participation.</x:v>
      </x:c>
      <x:c r="T12" s="42" t="str">
        <x:v>Yes</x:v>
      </x:c>
      <x:c r="U12" s="42" t="str"/>
      <x:c r="V12" s="42" t="str"/>
      <x:c r="W12" s="42" t="str">
        <x:v>Not Assessed</x:v>
      </x:c>
      <x:c r="X12" s="44" t="n">
        <x:v>0</x:v>
      </x:c>
      <x:c r="Y12" s="44" t="n">
        <x:v>2</x:v>
      </x:c>
      <x:c r="Z12" s="42" t="str">
        <x:v>Not Provided</x:v>
      </x:c>
      <x:c r="AA12" s="42" t="str"/>
      <x:c r="AB12" s="42" t="str">
        <x:v>Not Tested</x:v>
      </x:c>
      <x:c r="AC12" s="46" t="str"/>
      <x:c r="AD12" s="42" t="str"/>
      <x:c r="AE12" s="42" t="str">
        <x:v>Not Assessed</x:v>
      </x:c>
      <x:c r="AF12" s="42" t="n">
        <x:f>IF($T12="No","",MAX(0,$Y12-$X12))</x:f>
        <x:v>2</x:v>
      </x:c>
      <x:c r="AG12" s="42" t="str">
        <x:f>IF($T12="No","Not Applicable",IF($X12&gt;=$C12,"Meets CSA Level","Gap to CSA Level"))</x:f>
        <x:v>Gap to CSA Level</x:v>
      </x:c>
      <x:c r="AH12" s="42" t="str">
        <x:f>IF($T12="No","Not Applicable",IF($J12="","Not Mapped",IF(AND(OR($W12="Implemented",$W12="Optimized"),$Z12="Validated",$AB12="Pass"),"Compliant",IF(AND(OR($W12="Partially Implemented",$W12="Implemented",$W12="Optimized"),OR($Z12="Reviewed",$Z12="Validated"),OR($AB12="Pass with Exceptions",$AB12="Pass")),"Partially Compliant","Not Compliant"))))</x:f>
        <x:v>Not Compliant</x:v>
      </x:c>
      <x:c r="AI12" s="42" t="str">
        <x:f>IF($T12="No","Not Applicable",IF($M12="","Not Mapped",IF(AND(OR($W12="Implemented",$W12="Optimized"),$Z12="Validated",$AB12="Pass"),"Compliant",IF(AND(OR($W12="Partially Implemented",$W12="Implemented",$W12="Optimized"),OR($Z12="Reviewed",$Z12="Validated"),OR($AB12="Pass with Exceptions",$AB12="Pass")),"Partially Compliant","Not Compliant"))))</x:f>
        <x:v>Not Compliant</x:v>
      </x:c>
      <x:c r="AJ12" s="42" t="str">
        <x:f>IF($T12="No","Not Applicable",IF(AND($AG12="Meets CSA Level",$AH12="Compliant",$AI12="Compliant"),"CSA AISMM; NIST AI RMF; ISO/IEC 42001",IF(AND($AG12="Meets CSA Level",$AH12="Compliant"),"CSA AISMM; NIST AI RMF",IF(AND($AG12="Meets CSA Level",$AI12="Compliant"),"CSA AISMM; ISO/IEC 42001",IF(AND($AH12="Compliant",$AI12="Compliant"),"NIST AI RMF; ISO/IEC 42001",IF($AG12="Meets CSA Level","CSA AISMM",IF($AH12="Compliant","NIST AI RMF",IF($AI12="Compliant","ISO/IEC 42001","No mapped framework fully compliant"))))))))</x:f>
        <x:v>No mapped framework fully compliant</x:v>
      </x:c>
      <x:c r="AK12" s="42" t="str"/>
      <x:c r="AL12" s="46" t="str"/>
      <x:c r="AM12" s="42" t="str"/>
      <x:c r="AN12" s="42" t="str">
        <x:v>CSA AISMM uploaded workbook; NIST AI RMF Playbook uploaded workbook; ISO/IEC 42001 checklist uploaded PDF; official CSA/NIST/ISO web sources listed on Sources sheet</x:v>
      </x:c>
    </x:row>
    <x:row r="13" ht="90" customHeight="1">
      <x:c r="A13" s="42" t="str">
        <x:v>Organization Management</x:v>
      </x:c>
      <x:c r="B13" s="42" t="str">
        <x:v>ORG-02.2</x:v>
      </x:c>
      <x:c r="C13" s="42" t="n">
        <x:v>2</x:v>
      </x:c>
      <x:c r="D13" s="42" t="str">
        <x:v>ORG</x:v>
      </x:c>
      <x:c r="E13" s="42" t="str">
        <x:v>Baseline AI-feature settings for licensed SaaS platforms</x:v>
      </x:c>
      <x:c r="F13" s="42" t="str">
        <x:v>Embedded AI features in licensed SaaS platforms run under a configuration baseline that scopes which users can invoke them, blocks customer data from being used for provider model training, and binds AI to enterprise data protection or sensitivity controls where the platform supports it. The baseline is applied in every in-scope tenant with a recent admin validation on file.</x:v>
      </x:c>
      <x:c r="G13" s="42" t="str">
        <x:v>Manual</x:v>
      </x:c>
      <x:c r="H13" s="42" t="str">
        <x:v>API/SaaS</x:v>
      </x:c>
      <x:c r="I13" s="42" t="str">
        <x:v>CCC-06 (change management baseline), CCC-02 (quality testing / approval process for baseline)</x:v>
      </x:c>
      <x:c r="J13" s="42" t="str">
        <x:v>GOVERN 1.6; GOVERN 2.1; MAP 1.1; MAP 1.4; MANAGE 1.2</x:v>
      </x:c>
      <x:c r="K13" s="42" t="str">
        <x:v>GOVERN 1.6: - Establish policies that define the creation and maintenance of AI system inventories. - Establish policies that define a specific individual or team that is responsible for maintaining the inventory. - Establish policies that define which models or systems are inventoried, with preference to inventorying all models or systems, or minimally, to high risk models or systems, or systems deployed in high-stakes settings. - Establish policies that define model or system attributes to be inventoried, e.g, documentation, links to source code, incident response plans, data dictionaries, AI actor contact information. GOVERN 2.1: - Establish policies that define the AI risk management roles and responsibilities for positions directly and indirectly related to AI systems, including, but not limited to - Boards of directors or advisory committees - Senior management - AI audit functions - Product management - Project management - AI design - AI development - Human-AI interaction - AI testing and evaluation - AI acquisition and procurement - Impact assessment functions - Oversight functions - Establish policies that promote regular communication among AI actors participating in AI risk management efforts. - Establish policies that separate management of AI system development functions from AI system testing functions, to enable independent course-correction of AI systems. - Establish policies to identify, increase the transparency of, and prevent conflicts of interest in AI risk management efforts.… MAP 1.1: - Maintain awareness of industry, technical, and applicable legal standards. - Examine trustworthiness of AI system design and consider, non-AI solutions - Consider intended AI system design tasks along with unanticipated purposes in collaboration with human factors and socio-technical domain experts. - Define and document the task, purpose, minimum functionality, and benefits of the AI system to inform considerations about whether the utility of the project or its lack of. - Identify whether there are non-AI or non-technology alternatives that will lead to more trustworthy outcomes. - Examine how changes in system performance affect downstream events such as decision-making (e.g: changes in an AI model objective function create what types of impacts in how many candidates do/do not get a job interview).… MAP 1.4: - Document business value or context of business use - Reconcile documented concerns about the system’s purpose within the business context of use compared to the organization’s stated values, mission statements, social responsibility commitments, and AI principles. - Reconsider the design, implementation strategy, or deployment of AI systems with potential impacts that do not reflect institutional values. MANAGE 1.2: - Assign risk management resources relative to established risk tolerance. AI systems with lower risk tolerances receive greater oversight, mitigation and management resources.…</x:v>
      </x:c>
      <x:c r="L13" s="42" t="str">
        <x:v>Derived by CSA domain/theme</x:v>
      </x:c>
      <x:c r="M13" s="42" t="str">
        <x:v>Annex A.3; Annex A.6; Annex A.7; Annex A.8; Annex A.10</x:v>
      </x:c>
      <x:c r="N13" s="42" t="str">
        <x:v>Annex A.3 – Internal organization: Define AI roles and responsibilities; provide reporting and confidential escalation paths; investigate and resolve AI-related concerns. Annex A.6 – AI system life cycle: Define responsible development objectives, specify verification and validation, maintain technical documentation, and record/maintain event logs during system use. Annex A.7 – Data for AI systems: Maintain documented AI data management, identify sources and provenance, record intended use, define data quality requirements, and document/justify preparation methods. Annex A.8 – Information for interested parties: Provide necessary documentation to users and interested parties; define incident reporting/escalation, incident communication, and stakeholder information requirements. Annex A.10 – Third-party and customer relationships: Define lifecycle responsibilities with third parties, manage AI suppliers, capture customer expectations, and review third-party roles through ongoing governance.</x:v>
      </x:c>
      <x:c r="O13" s="42" t="str">
        <x:v>Derived by control theme/domain</x:v>
      </x:c>
      <x:c r="P13" s="42" t="str">
        <x:v>Tie provider/model/library onboarding to supplier risk, licensing, model/data provenance, and AI-BOM/SBOM records.</x:v>
      </x:c>
      <x:c r="Q13" s="42" t="str">
        <x:v>Microsoft Purview for Copilot, Google Workspace admin controls for Gemini, Salesforce Einstein Trust Layer configuration guides</x:v>
      </x:c>
      <x:c r="R13" s="42" t="str">
        <x:v>AIMS scope statement; organizational context analysis; interested-party register; operating model; RACI; internal communication records; training plans; management review outputs.</x:v>
      </x:c>
      <x:c r="S13" s="42" t="str">
        <x:v>Confirm AIMS scope and organizational context are documented; sample communications and awareness records; verify role assignment and management review participation.</x:v>
      </x:c>
      <x:c r="T13" s="42" t="str">
        <x:v>Yes</x:v>
      </x:c>
      <x:c r="U13" s="42" t="str"/>
      <x:c r="V13" s="42" t="str"/>
      <x:c r="W13" s="42" t="str">
        <x:v>Not Assessed</x:v>
      </x:c>
      <x:c r="X13" s="44" t="n">
        <x:v>0</x:v>
      </x:c>
      <x:c r="Y13" s="44" t="n">
        <x:v>2</x:v>
      </x:c>
      <x:c r="Z13" s="42" t="str">
        <x:v>Not Provided</x:v>
      </x:c>
      <x:c r="AA13" s="42" t="str"/>
      <x:c r="AB13" s="42" t="str">
        <x:v>Not Tested</x:v>
      </x:c>
      <x:c r="AC13" s="46" t="str"/>
      <x:c r="AD13" s="42" t="str"/>
      <x:c r="AE13" s="42" t="str">
        <x:v>Not Assessed</x:v>
      </x:c>
      <x:c r="AF13" s="42" t="n">
        <x:f>IF($T13="No","",MAX(0,$Y13-$X13))</x:f>
        <x:v>2</x:v>
      </x:c>
      <x:c r="AG13" s="42" t="str">
        <x:f>IF($T13="No","Not Applicable",IF($X13&gt;=$C13,"Meets CSA Level","Gap to CSA Level"))</x:f>
        <x:v>Gap to CSA Level</x:v>
      </x:c>
      <x:c r="AH13" s="42" t="str">
        <x:f>IF($T13="No","Not Applicable",IF($J13="","Not Mapped",IF(AND(OR($W13="Implemented",$W13="Optimized"),$Z13="Validated",$AB13="Pass"),"Compliant",IF(AND(OR($W13="Partially Implemented",$W13="Implemented",$W13="Optimized"),OR($Z13="Reviewed",$Z13="Validated"),OR($AB13="Pass with Exceptions",$AB13="Pass")),"Partially Compliant","Not Compliant"))))</x:f>
        <x:v>Not Compliant</x:v>
      </x:c>
      <x:c r="AI13" s="42" t="str">
        <x:f>IF($T13="No","Not Applicable",IF($M13="","Not Mapped",IF(AND(OR($W13="Implemented",$W13="Optimized"),$Z13="Validated",$AB13="Pass"),"Compliant",IF(AND(OR($W13="Partially Implemented",$W13="Implemented",$W13="Optimized"),OR($Z13="Reviewed",$Z13="Validated"),OR($AB13="Pass with Exceptions",$AB13="Pass")),"Partially Compliant","Not Compliant"))))</x:f>
        <x:v>Not Compliant</x:v>
      </x:c>
      <x:c r="AJ13" s="42" t="str">
        <x:f>IF($T13="No","Not Applicable",IF(AND($AG13="Meets CSA Level",$AH13="Compliant",$AI13="Compliant"),"CSA AISMM; NIST AI RMF; ISO/IEC 42001",IF(AND($AG13="Meets CSA Level",$AH13="Compliant"),"CSA AISMM; NIST AI RMF",IF(AND($AG13="Meets CSA Level",$AI13="Compliant"),"CSA AISMM; ISO/IEC 42001",IF(AND($AH13="Compliant",$AI13="Compliant"),"NIST AI RMF; ISO/IEC 42001",IF($AG13="Meets CSA Level","CSA AISMM",IF($AH13="Compliant","NIST AI RMF",IF($AI13="Compliant","ISO/IEC 42001","No mapped framework fully compliant"))))))))</x:f>
        <x:v>No mapped framework fully compliant</x:v>
      </x:c>
      <x:c r="AK13" s="42" t="str"/>
      <x:c r="AL13" s="46" t="str"/>
      <x:c r="AM13" s="42" t="str"/>
      <x:c r="AN13" s="42" t="str">
        <x:v>CSA AISMM uploaded workbook; NIST AI RMF Playbook uploaded workbook; ISO/IEC 42001 checklist uploaded PDF; official CSA/NIST/ISO web sources listed on Sources sheet</x:v>
      </x:c>
    </x:row>
    <x:row r="14" ht="90" customHeight="1">
      <x:c r="A14" s="42" t="str">
        <x:v>Organization Management</x:v>
      </x:c>
      <x:c r="B14" s="42" t="str">
        <x:v>ORG-03.1</x:v>
      </x:c>
      <x:c r="C14" s="42" t="n">
        <x:v>3</x:v>
      </x:c>
      <x:c r="D14" s="42" t="str">
        <x:v>ORG</x:v>
      </x:c>
      <x:c r="E14" s="42" t="str">
        <x:v>Cloud org policy controls AI services on the primary platform</x:v>
      </x:c>
      <x:c r="F14" s="42" t="str">
        <x:v>On the primary cloud, organization-level policy (SCPs, Azure Policy, GCP Org Policy, or equivalent) blocks unapproved AI services, unapproved regions, and provider model-training opt-ins. A CSPM or AI-SPM pilot on the same cloud feeds discovered services into the enterprise inventory, and exceptions carry a named approver and an expiration.</x:v>
      </x:c>
      <x:c r="G14" s="42" t="str">
        <x:v>Automated</x:v>
      </x:c>
      <x:c r="H14" s="42" t="str">
        <x:v>PaaS (primary)</x:v>
      </x:c>
      <x:c r="I14" s="42" t="str">
        <x:v>CCC-03 (change management technology), CCC-04 (change authorization), CCC-06 (change management baseline)</x:v>
      </x:c>
      <x:c r="J14" s="42" t="str">
        <x:v>GOVERN 1.6; GOVERN 2.1; MAP 1.1; MAP 1.4; MANAGE 1.2</x:v>
      </x:c>
      <x:c r="K14" s="42" t="str">
        <x:v>GOVERN 1.6: - Establish policies that define the creation and maintenance of AI system inventories. - Establish policies that define a specific individual or team that is responsible for maintaining the inventory. - Establish policies that define which models or systems are inventoried, with preference to inventorying all models or systems, or minimally, to high risk models or systems, or systems deployed in high-stakes settings. - Establish policies that define model or system attributes to be inventoried, e.g, documentation, links to source code, incident response plans, data dictionaries, AI actor contact information. GOVERN 2.1: - Establish policies that define the AI risk management roles and responsibilities for positions directly and indirectly related to AI systems, including, but not limited to - Boards of directors or advisory committees - Senior management - AI audit functions - Product management - Project management - AI design - AI development - Human-AI interaction - AI testing and evaluation - AI acquisition and procurement - Impact assessment functions - Oversight functions - Establish policies that promote regular communication among AI actors participating in AI risk management efforts. - Establish policies that separate management of AI system development functions from AI system testing functions, to enable independent course-correction of AI systems. - Establish policies to identify, increase the transparency of, and prevent conflicts of interest in AI risk management efforts.… MAP 1.1: - Maintain awareness of industry, technical, and applicable legal standards. - Examine trustworthiness of AI system design and consider, non-AI solutions - Consider intended AI system design tasks along with unanticipated purposes in collaboration with human factors and socio-technical domain experts. - Define and document the task, purpose, minimum functionality, and benefits of the AI system to inform considerations about whether the utility of the project or its lack of. - Identify whether there are non-AI or non-technology alternatives that will lead to more trustworthy outcomes. - Examine how changes in system performance affect downstream events such as decision-making (e.g: changes in an AI model objective function create what types of impacts in how many candidates do/do not get a job interview).… MAP 1.4: - Document business value or context of business use - Reconcile documented concerns about the system’s purpose within the business context of use compared to the organization’s stated values, mission statements, social responsibility commitments, and AI principles. - Reconsider the design, implementation strategy, or deployment of AI systems with potential impacts that do not reflect institutional values. MANAGE 1.2: - Assign risk management resources relative to established risk tolerance. AI systems with lower risk tolerances receive greater oversight, mitigation and management resources.…</x:v>
      </x:c>
      <x:c r="L14" s="42" t="str">
        <x:v>Derived by CSA domain/theme</x:v>
      </x:c>
      <x:c r="M14" s="42" t="str">
        <x:v>Annex A.2; Annex A.3; Annex A.4; Annex A.6; Annex A.10</x:v>
      </x:c>
      <x:c r="N14" s="42" t="str">
        <x:v>Annex A.2 – Policies related to AI: Document and approve AI policy, include responsible AI principles and continual improvement, review policy regularly, and align it to other relevant organizational policies. Annex A.3 – Internal organization: Define AI roles and responsibilities; provide reporting and confidential escalation paths; investigate and resolve AI-related concerns. Annex A.4 – Resources for AI systems: Maintain a register of AI resources including data, tools, systems, people, tooling, compute resources, and relevant operational/environmental impacts. Annex A.6 – AI system life cycle: Define responsible development objectives, specify verification and validation, maintain technical documentation, and record/maintain event logs during system use. Annex A.10 – Third-party and customer relationships: Define lifecycle responsibilities with third parties, manage AI suppliers, capture customer expectations, and review third-party roles through ongoing governance.</x:v>
      </x:c>
      <x:c r="O14" s="42" t="str">
        <x:v>Derived by control theme/domain</x:v>
      </x:c>
      <x:c r="P14" s="42" t="str">
        <x:v>Publish approved AI policy/standard; maintain attestation and exception workflow.</x:v>
      </x:c>
      <x:c r="Q14" s="42" t="str">
        <x:v>AWS SCP reference (organizations/aws-managed-policies, bedrock IAM actions); Azure Policy built-in definitions for Azure OpenAI and Cognitive Services; GCP Organization Policy constraints for Vertex AI</x:v>
      </x:c>
      <x:c r="R14" s="42" t="str">
        <x:v>AIMS scope statement; organizational context analysis; interested-party register; operating model; RACI; internal communication records; training plans; management review outputs.</x:v>
      </x:c>
      <x:c r="S14" s="42" t="str">
        <x:v>Confirm AIMS scope and organizational context are documented; sample communications and awareness records; verify role assignment and management review participation.</x:v>
      </x:c>
      <x:c r="T14" s="42" t="str">
        <x:v>Yes</x:v>
      </x:c>
      <x:c r="U14" s="42" t="str"/>
      <x:c r="V14" s="42" t="str"/>
      <x:c r="W14" s="42" t="str">
        <x:v>Not Assessed</x:v>
      </x:c>
      <x:c r="X14" s="44" t="n">
        <x:v>0</x:v>
      </x:c>
      <x:c r="Y14" s="44" t="n">
        <x:v>3</x:v>
      </x:c>
      <x:c r="Z14" s="42" t="str">
        <x:v>Not Provided</x:v>
      </x:c>
      <x:c r="AA14" s="42" t="str"/>
      <x:c r="AB14" s="42" t="str">
        <x:v>Not Tested</x:v>
      </x:c>
      <x:c r="AC14" s="46" t="str"/>
      <x:c r="AD14" s="42" t="str"/>
      <x:c r="AE14" s="42" t="str">
        <x:v>Not Assessed</x:v>
      </x:c>
      <x:c r="AF14" s="42" t="n">
        <x:f>IF($T14="No","",MAX(0,$Y14-$X14))</x:f>
        <x:v>3</x:v>
      </x:c>
      <x:c r="AG14" s="42" t="str">
        <x:f>IF($T14="No","Not Applicable",IF($X14&gt;=$C14,"Meets CSA Level","Gap to CSA Level"))</x:f>
        <x:v>Gap to CSA Level</x:v>
      </x:c>
      <x:c r="AH14" s="42" t="str">
        <x:f>IF($T14="No","Not Applicable",IF($J14="","Not Mapped",IF(AND(OR($W14="Implemented",$W14="Optimized"),$Z14="Validated",$AB14="Pass"),"Compliant",IF(AND(OR($W14="Partially Implemented",$W14="Implemented",$W14="Optimized"),OR($Z14="Reviewed",$Z14="Validated"),OR($AB14="Pass with Exceptions",$AB14="Pass")),"Partially Compliant","Not Compliant"))))</x:f>
        <x:v>Not Compliant</x:v>
      </x:c>
      <x:c r="AI14" s="42" t="str">
        <x:f>IF($T14="No","Not Applicable",IF($M14="","Not Mapped",IF(AND(OR($W14="Implemented",$W14="Optimized"),$Z14="Validated",$AB14="Pass"),"Compliant",IF(AND(OR($W14="Partially Implemented",$W14="Implemented",$W14="Optimized"),OR($Z14="Reviewed",$Z14="Validated"),OR($AB14="Pass with Exceptions",$AB14="Pass")),"Partially Compliant","Not Compliant"))))</x:f>
        <x:v>Not Compliant</x:v>
      </x:c>
      <x:c r="AJ14" s="42" t="str">
        <x:f>IF($T14="No","Not Applicable",IF(AND($AG14="Meets CSA Level",$AH14="Compliant",$AI14="Compliant"),"CSA AISMM; NIST AI RMF; ISO/IEC 42001",IF(AND($AG14="Meets CSA Level",$AH14="Compliant"),"CSA AISMM; NIST AI RMF",IF(AND($AG14="Meets CSA Level",$AI14="Compliant"),"CSA AISMM; ISO/IEC 42001",IF(AND($AH14="Compliant",$AI14="Compliant"),"NIST AI RMF; ISO/IEC 42001",IF($AG14="Meets CSA Level","CSA AISMM",IF($AH14="Compliant","NIST AI RMF",IF($AI14="Compliant","ISO/IEC 42001","No mapped framework fully compliant"))))))))</x:f>
        <x:v>No mapped framework fully compliant</x:v>
      </x:c>
      <x:c r="AK14" s="42" t="str"/>
      <x:c r="AL14" s="46" t="str"/>
      <x:c r="AM14" s="42" t="str"/>
      <x:c r="AN14" s="42" t="str">
        <x:v>CSA AISMM uploaded workbook; NIST AI RMF Playbook uploaded workbook; ISO/IEC 42001 checklist uploaded PDF; official CSA/NIST/ISO web sources listed on Sources sheet</x:v>
      </x:c>
    </x:row>
    <x:row r="15" ht="90" customHeight="1">
      <x:c r="A15" s="42" t="str">
        <x:v>Organization Management</x:v>
      </x:c>
      <x:c r="B15" s="42" t="str">
        <x:v>ORG-03.2</x:v>
      </x:c>
      <x:c r="C15" s="42" t="n">
        <x:v>3</x:v>
      </x:c>
      <x:c r="D15" s="42" t="str">
        <x:v>ORG</x:v>
      </x:c>
      <x:c r="E15" s="42" t="str">
        <x:v>Enterprise administration of AI coding assistants</x:v>
      </x:c>
      <x:c r="F15" s="42" t="str">
        <x:v>Engineering reaches AI coding assistants only through enterprise-tier licensing under centralized administration, with consumer-tier subscriptions prohibited and blocked via endpoint or network controls. Access is IdP-bound and scoped to a defined engineering group, and content-exclusion and non-enterprise telemetry opt-outs are enabled in the admin console.</x:v>
      </x:c>
      <x:c r="G15" s="42" t="str">
        <x:v>Automated</x:v>
      </x:c>
      <x:c r="H15" s="42" t="str">
        <x:v>All</x:v>
      </x:c>
      <x:c r="I15" s="42" t="str">
        <x:v>CCC-04 (change authorization), CCC-06 (change management baseline)</x:v>
      </x:c>
      <x:c r="J15" s="42" t="str">
        <x:v>GOVERN 1.6; GOVERN 2.1; MAP 1.1; MAP 1.4; MANAGE 1.2</x:v>
      </x:c>
      <x:c r="K15" s="42" t="str">
        <x:v>GOVERN 1.6: - Establish policies that define the creation and maintenance of AI system inventories. - Establish policies that define a specific individual or team that is responsible for maintaining the inventory. - Establish policies that define which models or systems are inventoried, with preference to inventorying all models or systems, or minimally, to high risk models or systems, or systems deployed in high-stakes settings. - Establish policies that define model or system attributes to be inventoried, e.g, documentation, links to source code, incident response plans, data dictionaries, AI actor contact information. GOVERN 2.1: - Establish policies that define the AI risk management roles and responsibilities for positions directly and indirectly related to AI systems, including, but not limited to - Boards of directors or advisory committees - Senior management - AI audit functions - Product management - Project management - AI design - AI development - Human-AI interaction - AI testing and evaluation - AI acquisition and procurement - Impact assessment functions - Oversight functions - Establish policies that promote regular communication among AI actors participating in AI risk management efforts. - Establish policies that separate management of AI system development functions from AI system testing functions, to enable independent course-correction of AI systems. - Establish policies to identify, increase the transparency of, and prevent conflicts of interest in AI risk management efforts.… MAP 1.1: - Maintain awareness of industry, technical, and applicable legal standards. - Examine trustworthiness of AI system design and consider, non-AI solutions - Consider intended AI system design tasks along with unanticipated purposes in collaboration with human factors and socio-technical domain experts. - Define and document the task, purpose, minimum functionality, and benefits of the AI system to inform considerations about whether the utility of the project or its lack of. - Identify whether there are non-AI or non-technology alternatives that will lead to more trustworthy outcomes. - Examine how changes in system performance affect downstream events such as decision-making (e.g: changes in an AI model objective function create what types of impacts in how many candidates do/do not get a job interview).… MAP 1.4: - Document business value or context of business use - Reconcile documented concerns about the system’s purpose within the business context of use compared to the organization’s stated values, mission statements, social responsibility commitments, and AI principles. - Reconsider the design, implementation strategy, or deployment of AI systems with potential impacts that do not reflect institutional values. MANAGE 1.2: - Assign risk management resources relative to established risk tolerance. AI systems with lower risk tolerances receive greater oversight, mitigation and management resources.…</x:v>
      </x:c>
      <x:c r="L15" s="42" t="str">
        <x:v>Derived by CSA domain/theme</x:v>
      </x:c>
      <x:c r="M15" s="42" t="str">
        <x:v>Annex A.8</x:v>
      </x:c>
      <x:c r="N15" s="42" t="str">
        <x:v>Annex A.8 – Information for interested parties: Provide necessary documentation to users and interested parties; define incident reporting/escalation, incident communication, and stakeholder information requirements.</x:v>
      </x:c>
      <x:c r="O15" s="42" t="str">
        <x:v>Derived by control theme/domain</x:v>
      </x:c>
      <x:c r="P15" s="42" t="str">
        <x:v>Use this row as a control objective to assess current state, define target maturity, collect evidence, and remediate gaps.</x:v>
      </x:c>
      <x:c r="Q15" s="42" t="str">
        <x:v>GitHub Copilot Business/Enterprise admin documentation; Cursor for Teams admin controls; JetBrains AI Assistant enterprise configuration; AWS Q Developer Pro admin controls</x:v>
      </x:c>
      <x:c r="R15" s="42" t="str">
        <x:v>AIMS scope statement; organizational context analysis; interested-party register; operating model; RACI; internal communication records; training plans; management review outputs.</x:v>
      </x:c>
      <x:c r="S15" s="42" t="str">
        <x:v>Confirm AIMS scope and organizational context are documented; sample communications and awareness records; verify role assignment and management review participation.</x:v>
      </x:c>
      <x:c r="T15" s="42" t="str">
        <x:v>Yes</x:v>
      </x:c>
      <x:c r="U15" s="42" t="str"/>
      <x:c r="V15" s="42" t="str"/>
      <x:c r="W15" s="42" t="str">
        <x:v>Not Assessed</x:v>
      </x:c>
      <x:c r="X15" s="44" t="n">
        <x:v>0</x:v>
      </x:c>
      <x:c r="Y15" s="44" t="n">
        <x:v>3</x:v>
      </x:c>
      <x:c r="Z15" s="42" t="str">
        <x:v>Not Provided</x:v>
      </x:c>
      <x:c r="AA15" s="42" t="str"/>
      <x:c r="AB15" s="42" t="str">
        <x:v>Not Tested</x:v>
      </x:c>
      <x:c r="AC15" s="46" t="str"/>
      <x:c r="AD15" s="42" t="str"/>
      <x:c r="AE15" s="42" t="str">
        <x:v>Not Assessed</x:v>
      </x:c>
      <x:c r="AF15" s="42" t="n">
        <x:f>IF($T15="No","",MAX(0,$Y15-$X15))</x:f>
        <x:v>3</x:v>
      </x:c>
      <x:c r="AG15" s="42" t="str">
        <x:f>IF($T15="No","Not Applicable",IF($X15&gt;=$C15,"Meets CSA Level","Gap to CSA Level"))</x:f>
        <x:v>Gap to CSA Level</x:v>
      </x:c>
      <x:c r="AH15" s="42" t="str">
        <x:f>IF($T15="No","Not Applicable",IF($J15="","Not Mapped",IF(AND(OR($W15="Implemented",$W15="Optimized"),$Z15="Validated",$AB15="Pass"),"Compliant",IF(AND(OR($W15="Partially Implemented",$W15="Implemented",$W15="Optimized"),OR($Z15="Reviewed",$Z15="Validated"),OR($AB15="Pass with Exceptions",$AB15="Pass")),"Partially Compliant","Not Compliant"))))</x:f>
        <x:v>Not Compliant</x:v>
      </x:c>
      <x:c r="AI15" s="42" t="str">
        <x:f>IF($T15="No","Not Applicable",IF($M15="","Not Mapped",IF(AND(OR($W15="Implemented",$W15="Optimized"),$Z15="Validated",$AB15="Pass"),"Compliant",IF(AND(OR($W15="Partially Implemented",$W15="Implemented",$W15="Optimized"),OR($Z15="Reviewed",$Z15="Validated"),OR($AB15="Pass with Exceptions",$AB15="Pass")),"Partially Compliant","Not Compliant"))))</x:f>
        <x:v>Not Compliant</x:v>
      </x:c>
      <x:c r="AJ15" s="42" t="str">
        <x:f>IF($T15="No","Not Applicable",IF(AND($AG15="Meets CSA Level",$AH15="Compliant",$AI15="Compliant"),"CSA AISMM; NIST AI RMF; ISO/IEC 42001",IF(AND($AG15="Meets CSA Level",$AH15="Compliant"),"CSA AISMM; NIST AI RMF",IF(AND($AG15="Meets CSA Level",$AI15="Compliant"),"CSA AISMM; ISO/IEC 42001",IF(AND($AH15="Compliant",$AI15="Compliant"),"NIST AI RMF; ISO/IEC 42001",IF($AG15="Meets CSA Level","CSA AISMM",IF($AH15="Compliant","NIST AI RMF",IF($AI15="Compliant","ISO/IEC 42001","No mapped framework fully compliant"))))))))</x:f>
        <x:v>No mapped framework fully compliant</x:v>
      </x:c>
      <x:c r="AK15" s="42" t="str"/>
      <x:c r="AL15" s="46" t="str"/>
      <x:c r="AM15" s="42" t="str"/>
      <x:c r="AN15" s="42" t="str">
        <x:v>CSA AISMM uploaded workbook; NIST AI RMF Playbook uploaded workbook; ISO/IEC 42001 checklist uploaded PDF; official CSA/NIST/ISO web sources listed on Sources sheet</x:v>
      </x:c>
    </x:row>
    <x:row r="16" ht="90" customHeight="1">
      <x:c r="A16" s="42" t="str">
        <x:v>Organization Management</x:v>
      </x:c>
      <x:c r="B16" s="42" t="str">
        <x:v>ORG-03.3</x:v>
      </x:c>
      <x:c r="C16" s="42" t="n">
        <x:v>3</x:v>
      </x:c>
      <x:c r="D16" s="42" t="str">
        <x:v>ORG</x:v>
      </x:c>
      <x:c r="E16" s="42" t="str">
        <x:v>Dedicated cloud deployment environments for AI workloads</x:v>
      </x:c>
      <x:c r="F16" s="42" t="str">
        <x:v>Production AI workloads on the primary cloud are isolated into AI-designated accounts, subscriptions, or projects vended from a repeatable landing-zone pattern that aligns with enterprise standard configurations. Exceptions carry a named approver and a remediation date.</x:v>
      </x:c>
      <x:c r="G16" s="42" t="str">
        <x:v>Automated</x:v>
      </x:c>
      <x:c r="H16" s="42" t="str">
        <x:v>Self-hosted, PaaS</x:v>
      </x:c>
      <x:c r="I16" s="42" t="str">
        <x:v>CCC-04 (change authorization — account provisioning), CCC-06 (change management baseline)</x:v>
      </x:c>
      <x:c r="J16" s="42" t="str">
        <x:v>GOVERN 1.6; GOVERN 2.1; MAP 1.1; MAP 1.4; MANAGE 1.2</x:v>
      </x:c>
      <x:c r="K16" s="42" t="str">
        <x:v>GOVERN 1.6: - Establish policies that define the creation and maintenance of AI system inventories. - Establish policies that define a specific individual or team that is responsible for maintaining the inventory. - Establish policies that define which models or systems are inventoried, with preference to inventorying all models or systems, or minimally, to high risk models or systems, or systems deployed in high-stakes settings. - Establish policies that define model or system attributes to be inventoried, e.g, documentation, links to source code, incident response plans, data dictionaries, AI actor contact information. GOVERN 2.1: - Establish policies that define the AI risk management roles and responsibilities for positions directly and indirectly related to AI systems, including, but not limited to - Boards of directors or advisory committees - Senior management - AI audit functions - Product management - Project management - AI design - AI development - Human-AI interaction - AI testing and evaluation - AI acquisition and procurement - Impact assessment functions - Oversight functions - Establish policies that promote regular communication among AI actors participating in AI risk management efforts. - Establish policies that separate management of AI system development functions from AI system testing functions, to enable independent course-correction of AI systems. - Establish policies to identify, increase the transparency of, and prevent conflicts of interest in AI risk management efforts.… MAP 1.1: - Maintain awareness of industry, technical, and applicable legal standards. - Examine trustworthiness of AI system design and consider, non-AI solutions - Consider intended AI system design tasks along with unanticipated purposes in collaboration with human factors and socio-technical domain experts. - Define and document the task, purpose, minimum functionality, and benefits of the AI system to inform considerations about whether the utility of the project or its lack of. - Identify whether there are non-AI or non-technology alternatives that will lead to more trustworthy outcomes. - Examine how changes in system performance affect downstream events such as decision-making (e.g: changes in an AI model objective function create what types of impacts in how many candidates do/do not get a job interview).… MAP 1.4: - Document business value or context of business use - Reconcile documented concerns about the system’s purpose within the business context of use compared to the organization’s stated values, mission statements, social responsibility commitments, and AI principles. - Reconsider the design, implementation strategy, or deployment of AI systems with potential impacts that do not reflect institutional values. MANAGE 1.2: - Assign risk management resources relative to established risk tolerance. AI systems with lower risk tolerances receive greater oversight, mitigation and management resources.…</x:v>
      </x:c>
      <x:c r="L16" s="42" t="str">
        <x:v>Derived by CSA domain/theme</x:v>
      </x:c>
      <x:c r="M16" s="42" t="str">
        <x:v>Annex A.2; Annex A.4</x:v>
      </x:c>
      <x:c r="N16" s="42" t="str">
        <x:v>Annex A.2 – Policies related to AI: Document and approve AI policy, include responsible AI principles and continual improvement, review policy regularly, and align it to other relevant organizational policies. Annex A.4 – Resources for AI systems: Maintain a register of AI resources including data, tools, systems, people, tooling, compute resources, and relevant operational/environmental impacts.</x:v>
      </x:c>
      <x:c r="O16" s="42" t="str">
        <x:v>Derived by control theme/domain</x:v>
      </x:c>
      <x:c r="P16" s="42" t="str">
        <x:v>Use this row as a control objective to assess current state, define target maturity, collect evidence, and remediate gaps.</x:v>
      </x:c>
      <x:c r="Q16" s="42" t="str">
        <x:v>AWS Well-Architected Generative AI Lens; AWS Organizations multi-account strategy; Azure landing zones for AI/ML; GCP security foundations blueprint</x:v>
      </x:c>
      <x:c r="R16" s="42" t="str">
        <x:v>AIMS scope statement; organizational context analysis; interested-party register; operating model; RACI; internal communication records; training plans; management review outputs.</x:v>
      </x:c>
      <x:c r="S16" s="42" t="str">
        <x:v>Confirm AIMS scope and organizational context are documented; sample communications and awareness records; verify role assignment and management review participation.</x:v>
      </x:c>
      <x:c r="T16" s="42" t="str">
        <x:v>Yes</x:v>
      </x:c>
      <x:c r="U16" s="42" t="str"/>
      <x:c r="V16" s="42" t="str"/>
      <x:c r="W16" s="42" t="str">
        <x:v>Not Assessed</x:v>
      </x:c>
      <x:c r="X16" s="44" t="n">
        <x:v>0</x:v>
      </x:c>
      <x:c r="Y16" s="44" t="n">
        <x:v>3</x:v>
      </x:c>
      <x:c r="Z16" s="42" t="str">
        <x:v>Not Provided</x:v>
      </x:c>
      <x:c r="AA16" s="42" t="str"/>
      <x:c r="AB16" s="42" t="str">
        <x:v>Not Tested</x:v>
      </x:c>
      <x:c r="AC16" s="46" t="str"/>
      <x:c r="AD16" s="42" t="str"/>
      <x:c r="AE16" s="42" t="str">
        <x:v>Not Assessed</x:v>
      </x:c>
      <x:c r="AF16" s="42" t="n">
        <x:f>IF($T16="No","",MAX(0,$Y16-$X16))</x:f>
        <x:v>3</x:v>
      </x:c>
      <x:c r="AG16" s="42" t="str">
        <x:f>IF($T16="No","Not Applicable",IF($X16&gt;=$C16,"Meets CSA Level","Gap to CSA Level"))</x:f>
        <x:v>Gap to CSA Level</x:v>
      </x:c>
      <x:c r="AH16" s="42" t="str">
        <x:f>IF($T16="No","Not Applicable",IF($J16="","Not Mapped",IF(AND(OR($W16="Implemented",$W16="Optimized"),$Z16="Validated",$AB16="Pass"),"Compliant",IF(AND(OR($W16="Partially Implemented",$W16="Implemented",$W16="Optimized"),OR($Z16="Reviewed",$Z16="Validated"),OR($AB16="Pass with Exceptions",$AB16="Pass")),"Partially Compliant","Not Compliant"))))</x:f>
        <x:v>Not Compliant</x:v>
      </x:c>
      <x:c r="AI16" s="42" t="str">
        <x:f>IF($T16="No","Not Applicable",IF($M16="","Not Mapped",IF(AND(OR($W16="Implemented",$W16="Optimized"),$Z16="Validated",$AB16="Pass"),"Compliant",IF(AND(OR($W16="Partially Implemented",$W16="Implemented",$W16="Optimized"),OR($Z16="Reviewed",$Z16="Validated"),OR($AB16="Pass with Exceptions",$AB16="Pass")),"Partially Compliant","Not Compliant"))))</x:f>
        <x:v>Not Compliant</x:v>
      </x:c>
      <x:c r="AJ16" s="42" t="str">
        <x:f>IF($T16="No","Not Applicable",IF(AND($AG16="Meets CSA Level",$AH16="Compliant",$AI16="Compliant"),"CSA AISMM; NIST AI RMF; ISO/IEC 42001",IF(AND($AG16="Meets CSA Level",$AH16="Compliant"),"CSA AISMM; NIST AI RMF",IF(AND($AG16="Meets CSA Level",$AI16="Compliant"),"CSA AISMM; ISO/IEC 42001",IF(AND($AH16="Compliant",$AI16="Compliant"),"NIST AI RMF; ISO/IEC 42001",IF($AG16="Meets CSA Level","CSA AISMM",IF($AH16="Compliant","NIST AI RMF",IF($AI16="Compliant","ISO/IEC 42001","No mapped framework fully compliant"))))))))</x:f>
        <x:v>No mapped framework fully compliant</x:v>
      </x:c>
      <x:c r="AK16" s="42" t="str"/>
      <x:c r="AL16" s="46" t="str"/>
      <x:c r="AM16" s="42" t="str"/>
      <x:c r="AN16" s="42" t="str">
        <x:v>CSA AISMM uploaded workbook; NIST AI RMF Playbook uploaded workbook; ISO/IEC 42001 checklist uploaded PDF; official CSA/NIST/ISO web sources listed on Sources sheet</x:v>
      </x:c>
    </x:row>
    <x:row r="17" ht="90" customHeight="1">
      <x:c r="A17" s="42" t="str">
        <x:v>Organization Management</x:v>
      </x:c>
      <x:c r="B17" s="42" t="str">
        <x:v>ORG-04.1</x:v>
      </x:c>
      <x:c r="C17" s="42" t="n">
        <x:v>4</x:v>
      </x:c>
      <x:c r="D17" s="42" t="str">
        <x:v>ORG</x:v>
      </x:c>
      <x:c r="E17" s="42" t="str">
        <x:v>Consistent AI org-policy enforcement across every cloud environment</x:v>
      </x:c>
      <x:c r="F17" s="42" t="str">
        <x:v>AI deployments in cloud comply with a technical configuration standard that aligns with the approved enterprise framework in GOV-04.1 (e.g. the AICM). This is continuously monitored with CSPM/CNAPP/AI-SPM or equivalent automated tooling.</x:v>
      </x:c>
      <x:c r="G17" s="42" t="str">
        <x:v>Automated</x:v>
      </x:c>
      <x:c r="H17" s="42" t="str">
        <x:v>PaaS, Self-hosted</x:v>
      </x:c>
      <x:c r="I17" s="42" t="str">
        <x:v>CCC-04 (change authorization), CCC-06 (change management baseline), CCC-07 (detection of baseline deviation)</x:v>
      </x:c>
      <x:c r="J17" s="42" t="str">
        <x:v>GOVERN 1.6; GOVERN 2.1; MAP 1.1; MAP 1.4; MANAGE 1.2</x:v>
      </x:c>
      <x:c r="K17" s="42" t="str">
        <x:v>GOVERN 1.6: - Establish policies that define the creation and maintenance of AI system inventories. - Establish policies that define a specific individual or team that is responsible for maintaining the inventory. - Establish policies that define which models or systems are inventoried, with preference to inventorying all models or systems, or minimally, to high risk models or systems, or systems deployed in high-stakes settings. - Establish policies that define model or system attributes to be inventoried, e.g, documentation, links to source code, incident response plans, data dictionaries, AI actor contact information. GOVERN 2.1: - Establish policies that define the AI risk management roles and responsibilities for positions directly and indirectly related to AI systems, including, but not limited to - Boards of directors or advisory committees - Senior management - AI audit functions - Product management - Project management - AI design - AI development - Human-AI interaction - AI testing and evaluation - AI acquisition and procurement - Impact assessment functions - Oversight functions - Establish policies that promote regular communication among AI actors participating in AI risk management efforts. - Establish policies that separate management of AI system development functions from AI system testing functions, to enable independent course-correction of AI systems. - Establish policies to identify, increase the transparency of, and prevent conflicts of interest in AI risk management efforts.… MAP 1.1: - Maintain awareness of industry, technical, and applicable legal standards. - Examine trustworthiness of AI system design and consider, non-AI solutions - Consider intended AI system design tasks along with unanticipated purposes in collaboration with human factors and socio-technical domain experts. - Define and document the task, purpose, minimum functionality, and benefits of the AI system to inform considerations about whether the utility of the project or its lack of. - Identify whether there are non-AI or non-technology alternatives that will lead to more trustworthy outcomes. - Examine how changes in system performance affect downstream events such as decision-making (e.g: changes in an AI model objective function create what types of impacts in how many candidates do/do not get a job interview).… MAP 1.4: - Document business value or context of business use - Reconcile documented concerns about the system’s purpose within the business context of use compared to the organization’s stated values, mission statements, social responsibility commitments, and AI principles. - Reconsider the design, implementation strategy, or deployment of AI systems with potential impacts that do not reflect institutional values. MANAGE 1.2: - Assign risk management resources relative to established risk tolerance. AI systems with lower risk tolerances receive greater oversight, mitigation and management resources.…</x:v>
      </x:c>
      <x:c r="L17" s="42" t="str">
        <x:v>Derived by CSA domain/theme</x:v>
      </x:c>
      <x:c r="M17" s="42" t="str">
        <x:v>Annex A.2; Annex A.4; Annex A.6; Annex A.9</x:v>
      </x:c>
      <x:c r="N17" s="42" t="str">
        <x:v>Annex A.2 – Policies related to AI: Document and approve AI policy, include responsible AI principles and continual improvement, review policy regularly, and align it to other relevant organizational policies. Annex A.4 – Resources for AI systems: Maintain a register of AI resources including data, tools, systems, people, tooling, compute resources, and relevant operational/environmental impacts. Annex A.6 – AI system life cycle: Define responsible development objectives, specify verification and validation, maintain technical documentation, and record/maintain event logs during system use. Annex A.9 – Use of AI systems: Define responsible AI use processes, ethical/appropriate-use objectives, intended-purpose usage boundaries, and monitoring/remediation for misuse or unintended consequences.</x:v>
      </x:c>
      <x:c r="O17" s="42" t="str">
        <x:v>Derived by control theme/domain</x:v>
      </x:c>
      <x:c r="P17" s="42" t="str">
        <x:v>Publish approved AI policy/standard; maintain attestation and exception workflow.</x:v>
      </x:c>
      <x:c r="Q17" s="42" t="str">
        <x:v>AWS SCP baseline guidance; Azure Policy at management-group scope; GCP Organization Policy constraints; CSA Cloud Controls Matrix UEM/IAM mappings</x:v>
      </x:c>
      <x:c r="R17" s="42" t="str">
        <x:v>AIMS scope statement; organizational context analysis; interested-party register; operating model; RACI; internal communication records; training plans; management review outputs.</x:v>
      </x:c>
      <x:c r="S17" s="42" t="str">
        <x:v>Confirm AIMS scope and organizational context are documented; sample communications and awareness records; verify role assignment and management review participation.</x:v>
      </x:c>
      <x:c r="T17" s="42" t="str">
        <x:v>Yes</x:v>
      </x:c>
      <x:c r="U17" s="42" t="str"/>
      <x:c r="V17" s="42" t="str"/>
      <x:c r="W17" s="42" t="str">
        <x:v>Not Assessed</x:v>
      </x:c>
      <x:c r="X17" s="44" t="n">
        <x:v>0</x:v>
      </x:c>
      <x:c r="Y17" s="44" t="n">
        <x:v>4</x:v>
      </x:c>
      <x:c r="Z17" s="42" t="str">
        <x:v>Not Provided</x:v>
      </x:c>
      <x:c r="AA17" s="42" t="str"/>
      <x:c r="AB17" s="42" t="str">
        <x:v>Not Tested</x:v>
      </x:c>
      <x:c r="AC17" s="46" t="str"/>
      <x:c r="AD17" s="42" t="str"/>
      <x:c r="AE17" s="42" t="str">
        <x:v>Not Assessed</x:v>
      </x:c>
      <x:c r="AF17" s="42" t="n">
        <x:f>IF($T17="No","",MAX(0,$Y17-$X17))</x:f>
        <x:v>4</x:v>
      </x:c>
      <x:c r="AG17" s="42" t="str">
        <x:f>IF($T17="No","Not Applicable",IF($X17&gt;=$C17,"Meets CSA Level","Gap to CSA Level"))</x:f>
        <x:v>Gap to CSA Level</x:v>
      </x:c>
      <x:c r="AH17" s="42" t="str">
        <x:f>IF($T17="No","Not Applicable",IF($J17="","Not Mapped",IF(AND(OR($W17="Implemented",$W17="Optimized"),$Z17="Validated",$AB17="Pass"),"Compliant",IF(AND(OR($W17="Partially Implemented",$W17="Implemented",$W17="Optimized"),OR($Z17="Reviewed",$Z17="Validated"),OR($AB17="Pass with Exceptions",$AB17="Pass")),"Partially Compliant","Not Compliant"))))</x:f>
        <x:v>Not Compliant</x:v>
      </x:c>
      <x:c r="AI17" s="42" t="str">
        <x:f>IF($T17="No","Not Applicable",IF($M17="","Not Mapped",IF(AND(OR($W17="Implemented",$W17="Optimized"),$Z17="Validated",$AB17="Pass"),"Compliant",IF(AND(OR($W17="Partially Implemented",$W17="Implemented",$W17="Optimized"),OR($Z17="Reviewed",$Z17="Validated"),OR($AB17="Pass with Exceptions",$AB17="Pass")),"Partially Compliant","Not Compliant"))))</x:f>
        <x:v>Not Compliant</x:v>
      </x:c>
      <x:c r="AJ17" s="42" t="str">
        <x:f>IF($T17="No","Not Applicable",IF(AND($AG17="Meets CSA Level",$AH17="Compliant",$AI17="Compliant"),"CSA AISMM; NIST AI RMF; ISO/IEC 42001",IF(AND($AG17="Meets CSA Level",$AH17="Compliant"),"CSA AISMM; NIST AI RMF",IF(AND($AG17="Meets CSA Level",$AI17="Compliant"),"CSA AISMM; ISO/IEC 42001",IF(AND($AH17="Compliant",$AI17="Compliant"),"NIST AI RMF; ISO/IEC 42001",IF($AG17="Meets CSA Level","CSA AISMM",IF($AH17="Compliant","NIST AI RMF",IF($AI17="Compliant","ISO/IEC 42001","No mapped framework fully compliant"))))))))</x:f>
        <x:v>No mapped framework fully compliant</x:v>
      </x:c>
      <x:c r="AK17" s="42" t="str"/>
      <x:c r="AL17" s="46" t="str"/>
      <x:c r="AM17" s="42" t="str"/>
      <x:c r="AN17" s="42" t="str">
        <x:v>CSA AISMM uploaded workbook; NIST AI RMF Playbook uploaded workbook; ISO/IEC 42001 checklist uploaded PDF; official CSA/NIST/ISO web sources listed on Sources sheet</x:v>
      </x:c>
    </x:row>
    <x:row r="18" ht="90" customHeight="1">
      <x:c r="A18" s="42" t="str">
        <x:v>Organization Management</x:v>
      </x:c>
      <x:c r="B18" s="42" t="str">
        <x:v>ORG-04.2</x:v>
      </x:c>
      <x:c r="C18" s="42" t="n">
        <x:v>4</x:v>
      </x:c>
      <x:c r="D18" s="42" t="str">
        <x:v>ORG</x:v>
      </x:c>
      <x:c r="E18" s="42" t="str">
        <x:v>Automated AI discovery across clouds and endpoints</x:v>
      </x:c>
      <x:c r="F18" s="42" t="str">
        <x:v>Automated AI discovery extends across cloud environments and managed endpoints, covering AI services, model endpoints, agents, MCP servers, and AI-enabled SaaS features. Discovery uses CSPM/CNAPP with AI awareness, EDR endpoint visibility, CASB, and dedicated AI-discovery products where deployed, with discovered assets auto-reconciled to a named owning team.</x:v>
      </x:c>
      <x:c r="G18" s="42" t="str">
        <x:v>Automated</x:v>
      </x:c>
      <x:c r="H18" s="42" t="str">
        <x:v>All</x:v>
      </x:c>
      <x:c r="I18" s="42" t="str">
        <x:v>CCC-06 (change management baseline), CCC-07 (detection of baseline deviation)</x:v>
      </x:c>
      <x:c r="J18" s="42" t="str">
        <x:v>GOVERN 1.6; GOVERN 2.1; MAP 1.1; MAP 1.4; MANAGE 1.2</x:v>
      </x:c>
      <x:c r="K18" s="42" t="str">
        <x:v>GOVERN 1.6: - Establish policies that define the creation and maintenance of AI system inventories. - Establish policies that define a specific individual or team that is responsible for maintaining the inventory. - Establish policies that define which models or systems are inventoried, with preference to inventorying all models or systems, or minimally, to high risk models or systems, or systems deployed in high-stakes settings. - Establish policies that define model or system attributes to be inventoried, e.g, documentation, links to source code, incident response plans, data dictionaries, AI actor contact information. GOVERN 2.1: - Establish policies that define the AI risk management roles and responsibilities for positions directly and indirectly related to AI systems, including, but not limited to - Boards of directors or advisory committees - Senior management - AI audit functions - Product management - Project management - AI design - AI development - Human-AI interaction - AI testing and evaluation - AI acquisition and procurement - Impact assessment functions - Oversight functions - Establish policies that promote regular communication among AI actors participating in AI risk management efforts. - Establish policies that separate management of AI system development functions from AI system testing functions, to enable independent course-correction of AI systems. - Establish policies to identify, increase the transparency of, and prevent conflicts of interest in AI risk management efforts.… MAP 1.1: - Maintain awareness of industry, technical, and applicable legal standards. - Examine trustworthiness of AI system design and consider, non-AI solutions - Consider intended AI system design tasks along with unanticipated purposes in collaboration with human factors and socio-technical domain experts. - Define and document the task, purpose, minimum functionality, and benefits of the AI system to inform considerations about whether the utility of the project or its lack of. - Identify whether there are non-AI or non-technology alternatives that will lead to more trustworthy outcomes. - Examine how changes in system performance affect downstream events such as decision-making (e.g: changes in an AI model objective function create what types of impacts in how many candidates do/do not get a job interview).… MAP 1.4: - Document business value or context of business use - Reconcile documented concerns about the system’s purpose within the business context of use compared to the organization’s stated values, mission statements, social responsibility commitments, and AI principles. - Reconsider the design, implementation strategy, or deployment of AI systems with potential impacts that do not reflect institutional values. MANAGE 1.2: - Assign risk management resources relative to established risk tolerance. AI systems with lower risk tolerances receive greater oversight, mitigation and management resources.…</x:v>
      </x:c>
      <x:c r="L18" s="42" t="str">
        <x:v>Derived by CSA domain/theme</x:v>
      </x:c>
      <x:c r="M18" s="42" t="str">
        <x:v>Annex A.4; Annex A.6; Annex A.10</x:v>
      </x:c>
      <x:c r="N18" s="42" t="str">
        <x:v>Annex A.4 – Resources for AI systems: Maintain a register of AI resources including data, tools, systems, people, tooling, compute resources, and relevant operational/environmental impacts. Annex A.6 – AI system life cycle: Define responsible development objectives, specify verification and validation, maintain technical documentation, and record/maintain event logs during system use. Annex A.10 – Third-party and customer relationships: Define lifecycle responsibilities with third parties, manage AI suppliers, capture customer expectations, and review third-party roles through ongoing governance.</x:v>
      </x:c>
      <x:c r="O18" s="42" t="str">
        <x:v>Derived by control theme/domain</x:v>
      </x:c>
      <x:c r="P18" s="42" t="str">
        <x:v>Use this row as a control objective to assess current state, define target maturity, collect evidence, and remediate gaps.</x:v>
      </x:c>
      <x:c r="Q18" s="42" t="str">
        <x:v>Gartner AI TRiSM / AI-SPM category guidance; OWASP LLM03:2025 Supply Chain (visibility into AI components); Wiz / Prisma Cloud AI-SPM / Palo Alto AI Access Security / Microsoft Defender for Cloud AI workloads / Tenable AI Aware feature sets</x:v>
      </x:c>
      <x:c r="R18" s="42" t="str">
        <x:v>AIMS scope statement; organizational context analysis; interested-party register; operating model; RACI; internal communication records; training plans; management review outputs.</x:v>
      </x:c>
      <x:c r="S18" s="42" t="str">
        <x:v>Confirm AIMS scope and organizational context are documented; sample communications and awareness records; verify role assignment and management review participation.</x:v>
      </x:c>
      <x:c r="T18" s="42" t="str">
        <x:v>Yes</x:v>
      </x:c>
      <x:c r="U18" s="42" t="str"/>
      <x:c r="V18" s="42" t="str"/>
      <x:c r="W18" s="42" t="str">
        <x:v>Not Assessed</x:v>
      </x:c>
      <x:c r="X18" s="44" t="n">
        <x:v>0</x:v>
      </x:c>
      <x:c r="Y18" s="44" t="n">
        <x:v>4</x:v>
      </x:c>
      <x:c r="Z18" s="42" t="str">
        <x:v>Not Provided</x:v>
      </x:c>
      <x:c r="AA18" s="42" t="str"/>
      <x:c r="AB18" s="42" t="str">
        <x:v>Not Tested</x:v>
      </x:c>
      <x:c r="AC18" s="46" t="str"/>
      <x:c r="AD18" s="42" t="str"/>
      <x:c r="AE18" s="42" t="str">
        <x:v>Not Assessed</x:v>
      </x:c>
      <x:c r="AF18" s="42" t="n">
        <x:f>IF($T18="No","",MAX(0,$Y18-$X18))</x:f>
        <x:v>4</x:v>
      </x:c>
      <x:c r="AG18" s="42" t="str">
        <x:f>IF($T18="No","Not Applicable",IF($X18&gt;=$C18,"Meets CSA Level","Gap to CSA Level"))</x:f>
        <x:v>Gap to CSA Level</x:v>
      </x:c>
      <x:c r="AH18" s="42" t="str">
        <x:f>IF($T18="No","Not Applicable",IF($J18="","Not Mapped",IF(AND(OR($W18="Implemented",$W18="Optimized"),$Z18="Validated",$AB18="Pass"),"Compliant",IF(AND(OR($W18="Partially Implemented",$W18="Implemented",$W18="Optimized"),OR($Z18="Reviewed",$Z18="Validated"),OR($AB18="Pass with Exceptions",$AB18="Pass")),"Partially Compliant","Not Compliant"))))</x:f>
        <x:v>Not Compliant</x:v>
      </x:c>
      <x:c r="AI18" s="42" t="str">
        <x:f>IF($T18="No","Not Applicable",IF($M18="","Not Mapped",IF(AND(OR($W18="Implemented",$W18="Optimized"),$Z18="Validated",$AB18="Pass"),"Compliant",IF(AND(OR($W18="Partially Implemented",$W18="Implemented",$W18="Optimized"),OR($Z18="Reviewed",$Z18="Validated"),OR($AB18="Pass with Exceptions",$AB18="Pass")),"Partially Compliant","Not Compliant"))))</x:f>
        <x:v>Not Compliant</x:v>
      </x:c>
      <x:c r="AJ18" s="42" t="str">
        <x:f>IF($T18="No","Not Applicable",IF(AND($AG18="Meets CSA Level",$AH18="Compliant",$AI18="Compliant"),"CSA AISMM; NIST AI RMF; ISO/IEC 42001",IF(AND($AG18="Meets CSA Level",$AH18="Compliant"),"CSA AISMM; NIST AI RMF",IF(AND($AG18="Meets CSA Level",$AI18="Compliant"),"CSA AISMM; ISO/IEC 42001",IF(AND($AH18="Compliant",$AI18="Compliant"),"NIST AI RMF; ISO/IEC 42001",IF($AG18="Meets CSA Level","CSA AISMM",IF($AH18="Compliant","NIST AI RMF",IF($AI18="Compliant","ISO/IEC 42001","No mapped framework fully compliant"))))))))</x:f>
        <x:v>No mapped framework fully compliant</x:v>
      </x:c>
      <x:c r="AK18" s="42" t="str"/>
      <x:c r="AL18" s="46" t="str"/>
      <x:c r="AM18" s="42" t="str"/>
      <x:c r="AN18" s="42" t="str">
        <x:v>CSA AISMM uploaded workbook; NIST AI RMF Playbook uploaded workbook; ISO/IEC 42001 checklist uploaded PDF; official CSA/NIST/ISO web sources listed on Sources sheet</x:v>
      </x:c>
    </x:row>
    <x:row r="19" ht="90" customHeight="1">
      <x:c r="A19" s="42" t="str">
        <x:v>Organization Management</x:v>
      </x:c>
      <x:c r="B19" s="42" t="str">
        <x:v>ORG-04.3</x:v>
      </x:c>
      <x:c r="C19" s="42" t="n">
        <x:v>4</x:v>
      </x:c>
      <x:c r="D19" s="42" t="str">
        <x:v>ORG</x:v>
      </x:c>
      <x:c r="E19" s="42" t="str">
        <x:v>Deployment isolation</x:v>
      </x:c>
      <x:c r="F19" s="42" t="str">
        <x:v>AI projects run in isolated cloud accounts or datacenter environments and are network isolated. There are no unmanaged network paths to general workload environments.</x:v>
      </x:c>
      <x:c r="G19" s="42" t="str">
        <x:v>Automated</x:v>
      </x:c>
      <x:c r="H19" s="42" t="str">
        <x:v>Self-hosted, PaaS</x:v>
      </x:c>
      <x:c r="I19" s="42" t="str">
        <x:v>CCC-04 (change authorization), CCC-06 (change management baseline)</x:v>
      </x:c>
      <x:c r="J19" s="42" t="str">
        <x:v>GOVERN 1.6; GOVERN 2.1; MAP 1.1; MAP 1.4; MANAGE 1.2</x:v>
      </x:c>
      <x:c r="K19" s="42" t="str">
        <x:v>GOVERN 1.6: - Establish policies that define the creation and maintenance of AI system inventories. - Establish policies that define a specific individual or team that is responsible for maintaining the inventory. - Establish policies that define which models or systems are inventoried, with preference to inventorying all models or systems, or minimally, to high risk models or systems, or systems deployed in high-stakes settings. - Establish policies that define model or system attributes to be inventoried, e.g, documentation, links to source code, incident response plans, data dictionaries, AI actor contact information. GOVERN 2.1: - Establish policies that define the AI risk management roles and responsibilities for positions directly and indirectly related to AI systems, including, but not limited to - Boards of directors or advisory committees - Senior management - AI audit functions - Product management - Project management - AI design - AI development - Human-AI interaction - AI testing and evaluation - AI acquisition and procurement - Impact assessment functions - Oversight functions - Establish policies that promote regular communication among AI actors participating in AI risk management efforts. - Establish policies that separate management of AI system development functions from AI system testing functions, to enable independent course-correction of AI systems. - Establish policies to identify, increase the transparency of, and prevent conflicts of interest in AI risk management efforts.… MAP 1.1: - Maintain awareness of industry, technical, and applicable legal standards. - Examine trustworthiness of AI system design and consider, non-AI solutions - Consider intended AI system design tasks along with unanticipated purposes in collaboration with human factors and socio-technical domain experts. - Define and document the task, purpose, minimum functionality, and benefits of the AI system to inform considerations about whether the utility of the project or its lack of. - Identify whether there are non-AI or non-technology alternatives that will lead to more trustworthy outcomes. - Examine how changes in system performance affect downstream events such as decision-making (e.g: changes in an AI model objective function create what types of impacts in how many candidates do/do not get a job interview).… MAP 1.4: - Document business value or context of business use - Reconcile documented concerns about the system’s purpose within the business context of use compared to the organization’s stated values, mission statements, social responsibility commitments, and AI principles. - Reconsider the design, implementation strategy, or deployment of AI systems with potential impacts that do not reflect institutional values. MANAGE 1.2: - Assign risk management resources relative to established risk tolerance. AI systems with lower risk tolerances receive greater oversight, mitigation and management resources.…</x:v>
      </x:c>
      <x:c r="L19" s="42" t="str">
        <x:v>Derived by CSA domain/theme</x:v>
      </x:c>
      <x:c r="M19" s="42" t="str">
        <x:v>Annex A.4; Annex A.7</x:v>
      </x:c>
      <x:c r="N19" s="42" t="str">
        <x:v>Annex A.4 – Resources for AI systems: Maintain a register of AI resources including data, tools, systems, people, tooling, compute resources, and relevant operational/environmental impacts. Annex A.7 – Data for AI systems: Maintain documented AI data management, identify sources and provenance, record intended use, define data quality requirements, and document/justify preparation methods.</x:v>
      </x:c>
      <x:c r="O19" s="42" t="str">
        <x:v>Derived by control theme/domain</x:v>
      </x:c>
      <x:c r="P19" s="42" t="str">
        <x:v>Use this row as a control objective to assess current state, define target maturity, collect evidence, and remediate gaps.</x:v>
      </x:c>
      <x:c r="Q19" s="42" t="str">
        <x:v>AWS Well-Architected Generative AI Lens (isolation patterns); NIST SP 800-207 Zero Trust Architecture (microsegmentation); CSA Cloud Controls Matrix IVS (infrastructure and virtualization security)</x:v>
      </x:c>
      <x:c r="R19" s="42" t="str">
        <x:v>AIMS scope statement; organizational context analysis; interested-party register; operating model; RACI; internal communication records; training plans; management review outputs.</x:v>
      </x:c>
      <x:c r="S19" s="42" t="str">
        <x:v>Confirm AIMS scope and organizational context are documented; sample communications and awareness records; verify role assignment and management review participation.</x:v>
      </x:c>
      <x:c r="T19" s="42" t="str">
        <x:v>Yes</x:v>
      </x:c>
      <x:c r="U19" s="42" t="str"/>
      <x:c r="V19" s="42" t="str"/>
      <x:c r="W19" s="42" t="str">
        <x:v>Not Assessed</x:v>
      </x:c>
      <x:c r="X19" s="44" t="n">
        <x:v>0</x:v>
      </x:c>
      <x:c r="Y19" s="44" t="n">
        <x:v>4</x:v>
      </x:c>
      <x:c r="Z19" s="42" t="str">
        <x:v>Not Provided</x:v>
      </x:c>
      <x:c r="AA19" s="42" t="str"/>
      <x:c r="AB19" s="42" t="str">
        <x:v>Not Tested</x:v>
      </x:c>
      <x:c r="AC19" s="46" t="str"/>
      <x:c r="AD19" s="42" t="str"/>
      <x:c r="AE19" s="42" t="str">
        <x:v>Not Assessed</x:v>
      </x:c>
      <x:c r="AF19" s="42" t="n">
        <x:f>IF($T19="No","",MAX(0,$Y19-$X19))</x:f>
        <x:v>4</x:v>
      </x:c>
      <x:c r="AG19" s="42" t="str">
        <x:f>IF($T19="No","Not Applicable",IF($X19&gt;=$C19,"Meets CSA Level","Gap to CSA Level"))</x:f>
        <x:v>Gap to CSA Level</x:v>
      </x:c>
      <x:c r="AH19" s="42" t="str">
        <x:f>IF($T19="No","Not Applicable",IF($J19="","Not Mapped",IF(AND(OR($W19="Implemented",$W19="Optimized"),$Z19="Validated",$AB19="Pass"),"Compliant",IF(AND(OR($W19="Partially Implemented",$W19="Implemented",$W19="Optimized"),OR($Z19="Reviewed",$Z19="Validated"),OR($AB19="Pass with Exceptions",$AB19="Pass")),"Partially Compliant","Not Compliant"))))</x:f>
        <x:v>Not Compliant</x:v>
      </x:c>
      <x:c r="AI19" s="42" t="str">
        <x:f>IF($T19="No","Not Applicable",IF($M19="","Not Mapped",IF(AND(OR($W19="Implemented",$W19="Optimized"),$Z19="Validated",$AB19="Pass"),"Compliant",IF(AND(OR($W19="Partially Implemented",$W19="Implemented",$W19="Optimized"),OR($Z19="Reviewed",$Z19="Validated"),OR($AB19="Pass with Exceptions",$AB19="Pass")),"Partially Compliant","Not Compliant"))))</x:f>
        <x:v>Not Compliant</x:v>
      </x:c>
      <x:c r="AJ19" s="42" t="str">
        <x:f>IF($T19="No","Not Applicable",IF(AND($AG19="Meets CSA Level",$AH19="Compliant",$AI19="Compliant"),"CSA AISMM; NIST AI RMF; ISO/IEC 42001",IF(AND($AG19="Meets CSA Level",$AH19="Compliant"),"CSA AISMM; NIST AI RMF",IF(AND($AG19="Meets CSA Level",$AI19="Compliant"),"CSA AISMM; ISO/IEC 42001",IF(AND($AH19="Compliant",$AI19="Compliant"),"NIST AI RMF; ISO/IEC 42001",IF($AG19="Meets CSA Level","CSA AISMM",IF($AH19="Compliant","NIST AI RMF",IF($AI19="Compliant","ISO/IEC 42001","No mapped framework fully compliant"))))))))</x:f>
        <x:v>No mapped framework fully compliant</x:v>
      </x:c>
      <x:c r="AK19" s="42" t="str"/>
      <x:c r="AL19" s="46" t="str"/>
      <x:c r="AM19" s="42" t="str"/>
      <x:c r="AN19" s="42" t="str">
        <x:v>CSA AISMM uploaded workbook; NIST AI RMF Playbook uploaded workbook; ISO/IEC 42001 checklist uploaded PDF; official CSA/NIST/ISO web sources listed on Sources sheet</x:v>
      </x:c>
    </x:row>
    <x:row r="20" ht="90" customHeight="1">
      <x:c r="A20" s="42" t="str">
        <x:v>Organization Management</x:v>
      </x:c>
      <x:c r="B20" s="42" t="str">
        <x:v>ORG-05.1</x:v>
      </x:c>
      <x:c r="C20" s="42" t="n">
        <x:v>5</x:v>
      </x:c>
      <x:c r="D20" s="42" t="str">
        <x:v>ORG</x:v>
      </x:c>
      <x:c r="E20" s="42" t="str">
        <x:v>Policy-as-code pipeline for AI enforcement policies</x:v>
      </x:c>
      <x:c r="F20" s="42" t="str">
        <x:v>Technical controls enforcing ORG-04.1 are managed as code where tooling supports it. Both org-wide controls (such as SCPs, Azure Policy, GCP Organization Policy) and project-specific policy bundles (such as OPA rules or Cedar policies for the agents and MCP servers in a given project) live in enterprise version control and deploy via CI/CD with staged rollout and exercised rollback.</x:v>
      </x:c>
      <x:c r="G20" s="42" t="str">
        <x:v>Automated</x:v>
      </x:c>
      <x:c r="H20" s="42" t="str">
        <x:v>All</x:v>
      </x:c>
      <x:c r="I20" s="42" t="str">
        <x:v>CCC-03 (change management technology), CCC-04 (change authorization), CCC-06 (change management baseline), CCC-07 (detection of baseline deviation), CCC-09 (change restoration)</x:v>
      </x:c>
      <x:c r="J20" s="42" t="str">
        <x:v>MANAGE 4</x:v>
      </x:c>
      <x:c r="K20" s="42" t="str">
        <x:v>MANAGE 4: Parent AI RMF category/function referenced; use associated subcategory rows for testable control language.</x:v>
      </x:c>
      <x:c r="L20" s="42" t="str">
        <x:v>Direct from AISMM external reference</x:v>
      </x:c>
      <x:c r="M20" s="42" t="str">
        <x:v>Annex A.2; Annex A.6; Annex A.9</x:v>
      </x:c>
      <x:c r="N20" s="42" t="str">
        <x:v>Annex A.2 – Policies related to AI: Document and approve AI policy, include responsible AI principles and continual improvement, review policy regularly, and align it to other relevant organizational policies. Annex A.6 – AI system life cycle: Define responsible development objectives, specify verification and validation, maintain technical documentation, and record/maintain event logs during system use. Annex A.9 – Use of AI systems: Define responsible AI use processes, ethical/appropriate-use objectives, intended-purpose usage boundaries, and monitoring/remediation for misuse or unintended consequences.</x:v>
      </x:c>
      <x:c r="O20" s="42" t="str">
        <x:v>Derived by control theme/domain</x:v>
      </x:c>
      <x:c r="P20" s="42" t="str">
        <x:v>Publish approved AI policy/standard; maintain attestation and exception workflow.</x:v>
      </x:c>
      <x:c r="Q20" s="42" t="str">
        <x:v>OPA / Rego, Azure Policy as code via Bicep/ARM templates, GCP Organization Policy as code via Terraform, HashiCorp Sentinel; NIST AI RMF MANAGE-4; AWS Well-Architected Generative AI Lens operational excellence pillar</x:v>
      </x:c>
      <x:c r="R20" s="42" t="str">
        <x:v>AIMS scope statement; organizational context analysis; interested-party register; operating model; RACI; internal communication records; training plans; management review outputs.</x:v>
      </x:c>
      <x:c r="S20" s="42" t="str">
        <x:v>Confirm AIMS scope and organizational context are documented; sample communications and awareness records; verify role assignment and management review participation.</x:v>
      </x:c>
      <x:c r="T20" s="42" t="str">
        <x:v>Yes</x:v>
      </x:c>
      <x:c r="U20" s="42" t="str"/>
      <x:c r="V20" s="42" t="str"/>
      <x:c r="W20" s="42" t="str">
        <x:v>Not Assessed</x:v>
      </x:c>
      <x:c r="X20" s="44" t="n">
        <x:v>0</x:v>
      </x:c>
      <x:c r="Y20" s="44" t="n">
        <x:v>5</x:v>
      </x:c>
      <x:c r="Z20" s="42" t="str">
        <x:v>Not Provided</x:v>
      </x:c>
      <x:c r="AA20" s="42" t="str"/>
      <x:c r="AB20" s="42" t="str">
        <x:v>Not Tested</x:v>
      </x:c>
      <x:c r="AC20" s="46" t="str"/>
      <x:c r="AD20" s="42" t="str"/>
      <x:c r="AE20" s="42" t="str">
        <x:v>Not Assessed</x:v>
      </x:c>
      <x:c r="AF20" s="42" t="n">
        <x:f>IF($T20="No","",MAX(0,$Y20-$X20))</x:f>
        <x:v>5</x:v>
      </x:c>
      <x:c r="AG20" s="42" t="str">
        <x:f>IF($T20="No","Not Applicable",IF($X20&gt;=$C20,"Meets CSA Level","Gap to CSA Level"))</x:f>
        <x:v>Gap to CSA Level</x:v>
      </x:c>
      <x:c r="AH20" s="42" t="str">
        <x:f>IF($T20="No","Not Applicable",IF($J20="","Not Mapped",IF(AND(OR($W20="Implemented",$W20="Optimized"),$Z20="Validated",$AB20="Pass"),"Compliant",IF(AND(OR($W20="Partially Implemented",$W20="Implemented",$W20="Optimized"),OR($Z20="Reviewed",$Z20="Validated"),OR($AB20="Pass with Exceptions",$AB20="Pass")),"Partially Compliant","Not Compliant"))))</x:f>
        <x:v>Not Compliant</x:v>
      </x:c>
      <x:c r="AI20" s="42" t="str">
        <x:f>IF($T20="No","Not Applicable",IF($M20="","Not Mapped",IF(AND(OR($W20="Implemented",$W20="Optimized"),$Z20="Validated",$AB20="Pass"),"Compliant",IF(AND(OR($W20="Partially Implemented",$W20="Implemented",$W20="Optimized"),OR($Z20="Reviewed",$Z20="Validated"),OR($AB20="Pass with Exceptions",$AB20="Pass")),"Partially Compliant","Not Compliant"))))</x:f>
        <x:v>Not Compliant</x:v>
      </x:c>
      <x:c r="AJ20" s="42" t="str">
        <x:f>IF($T20="No","Not Applicable",IF(AND($AG20="Meets CSA Level",$AH20="Compliant",$AI20="Compliant"),"CSA AISMM; NIST AI RMF; ISO/IEC 42001",IF(AND($AG20="Meets CSA Level",$AH20="Compliant"),"CSA AISMM; NIST AI RMF",IF(AND($AG20="Meets CSA Level",$AI20="Compliant"),"CSA AISMM; ISO/IEC 42001",IF(AND($AH20="Compliant",$AI20="Compliant"),"NIST AI RMF; ISO/IEC 42001",IF($AG20="Meets CSA Level","CSA AISMM",IF($AH20="Compliant","NIST AI RMF",IF($AI20="Compliant","ISO/IEC 42001","No mapped framework fully compliant"))))))))</x:f>
        <x:v>No mapped framework fully compliant</x:v>
      </x:c>
      <x:c r="AK20" s="42" t="str"/>
      <x:c r="AL20" s="46" t="str"/>
      <x:c r="AM20" s="42" t="str"/>
      <x:c r="AN20" s="42" t="str">
        <x:v>CSA AISMM uploaded workbook; NIST AI RMF Playbook uploaded workbook; ISO/IEC 42001 checklist uploaded PDF; official CSA/NIST/ISO web sources listed on Sources sheet</x:v>
      </x:c>
    </x:row>
    <x:row r="21" ht="90" customHeight="1">
      <x:c r="A21" s="42" t="str">
        <x:v>Organization Management</x:v>
      </x:c>
      <x:c r="B21" s="42" t="str">
        <x:v>ORG-05.2</x:v>
      </x:c>
      <x:c r="C21" s="42" t="n">
        <x:v>5</x:v>
      </x:c>
      <x:c r="D21" s="42" t="str">
        <x:v>ORG</x:v>
      </x:c>
      <x:c r="E21" s="42" t="str">
        <x:v>Proactive response to AI provider releases</x:v>
      </x:c>
      <x:c r="F21" s="42" t="str">
        <x:v>New models, features, and services from major AI providers (AWS Bedrock, Azure OpenAI, OpenAI, Anthropic, Google Vertex) are detected on announcement, given a documented approve/block/conditional decision before general availability, and translated into updates to ORG-04.1 standards and ORG-04.2 discovery rules through the same CI/CD pipeline.</x:v>
      </x:c>
      <x:c r="G21" s="42" t="str">
        <x:v>Automated</x:v>
      </x:c>
      <x:c r="H21" s="42" t="str">
        <x:v>All</x:v>
      </x:c>
      <x:c r="I21" s="42" t="str">
        <x:v>CCC-07 (detection of baseline deviation), CCC-08 (exception management), CCC-09 (change restoration)</x:v>
      </x:c>
      <x:c r="J21" s="42" t="str">
        <x:v>GOVERN 1.6; GOVERN 2.1; MAP 1.1; MAP 1.4; MANAGE 1.2</x:v>
      </x:c>
      <x:c r="K21" s="42" t="str">
        <x:v>GOVERN 1.6: - Establish policies that define the creation and maintenance of AI system inventories. - Establish policies that define a specific individual or team that is responsible for maintaining the inventory. - Establish policies that define which models or systems are inventoried, with preference to inventorying all models or systems, or minimally, to high risk models or systems, or systems deployed in high-stakes settings. - Establish policies that define model or system attributes to be inventoried, e.g, documentation, links to source code, incident response plans, data dictionaries, AI actor contact information. GOVERN 2.1: - Establish policies that define the AI risk management roles and responsibilities for positions directly and indirectly related to AI systems, including, but not limited to - Boards of directors or advisory committees - Senior management - AI audit functions - Product management - Project management - AI design - AI development - Human-AI interaction - AI testing and evaluation - AI acquisition and procurement - Impact assessment functions - Oversight functions - Establish policies that promote regular communication among AI actors participating in AI risk management efforts. - Establish policies that separate management of AI system development functions from AI system testing functions, to enable independent course-correction of AI systems. - Establish policies to identify, increase the transparency of, and prevent conflicts of interest in AI risk management efforts.… MAP 1.1: - Maintain awareness of industry, technical, and applicable legal standards. - Examine trustworthiness of AI system design and consider, non-AI solutions - Consider intended AI system design tasks along with unanticipated purposes in collaboration with human factors and socio-technical domain experts. - Define and document the task, purpose, minimum functionality, and benefits of the AI system to inform considerations about whether the utility of the project or its lack of. - Identify whether there are non-AI or non-technology alternatives that will lead to more trustworthy outcomes. - Examine how changes in system performance affect downstream events such as decision-making (e.g: changes in an AI model objective function create what types of impacts in how many candidates do/do not get a job interview).… MAP 1.4: - Document business value or context of business use - Reconcile documented concerns about the system’s purpose within the business context of use compared to the organization’s stated values, mission statements, social responsibility commitments, and AI principles. - Reconsider the design, implementation strategy, or deployment of AI systems with potential impacts that do not reflect institutional values. MANAGE 1.2: - Assign risk management resources relative to established risk tolerance. AI systems with lower risk tolerances receive greater oversight, mitigation and management resources.…</x:v>
      </x:c>
      <x:c r="L21" s="42" t="str">
        <x:v>Derived by CSA domain/theme</x:v>
      </x:c>
      <x:c r="M21" s="42" t="str">
        <x:v>Annex A.2; Annex A.6; Annex A.10</x:v>
      </x:c>
      <x:c r="N21" s="42" t="str">
        <x:v>Annex A.2 – Policies related to AI: Document and approve AI policy, include responsible AI principles and continual improvement, review policy regularly, and align it to other relevant organizational policies. Annex A.6 – AI system life cycle: Define responsible development objectives, specify verification and validation, maintain technical documentation, and record/maintain event logs during system use. Annex A.10 – Third-party and customer relationships: Define lifecycle responsibilities with third parties, manage AI suppliers, capture customer expectations, and review third-party roles through ongoing governance.</x:v>
      </x:c>
      <x:c r="O21" s="42" t="str">
        <x:v>Derived by control theme/domain</x:v>
      </x:c>
      <x:c r="P21" s="42" t="str">
        <x:v>Tie provider/model/library onboarding to supplier risk, licensing, model/data provenance, and AI-BOM/SBOM records.</x:v>
      </x:c>
      <x:c r="Q21" s="42" t="str">
        <x:v>Gartner AI TRiSM; OWASP LLM03:2025 Supply Chain; SANS Shadow IT guidance extended to shadow AI</x:v>
      </x:c>
      <x:c r="R21" s="42" t="str">
        <x:v>AIMS scope statement; organizational context analysis; interested-party register; operating model; RACI; internal communication records; training plans; management review outputs.</x:v>
      </x:c>
      <x:c r="S21" s="42" t="str">
        <x:v>Confirm AIMS scope and organizational context are documented; sample communications and awareness records; verify role assignment and management review participation.</x:v>
      </x:c>
      <x:c r="T21" s="42" t="str">
        <x:v>Yes</x:v>
      </x:c>
      <x:c r="U21" s="42" t="str"/>
      <x:c r="V21" s="42" t="str"/>
      <x:c r="W21" s="42" t="str">
        <x:v>Not Assessed</x:v>
      </x:c>
      <x:c r="X21" s="44" t="n">
        <x:v>0</x:v>
      </x:c>
      <x:c r="Y21" s="44" t="n">
        <x:v>5</x:v>
      </x:c>
      <x:c r="Z21" s="42" t="str">
        <x:v>Not Provided</x:v>
      </x:c>
      <x:c r="AA21" s="42" t="str"/>
      <x:c r="AB21" s="42" t="str">
        <x:v>Not Tested</x:v>
      </x:c>
      <x:c r="AC21" s="46" t="str"/>
      <x:c r="AD21" s="42" t="str"/>
      <x:c r="AE21" s="42" t="str">
        <x:v>Not Assessed</x:v>
      </x:c>
      <x:c r="AF21" s="42" t="n">
        <x:f>IF($T21="No","",MAX(0,$Y21-$X21))</x:f>
        <x:v>5</x:v>
      </x:c>
      <x:c r="AG21" s="42" t="str">
        <x:f>IF($T21="No","Not Applicable",IF($X21&gt;=$C21,"Meets CSA Level","Gap to CSA Level"))</x:f>
        <x:v>Gap to CSA Level</x:v>
      </x:c>
      <x:c r="AH21" s="42" t="str">
        <x:f>IF($T21="No","Not Applicable",IF($J21="","Not Mapped",IF(AND(OR($W21="Implemented",$W21="Optimized"),$Z21="Validated",$AB21="Pass"),"Compliant",IF(AND(OR($W21="Partially Implemented",$W21="Implemented",$W21="Optimized"),OR($Z21="Reviewed",$Z21="Validated"),OR($AB21="Pass with Exceptions",$AB21="Pass")),"Partially Compliant","Not Compliant"))))</x:f>
        <x:v>Not Compliant</x:v>
      </x:c>
      <x:c r="AI21" s="42" t="str">
        <x:f>IF($T21="No","Not Applicable",IF($M21="","Not Mapped",IF(AND(OR($W21="Implemented",$W21="Optimized"),$Z21="Validated",$AB21="Pass"),"Compliant",IF(AND(OR($W21="Partially Implemented",$W21="Implemented",$W21="Optimized"),OR($Z21="Reviewed",$Z21="Validated"),OR($AB21="Pass with Exceptions",$AB21="Pass")),"Partially Compliant","Not Compliant"))))</x:f>
        <x:v>Not Compliant</x:v>
      </x:c>
      <x:c r="AJ21" s="42" t="str">
        <x:f>IF($T21="No","Not Applicable",IF(AND($AG21="Meets CSA Level",$AH21="Compliant",$AI21="Compliant"),"CSA AISMM; NIST AI RMF; ISO/IEC 42001",IF(AND($AG21="Meets CSA Level",$AH21="Compliant"),"CSA AISMM; NIST AI RMF",IF(AND($AG21="Meets CSA Level",$AI21="Compliant"),"CSA AISMM; ISO/IEC 42001",IF(AND($AH21="Compliant",$AI21="Compliant"),"NIST AI RMF; ISO/IEC 42001",IF($AG21="Meets CSA Level","CSA AISMM",IF($AH21="Compliant","NIST AI RMF",IF($AI21="Compliant","ISO/IEC 42001","No mapped framework fully compliant"))))))))</x:f>
        <x:v>No mapped framework fully compliant</x:v>
      </x:c>
      <x:c r="AK21" s="42" t="str"/>
      <x:c r="AL21" s="46" t="str"/>
      <x:c r="AM21" s="42" t="str"/>
      <x:c r="AN21" s="42" t="str">
        <x:v>CSA AISMM uploaded workbook; NIST AI RMF Playbook uploaded workbook; ISO/IEC 42001 checklist uploaded PDF; official CSA/NIST/ISO web sources listed on Sources sheet</x:v>
      </x:c>
    </x:row>
    <x:row r="22" ht="90" customHeight="1">
      <x:c r="A22" s="42" t="str">
        <x:v>IAM</x:v>
      </x:c>
      <x:c r="B22" s="42" t="str">
        <x:v>IAM-02.1</x:v>
      </x:c>
      <x:c r="C22" s="42" t="n">
        <x:v>2</x:v>
      </x:c>
      <x:c r="D22" s="42" t="str">
        <x:v>IAM</x:v>
      </x:c>
      <x:c r="E22" s="42" t="str">
        <x:v>SSO with MFA for enterprise AI applications</x:v>
      </x:c>
      <x:c r="F22" s="42" t="str">
        <x:v>Human access to enterprise AI applications goes through the enterprise IdP with MFA, with no local accounts, shared logins, or personal credentials in use. This holds across self-hosted apps, PaaS AI consoles, and SaaS AI seats like Copilot, Agentforce, and Gemini, so downstream delegation and audit have a real user identity to anchor on.</x:v>
      </x:c>
      <x:c r="G22" s="42" t="str">
        <x:v>Automated</x:v>
      </x:c>
      <x:c r="H22" s="42" t="str">
        <x:v>All</x:v>
      </x:c>
      <x:c r="I22" s="42" t="str">
        <x:v>IAM-14 (strong authentication), IAM-13 (uniquely identifiable users), IAM-15 (passwords and secrets management)</x:v>
      </x:c>
      <x:c r="J22" s="42" t="str">
        <x:v>GOVERN 1.4; GOVERN 1</x:v>
      </x:c>
      <x:c r="K22" s="42" t="str">
        <x:v>GOVERN 1.4: - Establish and regularly review documentation policies that, among others, address information related to: - AI actors contact informations - Business justification - Scope and usages - Expected and potential risks and impacts - Assumptions and limitations - Description and characterization of training data - Algorithmic methodology - Evaluated alternative approaches - Description of output data - Testing and validation results (including explanatory visualizations and information) - Down- and up-stream dependencies - Plans for deployment, monitoring, and change management - Stakeholder engagement plans - Verify documentation policies for AI systems are standardized across the organization and remain current. - Establish policies for a model documentation inventory system and regularly review its completeness, usability, and efficacy.…</x:v>
      </x:c>
      <x:c r="L22" s="42" t="str">
        <x:v>Direct from AISMM external reference</x:v>
      </x:c>
      <x:c r="M22" s="42" t="str">
        <x:v>Annex A.6; Annex A.9</x:v>
      </x:c>
      <x:c r="N22" s="42" t="str">
        <x:v>Annex A.6 – AI system life cycle: Define responsible development objectives, specify verification and validation, maintain technical documentation, and record/maintain event logs during system use. Annex A.9 – Use of AI systems: Define responsible AI use processes, ethical/appropriate-use objectives, intended-purpose usage boundaries, and monitoring/remediation for misuse or unintended consequences.</x:v>
      </x:c>
      <x:c r="O22" s="42" t="str">
        <x:v>Derived by control theme/domain</x:v>
      </x:c>
      <x:c r="P22" s="42" t="str">
        <x:v>Use this row as a control objective to assess current state, define target maturity, collect evidence, and remediate gaps.</x:v>
      </x:c>
      <x:c r="Q22" s="42" t="str">
        <x:v>OWASP ASI03 (Identity &amp; Privilege Abuse), NIST AI RMF GOVERN-1.4</x:v>
      </x:c>
      <x:c r="R22" s="42" t="str">
        <x:v>IAM policy; privileged access records; role definitions; SSO/MFA enforcement; service account inventory; access reviews; joiner/mover/leaver records; secrets management evidence.</x:v>
      </x:c>
      <x:c r="S22" s="42" t="str">
        <x:v>Sample users and service accounts; verify least privilege, MFA, approved access, periodic reviews, and timely removal; confirm secrets are stored and rotated securely.</x:v>
      </x:c>
      <x:c r="T22" s="42" t="str">
        <x:v>Yes</x:v>
      </x:c>
      <x:c r="U22" s="42" t="str"/>
      <x:c r="V22" s="42" t="str"/>
      <x:c r="W22" s="42" t="str">
        <x:v>Not Assessed</x:v>
      </x:c>
      <x:c r="X22" s="44" t="n">
        <x:v>0</x:v>
      </x:c>
      <x:c r="Y22" s="44" t="n">
        <x:v>2</x:v>
      </x:c>
      <x:c r="Z22" s="42" t="str">
        <x:v>Not Provided</x:v>
      </x:c>
      <x:c r="AA22" s="42" t="str"/>
      <x:c r="AB22" s="42" t="str">
        <x:v>Not Tested</x:v>
      </x:c>
      <x:c r="AC22" s="46" t="str"/>
      <x:c r="AD22" s="42" t="str"/>
      <x:c r="AE22" s="42" t="str">
        <x:v>Not Assessed</x:v>
      </x:c>
      <x:c r="AF22" s="42" t="n">
        <x:f>IF($T22="No","",MAX(0,$Y22-$X22))</x:f>
        <x:v>2</x:v>
      </x:c>
      <x:c r="AG22" s="42" t="str">
        <x:f>IF($T22="No","Not Applicable",IF($X22&gt;=$C22,"Meets CSA Level","Gap to CSA Level"))</x:f>
        <x:v>Gap to CSA Level</x:v>
      </x:c>
      <x:c r="AH22" s="42" t="str">
        <x:f>IF($T22="No","Not Applicable",IF($J22="","Not Mapped",IF(AND(OR($W22="Implemented",$W22="Optimized"),$Z22="Validated",$AB22="Pass"),"Compliant",IF(AND(OR($W22="Partially Implemented",$W22="Implemented",$W22="Optimized"),OR($Z22="Reviewed",$Z22="Validated"),OR($AB22="Pass with Exceptions",$AB22="Pass")),"Partially Compliant","Not Compliant"))))</x:f>
        <x:v>Not Compliant</x:v>
      </x:c>
      <x:c r="AI22" s="42" t="str">
        <x:f>IF($T22="No","Not Applicable",IF($M22="","Not Mapped",IF(AND(OR($W22="Implemented",$W22="Optimized"),$Z22="Validated",$AB22="Pass"),"Compliant",IF(AND(OR($W22="Partially Implemented",$W22="Implemented",$W22="Optimized"),OR($Z22="Reviewed",$Z22="Validated"),OR($AB22="Pass with Exceptions",$AB22="Pass")),"Partially Compliant","Not Compliant"))))</x:f>
        <x:v>Not Compliant</x:v>
      </x:c>
      <x:c r="AJ22" s="42" t="str">
        <x:f>IF($T22="No","Not Applicable",IF(AND($AG22="Meets CSA Level",$AH22="Compliant",$AI22="Compliant"),"CSA AISMM; NIST AI RMF; ISO/IEC 42001",IF(AND($AG22="Meets CSA Level",$AH22="Compliant"),"CSA AISMM; NIST AI RMF",IF(AND($AG22="Meets CSA Level",$AI22="Compliant"),"CSA AISMM; ISO/IEC 42001",IF(AND($AH22="Compliant",$AI22="Compliant"),"NIST AI RMF; ISO/IEC 42001",IF($AG22="Meets CSA Level","CSA AISMM",IF($AH22="Compliant","NIST AI RMF",IF($AI22="Compliant","ISO/IEC 42001","No mapped framework fully compliant"))))))))</x:f>
        <x:v>No mapped framework fully compliant</x:v>
      </x:c>
      <x:c r="AK22" s="42" t="str"/>
      <x:c r="AL22" s="46" t="str"/>
      <x:c r="AM22" s="42" t="str"/>
      <x:c r="AN22" s="42" t="str">
        <x:v>CSA AISMM uploaded workbook; NIST AI RMF Playbook uploaded workbook; ISO/IEC 42001 checklist uploaded PDF; official CSA/NIST/ISO web sources listed on Sources sheet</x:v>
      </x:c>
    </x:row>
    <x:row r="23" ht="90" customHeight="1">
      <x:c r="A23" s="42" t="str">
        <x:v>IAM</x:v>
      </x:c>
      <x:c r="B23" s="42" t="str">
        <x:v>IAM-02.2</x:v>
      </x:c>
      <x:c r="C23" s="42" t="n">
        <x:v>2</x:v>
      </x:c>
      <x:c r="D23" s="42" t="str">
        <x:v>IAM</x:v>
      </x:c>
      <x:c r="E23" s="42" t="str">
        <x:v>Inventoried non-human identities for AI workloads</x:v>
      </x:c>
      <x:c r="F23" s="42" t="str">
        <x:v>AI workloads run under inventoried non-human identities: service accounts, managed identities, workload identities, API keys They never use personal or shared human credentials, and manage secrets in a central store rather than source code or environment files. Each NHI in use across self-hosted, PaaS, and SaaS workloads traces back to a named owner.</x:v>
      </x:c>
      <x:c r="G23" s="42" t="str">
        <x:v>Either</x:v>
      </x:c>
      <x:c r="H23" s="42" t="str">
        <x:v>All</x:v>
      </x:c>
      <x:c r="I23" s="42" t="str">
        <x:v>IAM-03 (identity inventory), IAM-13 (uniquely identifiable users), IAM-15 (passwords and secrets management)</x:v>
      </x:c>
      <x:c r="J23" s="42" t="str">
        <x:v>MAP 4</x:v>
      </x:c>
      <x:c r="K23" s="42" t="str">
        <x:v>MAP 4: Parent AI RMF category/function referenced; use associated subcategory rows for testable control language.</x:v>
      </x:c>
      <x:c r="L23" s="42" t="str">
        <x:v>Direct from AISMM external reference</x:v>
      </x:c>
      <x:c r="M23" s="42" t="str">
        <x:v>Annex A.4; Annex A.6; Annex A.9</x:v>
      </x:c>
      <x:c r="N23" s="42" t="str">
        <x:v>Annex A.4 – Resources for AI systems: Maintain a register of AI resources including data, tools, systems, people, tooling, compute resources, and relevant operational/environmental impacts. Annex A.6 – AI system life cycle: Define responsible development objectives, specify verification and validation, maintain technical documentation, and record/maintain event logs during system use. Annex A.9 – Use of AI systems: Define responsible AI use processes, ethical/appropriate-use objectives, intended-purpose usage boundaries, and monitoring/remediation for misuse or unintended consequences.</x:v>
      </x:c>
      <x:c r="O23" s="42" t="str">
        <x:v>Derived by control theme/domain</x:v>
      </x:c>
      <x:c r="P23" s="42" t="str">
        <x:v>Use this row as a control objective to assess current state, define target maturity, collect evidence, and remediate gaps.</x:v>
      </x:c>
      <x:c r="Q23" s="42" t="str">
        <x:v>OWASP ASI03 (Identity &amp; Privilege Abuse), ASI10 (Rogue Agents), NIST AI RMF MAP-4</x:v>
      </x:c>
      <x:c r="R23" s="42" t="str">
        <x:v>IAM policy; privileged access records; role definitions; SSO/MFA enforcement; service account inventory; access reviews; joiner/mover/leaver records; secrets management evidence.</x:v>
      </x:c>
      <x:c r="S23" s="42" t="str">
        <x:v>Sample users and service accounts; verify least privilege, MFA, approved access, periodic reviews, and timely removal; confirm secrets are stored and rotated securely.</x:v>
      </x:c>
      <x:c r="T23" s="42" t="str">
        <x:v>Yes</x:v>
      </x:c>
      <x:c r="U23" s="42" t="str"/>
      <x:c r="V23" s="42" t="str"/>
      <x:c r="W23" s="42" t="str">
        <x:v>Not Assessed</x:v>
      </x:c>
      <x:c r="X23" s="44" t="n">
        <x:v>0</x:v>
      </x:c>
      <x:c r="Y23" s="44" t="n">
        <x:v>2</x:v>
      </x:c>
      <x:c r="Z23" s="42" t="str">
        <x:v>Not Provided</x:v>
      </x:c>
      <x:c r="AA23" s="42" t="str"/>
      <x:c r="AB23" s="42" t="str">
        <x:v>Not Tested</x:v>
      </x:c>
      <x:c r="AC23" s="46" t="str"/>
      <x:c r="AD23" s="42" t="str"/>
      <x:c r="AE23" s="42" t="str">
        <x:v>Not Assessed</x:v>
      </x:c>
      <x:c r="AF23" s="42" t="n">
        <x:f>IF($T23="No","",MAX(0,$Y23-$X23))</x:f>
        <x:v>2</x:v>
      </x:c>
      <x:c r="AG23" s="42" t="str">
        <x:f>IF($T23="No","Not Applicable",IF($X23&gt;=$C23,"Meets CSA Level","Gap to CSA Level"))</x:f>
        <x:v>Gap to CSA Level</x:v>
      </x:c>
      <x:c r="AH23" s="42" t="str">
        <x:f>IF($T23="No","Not Applicable",IF($J23="","Not Mapped",IF(AND(OR($W23="Implemented",$W23="Optimized"),$Z23="Validated",$AB23="Pass"),"Compliant",IF(AND(OR($W23="Partially Implemented",$W23="Implemented",$W23="Optimized"),OR($Z23="Reviewed",$Z23="Validated"),OR($AB23="Pass with Exceptions",$AB23="Pass")),"Partially Compliant","Not Compliant"))))</x:f>
        <x:v>Not Compliant</x:v>
      </x:c>
      <x:c r="AI23" s="42" t="str">
        <x:f>IF($T23="No","Not Applicable",IF($M23="","Not Mapped",IF(AND(OR($W23="Implemented",$W23="Optimized"),$Z23="Validated",$AB23="Pass"),"Compliant",IF(AND(OR($W23="Partially Implemented",$W23="Implemented",$W23="Optimized"),OR($Z23="Reviewed",$Z23="Validated"),OR($AB23="Pass with Exceptions",$AB23="Pass")),"Partially Compliant","Not Compliant"))))</x:f>
        <x:v>Not Compliant</x:v>
      </x:c>
      <x:c r="AJ23" s="42" t="str">
        <x:f>IF($T23="No","Not Applicable",IF(AND($AG23="Meets CSA Level",$AH23="Compliant",$AI23="Compliant"),"CSA AISMM; NIST AI RMF; ISO/IEC 42001",IF(AND($AG23="Meets CSA Level",$AH23="Compliant"),"CSA AISMM; NIST AI RMF",IF(AND($AG23="Meets CSA Level",$AI23="Compliant"),"CSA AISMM; ISO/IEC 42001",IF(AND($AH23="Compliant",$AI23="Compliant"),"NIST AI RMF; ISO/IEC 42001",IF($AG23="Meets CSA Level","CSA AISMM",IF($AH23="Compliant","NIST AI RMF",IF($AI23="Compliant","ISO/IEC 42001","No mapped framework fully compliant"))))))))</x:f>
        <x:v>No mapped framework fully compliant</x:v>
      </x:c>
      <x:c r="AK23" s="42" t="str"/>
      <x:c r="AL23" s="46" t="str"/>
      <x:c r="AM23" s="42" t="str"/>
      <x:c r="AN23" s="42" t="str">
        <x:v>CSA AISMM uploaded workbook; NIST AI RMF Playbook uploaded workbook; ISO/IEC 42001 checklist uploaded PDF; official CSA/NIST/ISO web sources listed on Sources sheet</x:v>
      </x:c>
    </x:row>
    <x:row r="24" ht="90" customHeight="1">
      <x:c r="A24" s="42" t="str">
        <x:v>IAM</x:v>
      </x:c>
      <x:c r="B24" s="42" t="str">
        <x:v>IAM-03.1</x:v>
      </x:c>
      <x:c r="C24" s="42" t="n">
        <x:v>3</x:v>
      </x:c>
      <x:c r="D24" s="42" t="str">
        <x:v>IAM</x:v>
      </x:c>
      <x:c r="E24" s="42" t="str">
        <x:v>Per-workload NHI with managed credential lifecycle</x:v>
      </x:c>
      <x:c r="F24" s="42" t="str">
        <x:v>Each production AI workload runs under its own non-human identity, using short-lived federated credentials where possible and with static credentials rotating on a managed cadence, when used. A compromise of one workload's identity does not cascade across the AI estate.</x:v>
      </x:c>
      <x:c r="G24" s="42" t="str">
        <x:v>Automated</x:v>
      </x:c>
      <x:c r="H24" s="42" t="str">
        <x:v>All</x:v>
      </x:c>
      <x:c r="I24" s="42" t="str">
        <x:v>IAM-05 (least privilege), IAM-06 (user access provisioning), IAM-07 (access changes and revocation), IAM-15 (secrets management)</x:v>
      </x:c>
      <x:c r="J24" s="42" t="str">
        <x:v>GOVERN 1.4; GOVERN 1</x:v>
      </x:c>
      <x:c r="K24" s="42" t="str">
        <x:v>GOVERN 1.4: - Establish and regularly review documentation policies that, among others, address information related to: - AI actors contact informations - Business justification - Scope and usages - Expected and potential risks and impacts - Assumptions and limitations - Description and characterization of training data - Algorithmic methodology - Evaluated alternative approaches - Description of output data - Testing and validation results (including explanatory visualizations and information) - Down- and up-stream dependencies - Plans for deployment, monitoring, and change management - Stakeholder engagement plans - Verify documentation policies for AI systems are standardized across the organization and remain current. - Establish policies for a model documentation inventory system and regularly review its completeness, usability, and efficacy.…</x:v>
      </x:c>
      <x:c r="L24" s="42" t="str">
        <x:v>Direct from AISMM external reference</x:v>
      </x:c>
      <x:c r="M24" s="42" t="str">
        <x:v>Annex A.6; Annex A.9</x:v>
      </x:c>
      <x:c r="N24" s="42" t="str">
        <x:v>Annex A.6 – AI system life cycle: Define responsible development objectives, specify verification and validation, maintain technical documentation, and record/maintain event logs during system use. Annex A.9 – Use of AI systems: Define responsible AI use processes, ethical/appropriate-use objectives, intended-purpose usage boundaries, and monitoring/remediation for misuse or unintended consequences.</x:v>
      </x:c>
      <x:c r="O24" s="42" t="str">
        <x:v>Derived by control theme/domain</x:v>
      </x:c>
      <x:c r="P24" s="42" t="str">
        <x:v>Use this row as a control objective to assess current state, define target maturity, collect evidence, and remediate gaps.</x:v>
      </x:c>
      <x:c r="Q24" s="42" t="str">
        <x:v>OWASP ASI03 (Identity &amp; Privilege Abuse), NIST AI RMF GOVERN-1.4, NIST SP 800-207 (Zero Trust — NHI patterns)</x:v>
      </x:c>
      <x:c r="R24" s="42" t="str">
        <x:v>IAM policy; privileged access records; role definitions; SSO/MFA enforcement; service account inventory; access reviews; joiner/mover/leaver records; secrets management evidence.</x:v>
      </x:c>
      <x:c r="S24" s="42" t="str">
        <x:v>Sample users and service accounts; verify least privilege, MFA, approved access, periodic reviews, and timely removal; confirm secrets are stored and rotated securely.</x:v>
      </x:c>
      <x:c r="T24" s="42" t="str">
        <x:v>Yes</x:v>
      </x:c>
      <x:c r="U24" s="42" t="str"/>
      <x:c r="V24" s="42" t="str"/>
      <x:c r="W24" s="42" t="str">
        <x:v>Not Assessed</x:v>
      </x:c>
      <x:c r="X24" s="44" t="n">
        <x:v>0</x:v>
      </x:c>
      <x:c r="Y24" s="44" t="n">
        <x:v>3</x:v>
      </x:c>
      <x:c r="Z24" s="42" t="str">
        <x:v>Not Provided</x:v>
      </x:c>
      <x:c r="AA24" s="42" t="str"/>
      <x:c r="AB24" s="42" t="str">
        <x:v>Not Tested</x:v>
      </x:c>
      <x:c r="AC24" s="46" t="str"/>
      <x:c r="AD24" s="42" t="str"/>
      <x:c r="AE24" s="42" t="str">
        <x:v>Not Assessed</x:v>
      </x:c>
      <x:c r="AF24" s="42" t="n">
        <x:f>IF($T24="No","",MAX(0,$Y24-$X24))</x:f>
        <x:v>3</x:v>
      </x:c>
      <x:c r="AG24" s="42" t="str">
        <x:f>IF($T24="No","Not Applicable",IF($X24&gt;=$C24,"Meets CSA Level","Gap to CSA Level"))</x:f>
        <x:v>Gap to CSA Level</x:v>
      </x:c>
      <x:c r="AH24" s="42" t="str">
        <x:f>IF($T24="No","Not Applicable",IF($J24="","Not Mapped",IF(AND(OR($W24="Implemented",$W24="Optimized"),$Z24="Validated",$AB24="Pass"),"Compliant",IF(AND(OR($W24="Partially Implemented",$W24="Implemented",$W24="Optimized"),OR($Z24="Reviewed",$Z24="Validated"),OR($AB24="Pass with Exceptions",$AB24="Pass")),"Partially Compliant","Not Compliant"))))</x:f>
        <x:v>Not Compliant</x:v>
      </x:c>
      <x:c r="AI24" s="42" t="str">
        <x:f>IF($T24="No","Not Applicable",IF($M24="","Not Mapped",IF(AND(OR($W24="Implemented",$W24="Optimized"),$Z24="Validated",$AB24="Pass"),"Compliant",IF(AND(OR($W24="Partially Implemented",$W24="Implemented",$W24="Optimized"),OR($Z24="Reviewed",$Z24="Validated"),OR($AB24="Pass with Exceptions",$AB24="Pass")),"Partially Compliant","Not Compliant"))))</x:f>
        <x:v>Not Compliant</x:v>
      </x:c>
      <x:c r="AJ24" s="42" t="str">
        <x:f>IF($T24="No","Not Applicable",IF(AND($AG24="Meets CSA Level",$AH24="Compliant",$AI24="Compliant"),"CSA AISMM; NIST AI RMF; ISO/IEC 42001",IF(AND($AG24="Meets CSA Level",$AH24="Compliant"),"CSA AISMM; NIST AI RMF",IF(AND($AG24="Meets CSA Level",$AI24="Compliant"),"CSA AISMM; ISO/IEC 42001",IF(AND($AH24="Compliant",$AI24="Compliant"),"NIST AI RMF; ISO/IEC 42001",IF($AG24="Meets CSA Level","CSA AISMM",IF($AH24="Compliant","NIST AI RMF",IF($AI24="Compliant","ISO/IEC 42001","No mapped framework fully compliant"))))))))</x:f>
        <x:v>No mapped framework fully compliant</x:v>
      </x:c>
      <x:c r="AK24" s="42" t="str"/>
      <x:c r="AL24" s="46" t="str"/>
      <x:c r="AM24" s="42" t="str"/>
      <x:c r="AN24" s="42" t="str">
        <x:v>CSA AISMM uploaded workbook; NIST AI RMF Playbook uploaded workbook; ISO/IEC 42001 checklist uploaded PDF; official CSA/NIST/ISO web sources listed on Sources sheet</x:v>
      </x:c>
    </x:row>
    <x:row r="25" ht="90" customHeight="1">
      <x:c r="A25" s="42" t="str">
        <x:v>IAM</x:v>
      </x:c>
      <x:c r="B25" s="42" t="str">
        <x:v>IAM-03.2</x:v>
      </x:c>
      <x:c r="C25" s="42" t="n">
        <x:v>3</x:v>
      </x:c>
      <x:c r="D25" s="42" t="str">
        <x:v>IAM</x:v>
      </x:c>
      <x:c r="E25" s="42" t="str">
        <x:v>PaaS and SaaS provider IAM hardened to standard</x:v>
      </x:c>
      <x:c r="F25" s="42" t="str">
        <x:v>Every PaaS AI platform and SaaS AI feature in the inventory has its provider IAM surface configured to a written enterprise standard, with drift detected and remediated rather than accumulating silently. Copilot, Agentforce, Gemini, Bedrock AgentCore, Azure AI Foundry, and Vertex AI operate as governed identity surfaces rather than out-of-the-box defaults.</x:v>
      </x:c>
      <x:c r="G25" s="42" t="str">
        <x:v>Automated</x:v>
      </x:c>
      <x:c r="H25" s="42" t="str">
        <x:v>PaaS and API/SaaS (self-hosted marked not applicable)</x:v>
      </x:c>
      <x:c r="I25" s="42" t="str">
        <x:v>IAM-05 (least privilege), IAM-06 (access provisioning), IAM-16 (authorization mechanisms), IAM-17 (need-to-know access to knowledge)</x:v>
      </x:c>
      <x:c r="J25" s="42" t="str">
        <x:v>GOVERN 1.4; MAP 4.1; MANAGE 2.3; MANAGE 4.1</x:v>
      </x:c>
      <x:c r="K25" s="42" t="str">
        <x:v>GOVERN 1.4: - Establish and regularly review documentation policies that, among others, address information related to: - AI actors contact informations - Business justification - Scope and usages - Expected and potential risks and impacts - Assumptions and limitations - Description and characterization of training data - Algorithmic methodology - Evaluated alternative approaches - Description of output data - Testing and validation results (including explanatory visualizations and information) - Down- and up-stream dependencies - Plans for deployment, monitoring, and change management - Stakeholder engagement plans - Verify documentation policies for AI systems are standardized across the organization and remain current. - Establish policies for a model documentation inventory system and regularly review its completeness, usability, and efficacy.… MAP 4.1: - Review audit reports, testing results, product roadmaps, warranties, terms of service, end user license agreements, contracts, and other documentation related to third-party entities to assist in value assessment and risk management activities. - Review third-party software release schedules and software change management plans (hotfixes, patches, updates, forward- and backward- compatibility guarantees) for irregularities that may contribute to AI system risks. - Inventory third-party material (hardware, open-source software, foundation models, open source data, proprietary software, proprietary data, etc.) required for system implementation and maintenance. - Review redundancies related to third-party technology and personnel to assess potential risks due to lack of adequate support. MANAGE 2.3: - Protocols, resources, and metrics are in place for continual monitoring of AI systems’ performance, trustworthiness, and alignment with contextual norms and values - Establish and regularly review treatment and response plans for incidents, negative impacts, or outcomes. - Establish and maintain procedures to regularly monitor system components for drift, decontextualization, or other AI system behavior factors, - Establish and maintain procedures for capturing feedback about negative impacts. - Verify contingency processes to handle any negative impacts associated with mission-critical AI systems, and to deactivate systems. - Enable preventive and post-hoc exploration of AI system limitations by relevant AI actor groups. - Decommission systems that exceed risk tolerances. MANAGE 4.1: - Establish and maintain procedures to monitor AI system performance for risks and negative and positive impacts associated with trustworthiness characteristics. - Perform post-deployment TEVV tasks to evaluate AI system validity and reliability, bias and fairness, privacy, and security and resilience. - Evaluate AI system trustworthiness in conditions similar to deployment context of use, and prior to deployment. - Establish and implement red-teaming exercises at a prescribed cadence, and evaluate their efficacy…</x:v>
      </x:c>
      <x:c r="L25" s="42" t="str">
        <x:v>Derived by CSA domain/theme</x:v>
      </x:c>
      <x:c r="M25" s="42" t="str">
        <x:v>Annex A.2; Annex A.4; Annex A.6; Annex A.9; Annex A.10</x:v>
      </x:c>
      <x:c r="N25" s="42" t="str">
        <x:v>Annex A.2 – Policies related to AI: Document and approve AI policy, include responsible AI principles and continual improvement, review policy regularly, and align it to other relevant organizational policies. Annex A.4 – Resources for AI systems: Maintain a register of AI resources including data, tools, systems, people, tooling, compute resources, and relevant operational/environmental impacts. Annex A.6 – AI system life cycle: Define responsible development objectives, specify verification and validation, maintain technical documentation, and record/maintain event logs during system use. Annex A.9 – Use of AI systems: Define responsible AI use processes, ethical/appropriate-use objectives, intended-purpose usage boundaries, and monitoring/remediation for misuse or unintended consequences. Annex A.10 – Third-party and customer relationships: Define lifecycle responsibilities with third parties, manage AI suppliers, capture customer expectations, and review third-party roles through ongoing governance.</x:v>
      </x:c>
      <x:c r="O25" s="42" t="str">
        <x:v>Derived by control theme/domain</x:v>
      </x:c>
      <x:c r="P25" s="42" t="str">
        <x:v>Publish approved AI policy/standard; maintain attestation and exception workflow. Tie provider/model/library onboarding to supplier risk, licensing, model/data provenance, and AI-BOM/SBOM records.</x:v>
      </x:c>
      <x:c r="Q25" s="42" t="str">
        <x:v>OWASP ASI03 (Identity &amp; Privilege Abuse), ASI04 (Supply Chain Vulnerabilities — provider scoping), Microsoft Purview / Copilot Control System, Salesforce Einstein Trust Layer</x:v>
      </x:c>
      <x:c r="R25" s="42" t="str">
        <x:v>IAM policy; privileged access records; role definitions; SSO/MFA enforcement; service account inventory; access reviews; joiner/mover/leaver records; secrets management evidence.</x:v>
      </x:c>
      <x:c r="S25" s="42" t="str">
        <x:v>Sample users and service accounts; verify least privilege, MFA, approved access, periodic reviews, and timely removal; confirm secrets are stored and rotated securely.</x:v>
      </x:c>
      <x:c r="T25" s="42" t="str">
        <x:v>Yes</x:v>
      </x:c>
      <x:c r="U25" s="42" t="str"/>
      <x:c r="V25" s="42" t="str"/>
      <x:c r="W25" s="42" t="str">
        <x:v>Not Assessed</x:v>
      </x:c>
      <x:c r="X25" s="44" t="n">
        <x:v>0</x:v>
      </x:c>
      <x:c r="Y25" s="44" t="n">
        <x:v>3</x:v>
      </x:c>
      <x:c r="Z25" s="42" t="str">
        <x:v>Not Provided</x:v>
      </x:c>
      <x:c r="AA25" s="42" t="str"/>
      <x:c r="AB25" s="42" t="str">
        <x:v>Not Tested</x:v>
      </x:c>
      <x:c r="AC25" s="46" t="str"/>
      <x:c r="AD25" s="42" t="str"/>
      <x:c r="AE25" s="42" t="str">
        <x:v>Not Assessed</x:v>
      </x:c>
      <x:c r="AF25" s="42" t="n">
        <x:f>IF($T25="No","",MAX(0,$Y25-$X25))</x:f>
        <x:v>3</x:v>
      </x:c>
      <x:c r="AG25" s="42" t="str">
        <x:f>IF($T25="No","Not Applicable",IF($X25&gt;=$C25,"Meets CSA Level","Gap to CSA Level"))</x:f>
        <x:v>Gap to CSA Level</x:v>
      </x:c>
      <x:c r="AH25" s="42" t="str">
        <x:f>IF($T25="No","Not Applicable",IF($J25="","Not Mapped",IF(AND(OR($W25="Implemented",$W25="Optimized"),$Z25="Validated",$AB25="Pass"),"Compliant",IF(AND(OR($W25="Partially Implemented",$W25="Implemented",$W25="Optimized"),OR($Z25="Reviewed",$Z25="Validated"),OR($AB25="Pass with Exceptions",$AB25="Pass")),"Partially Compliant","Not Compliant"))))</x:f>
        <x:v>Not Compliant</x:v>
      </x:c>
      <x:c r="AI25" s="42" t="str">
        <x:f>IF($T25="No","Not Applicable",IF($M25="","Not Mapped",IF(AND(OR($W25="Implemented",$W25="Optimized"),$Z25="Validated",$AB25="Pass"),"Compliant",IF(AND(OR($W25="Partially Implemented",$W25="Implemented",$W25="Optimized"),OR($Z25="Reviewed",$Z25="Validated"),OR($AB25="Pass with Exceptions",$AB25="Pass")),"Partially Compliant","Not Compliant"))))</x:f>
        <x:v>Not Compliant</x:v>
      </x:c>
      <x:c r="AJ25" s="42" t="str">
        <x:f>IF($T25="No","Not Applicable",IF(AND($AG25="Meets CSA Level",$AH25="Compliant",$AI25="Compliant"),"CSA AISMM; NIST AI RMF; ISO/IEC 42001",IF(AND($AG25="Meets CSA Level",$AH25="Compliant"),"CSA AISMM; NIST AI RMF",IF(AND($AG25="Meets CSA Level",$AI25="Compliant"),"CSA AISMM; ISO/IEC 42001",IF(AND($AH25="Compliant",$AI25="Compliant"),"NIST AI RMF; ISO/IEC 42001",IF($AG25="Meets CSA Level","CSA AISMM",IF($AH25="Compliant","NIST AI RMF",IF($AI25="Compliant","ISO/IEC 42001","No mapped framework fully compliant"))))))))</x:f>
        <x:v>No mapped framework fully compliant</x:v>
      </x:c>
      <x:c r="AK25" s="42" t="str"/>
      <x:c r="AL25" s="46" t="str"/>
      <x:c r="AM25" s="42" t="str"/>
      <x:c r="AN25" s="42" t="str">
        <x:v>CSA AISMM uploaded workbook; NIST AI RMF Playbook uploaded workbook; ISO/IEC 42001 checklist uploaded PDF; official CSA/NIST/ISO web sources listed on Sources sheet</x:v>
      </x:c>
    </x:row>
    <x:row r="26" ht="90" customHeight="1">
      <x:c r="A26" s="42" t="str">
        <x:v>IAM</x:v>
      </x:c>
      <x:c r="B26" s="42" t="str">
        <x:v>IAM-03.3</x:v>
      </x:c>
      <x:c r="C26" s="42" t="n">
        <x:v>3</x:v>
      </x:c>
      <x:c r="D26" s="42" t="str">
        <x:v>IAM</x:v>
      </x:c>
      <x:c r="E26" s="42" t="str">
        <x:v>OAuth-based MCP and tool authorization with named scopes</x:v>
      </x:c>
      <x:c r="F26" s="42" t="str">
        <x:v>Production AI agents and applications authorize MCP and external tool calls via OAuth-issued named scopes rather than static API keys, against a scope registry treated as authoritative. Wildcard or catch-all scopes are not used, and the registry includes an MCP-server allowlist per agent class.</x:v>
      </x:c>
      <x:c r="G26" s="42" t="str">
        <x:v>Automated</x:v>
      </x:c>
      <x:c r="H26" s="42" t="str">
        <x:v>All</x:v>
      </x:c>
      <x:c r="I26" s="42" t="str">
        <x:v>IAM-16 (authorization mechanisms), IAM-19 (agent access restriction), IAM-15 (secrets management)</x:v>
      </x:c>
      <x:c r="J26" s="42" t="str">
        <x:v>GOVERN 1.4; MAP 4.1; MANAGE 2.3; MANAGE 4.1</x:v>
      </x:c>
      <x:c r="K26" s="42" t="str">
        <x:v>GOVERN 1.4: - Establish and regularly review documentation policies that, among others, address information related to: - AI actors contact informations - Business justification - Scope and usages - Expected and potential risks and impacts - Assumptions and limitations - Description and characterization of training data - Algorithmic methodology - Evaluated alternative approaches - Description of output data - Testing and validation results (including explanatory visualizations and information) - Down- and up-stream dependencies - Plans for deployment, monitoring, and change management - Stakeholder engagement plans - Verify documentation policies for AI systems are standardized across the organization and remain current. - Establish policies for a model documentation inventory system and regularly review its completeness, usability, and efficacy.… MAP 4.1: - Review audit reports, testing results, product roadmaps, warranties, terms of service, end user license agreements, contracts, and other documentation related to third-party entities to assist in value assessment and risk management activities. - Review third-party software release schedules and software change management plans (hotfixes, patches, updates, forward- and backward- compatibility guarantees) for irregularities that may contribute to AI system risks. - Inventory third-party material (hardware, open-source software, foundation models, open source data, proprietary software, proprietary data, etc.) required for system implementation and maintenance. - Review redundancies related to third-party technology and personnel to assess potential risks due to lack of adequate support. MANAGE 2.3: - Protocols, resources, and metrics are in place for continual monitoring of AI systems’ performance, trustworthiness, and alignment with contextual norms and values - Establish and regularly review treatment and response plans for incidents, negative impacts, or outcomes. - Establish and maintain procedures to regularly monitor system components for drift, decontextualization, or other AI system behavior factors, - Establish and maintain procedures for capturing feedback about negative impacts. - Verify contingency processes to handle any negative impacts associated with mission-critical AI systems, and to deactivate systems. - Enable preventive and post-hoc exploration of AI system limitations by relevant AI actor groups. - Decommission systems that exceed risk tolerances. MANAGE 4.1: - Establish and maintain procedures to monitor AI system performance for risks and negative and positive impacts associated with trustworthiness characteristics. - Perform post-deployment TEVV tasks to evaluate AI system validity and reliability, bias and fairness, privacy, and security and resilience. - Evaluate AI system trustworthiness in conditions similar to deployment context of use, and prior to deployment. - Establish and implement red-teaming exercises at a prescribed cadence, and evaluate their efficacy…</x:v>
      </x:c>
      <x:c r="L26" s="42" t="str">
        <x:v>Derived by CSA domain/theme</x:v>
      </x:c>
      <x:c r="M26" s="42" t="str">
        <x:v>Annex A.4; Annex A.6; Annex A.7; Annex A.9; Annex A.10</x:v>
      </x:c>
      <x:c r="N26" s="42" t="str">
        <x:v>Annex A.4 – Resources for AI systems: Maintain a register of AI resources including data, tools, systems, people, tooling, compute resources, and relevant operational/environmental impacts. Annex A.6 – AI system life cycle: Define responsible development objectives, specify verification and validation, maintain technical documentation, and record/maintain event logs during system use. Annex A.7 – Data for AI systems: Maintain documented AI data management, identify sources and provenance, record intended use, define data quality requirements, and document/justify preparation methods. Annex A.9 – Use of AI systems: Define responsible AI use processes, ethical/appropriate-use objectives, intended-purpose usage boundaries, and monitoring/remediation for misuse or unintended consequences. Annex A.10 – Third-party and customer relationships: Define lifecycle responsibilities with third parties, manage AI suppliers, capture customer expectations, and review third-party roles through ongoing governance.</x:v>
      </x:c>
      <x:c r="O26" s="42" t="str">
        <x:v>Derived by control theme/domain</x:v>
      </x:c>
      <x:c r="P26" s="42" t="str">
        <x:v>Use this row as a control objective to assess current state, define target maturity, collect evidence, and remediate gaps.</x:v>
      </x:c>
      <x:c r="Q26" s="42" t="str">
        <x:v>MCP Authorization spec (OAuth 2.1, RFC 8707 Resource Indicators as of 2026-03-15 spec), RFC 9728 Protected Resource Metadata, OWASP ASI02 (Tool Misuse), ASI04 (Supply Chain Vulnerabilities)</x:v>
      </x:c>
      <x:c r="R26" s="42" t="str">
        <x:v>IAM policy; privileged access records; role definitions; SSO/MFA enforcement; service account inventory; access reviews; joiner/mover/leaver records; secrets management evidence.</x:v>
      </x:c>
      <x:c r="S26" s="42" t="str">
        <x:v>Sample users and service accounts; verify least privilege, MFA, approved access, periodic reviews, and timely removal; confirm secrets are stored and rotated securely.</x:v>
      </x:c>
      <x:c r="T26" s="42" t="str">
        <x:v>Yes</x:v>
      </x:c>
      <x:c r="U26" s="42" t="str"/>
      <x:c r="V26" s="42" t="str"/>
      <x:c r="W26" s="42" t="str">
        <x:v>Not Assessed</x:v>
      </x:c>
      <x:c r="X26" s="44" t="n">
        <x:v>0</x:v>
      </x:c>
      <x:c r="Y26" s="44" t="n">
        <x:v>3</x:v>
      </x:c>
      <x:c r="Z26" s="42" t="str">
        <x:v>Not Provided</x:v>
      </x:c>
      <x:c r="AA26" s="42" t="str"/>
      <x:c r="AB26" s="42" t="str">
        <x:v>Not Tested</x:v>
      </x:c>
      <x:c r="AC26" s="46" t="str"/>
      <x:c r="AD26" s="42" t="str"/>
      <x:c r="AE26" s="42" t="str">
        <x:v>Not Assessed</x:v>
      </x:c>
      <x:c r="AF26" s="42" t="n">
        <x:f>IF($T26="No","",MAX(0,$Y26-$X26))</x:f>
        <x:v>3</x:v>
      </x:c>
      <x:c r="AG26" s="42" t="str">
        <x:f>IF($T26="No","Not Applicable",IF($X26&gt;=$C26,"Meets CSA Level","Gap to CSA Level"))</x:f>
        <x:v>Gap to CSA Level</x:v>
      </x:c>
      <x:c r="AH26" s="42" t="str">
        <x:f>IF($T26="No","Not Applicable",IF($J26="","Not Mapped",IF(AND(OR($W26="Implemented",$W26="Optimized"),$Z26="Validated",$AB26="Pass"),"Compliant",IF(AND(OR($W26="Partially Implemented",$W26="Implemented",$W26="Optimized"),OR($Z26="Reviewed",$Z26="Validated"),OR($AB26="Pass with Exceptions",$AB26="Pass")),"Partially Compliant","Not Compliant"))))</x:f>
        <x:v>Not Compliant</x:v>
      </x:c>
      <x:c r="AI26" s="42" t="str">
        <x:f>IF($T26="No","Not Applicable",IF($M26="","Not Mapped",IF(AND(OR($W26="Implemented",$W26="Optimized"),$Z26="Validated",$AB26="Pass"),"Compliant",IF(AND(OR($W26="Partially Implemented",$W26="Implemented",$W26="Optimized"),OR($Z26="Reviewed",$Z26="Validated"),OR($AB26="Pass with Exceptions",$AB26="Pass")),"Partially Compliant","Not Compliant"))))</x:f>
        <x:v>Not Compliant</x:v>
      </x:c>
      <x:c r="AJ26" s="42" t="str">
        <x:f>IF($T26="No","Not Applicable",IF(AND($AG26="Meets CSA Level",$AH26="Compliant",$AI26="Compliant"),"CSA AISMM; NIST AI RMF; ISO/IEC 42001",IF(AND($AG26="Meets CSA Level",$AH26="Compliant"),"CSA AISMM; NIST AI RMF",IF(AND($AG26="Meets CSA Level",$AI26="Compliant"),"CSA AISMM; ISO/IEC 42001",IF(AND($AH26="Compliant",$AI26="Compliant"),"NIST AI RMF; ISO/IEC 42001",IF($AG26="Meets CSA Level","CSA AISMM",IF($AH26="Compliant","NIST AI RMF",IF($AI26="Compliant","ISO/IEC 42001","No mapped framework fully compliant"))))))))</x:f>
        <x:v>No mapped framework fully compliant</x:v>
      </x:c>
      <x:c r="AK26" s="42" t="str"/>
      <x:c r="AL26" s="46" t="str"/>
      <x:c r="AM26" s="42" t="str"/>
      <x:c r="AN26" s="42" t="str">
        <x:v>CSA AISMM uploaded workbook; NIST AI RMF Playbook uploaded workbook; ISO/IEC 42001 checklist uploaded PDF; official CSA/NIST/ISO web sources listed on Sources sheet</x:v>
      </x:c>
    </x:row>
    <x:row r="27" ht="90" customHeight="1">
      <x:c r="A27" s="42" t="str">
        <x:v>IAM</x:v>
      </x:c>
      <x:c r="B27" s="42" t="str">
        <x:v>IAM-04.1</x:v>
      </x:c>
      <x:c r="C27" s="42" t="n">
        <x:v>4</x:v>
      </x:c>
      <x:c r="D27" s="42" t="str">
        <x:v>IAM</x:v>
      </x:c>
      <x:c r="E27" s="42" t="str">
        <x:v>Per-agent NHI federated to enterprise IdP and/or attestation-based</x:v>
      </x:c>
      <x:c r="F27" s="42" t="str">
        <x:v>Each production self-hosted or PaaS-embedded AI agent has its own non-human identity, registered or federated through an enterprise IdP or established via attestation-based identity, and uniquely attributed in every auth event, so authorization, revocation, and audit work per-agent rather than per-workload. Self-hosted agents use workload identity primitives like SPIFFE/SPIRE; PaaS agents use the provider's per-agent primitive (AgentCore Workload Identity, Foundry managed identity, Vertex per-agent service account).</x:v>
      </x:c>
      <x:c r="G27" s="42" t="str">
        <x:v>Automated</x:v>
      </x:c>
      <x:c r="H27" s="42" t="str">
        <x:v>Self-hosted and PaaS (SaaS-embedded agent identity covered by IAM-04.2)</x:v>
      </x:c>
      <x:c r="I27" s="42" t="str">
        <x:v>IAM-03 (identity inventory), IAM-13 (uniquely identifiable users), IAM-05 (least privilege)</x:v>
      </x:c>
      <x:c r="J27" s="42" t="str">
        <x:v>GOVERN 1.4; MAP 4.1; MANAGE 2.3; MANAGE 4.1</x:v>
      </x:c>
      <x:c r="K27" s="42" t="str">
        <x:v>GOVERN 1.4: - Establish and regularly review documentation policies that, among others, address information related to: - AI actors contact informations - Business justification - Scope and usages - Expected and potential risks and impacts - Assumptions and limitations - Description and characterization of training data - Algorithmic methodology - Evaluated alternative approaches - Description of output data - Testing and validation results (including explanatory visualizations and information) - Down- and up-stream dependencies - Plans for deployment, monitoring, and change management - Stakeholder engagement plans - Verify documentation policies for AI systems are standardized across the organization and remain current. - Establish policies for a model documentation inventory system and regularly review its completeness, usability, and efficacy.… MAP 4.1: - Review audit reports, testing results, product roadmaps, warranties, terms of service, end user license agreements, contracts, and other documentation related to third-party entities to assist in value assessment and risk management activities. - Review third-party software release schedules and software change management plans (hotfixes, patches, updates, forward- and backward- compatibility guarantees) for irregularities that may contribute to AI system risks. - Inventory third-party material (hardware, open-source software, foundation models, open source data, proprietary software, proprietary data, etc.) required for system implementation and maintenance. - Review redundancies related to third-party technology and personnel to assess potential risks due to lack of adequate support. MANAGE 2.3: - Protocols, resources, and metrics are in place for continual monitoring of AI systems’ performance, trustworthiness, and alignment with contextual norms and values - Establish and regularly review treatment and response plans for incidents, negative impacts, or outcomes. - Establish and maintain procedures to regularly monitor system components for drift, decontextualization, or other AI system behavior factors, - Establish and maintain procedures for capturing feedback about negative impacts. - Verify contingency processes to handle any negative impacts associated with mission-critical AI systems, and to deactivate systems. - Enable preventive and post-hoc exploration of AI system limitations by relevant AI actor groups. - Decommission systems that exceed risk tolerances. MANAGE 4.1: - Establish and maintain procedures to monitor AI system performance for risks and negative and positive impacts associated with trustworthiness characteristics. - Perform post-deployment TEVV tasks to evaluate AI system validity and reliability, bias and fairness, privacy, and security and resilience. - Evaluate AI system trustworthiness in conditions similar to deployment context of use, and prior to deployment. - Establish and implement red-teaming exercises at a prescribed cadence, and evaluate their efficacy…</x:v>
      </x:c>
      <x:c r="L27" s="42" t="str">
        <x:v>Derived by CSA domain/theme</x:v>
      </x:c>
      <x:c r="M27" s="42" t="str">
        <x:v>Annex A.2; Annex A.6; Annex A.9; Annex A.10</x:v>
      </x:c>
      <x:c r="N27" s="42" t="str">
        <x:v>Annex A.2 – Policies related to AI: Document and approve AI policy, include responsible AI principles and continual improvement, review policy regularly, and align it to other relevant organizational policies. Annex A.6 – AI system life cycle: Define responsible development objectives, specify verification and validation, maintain technical documentation, and record/maintain event logs during system use. Annex A.9 – Use of AI systems: Define responsible AI use processes, ethical/appropriate-use objectives, intended-purpose usage boundaries, and monitoring/remediation for misuse or unintended consequences. Annex A.10 – Third-party and customer relationships: Define lifecycle responsibilities with third parties, manage AI suppliers, capture customer expectations, and review third-party roles through ongoing governance.</x:v>
      </x:c>
      <x:c r="O27" s="42" t="str">
        <x:v>Derived by control theme/domain</x:v>
      </x:c>
      <x:c r="P27" s="42" t="str">
        <x:v>Use this row as a control objective to assess current state, define target maturity, collect evidence, and remediate gaps.</x:v>
      </x:c>
      <x:c r="Q27" s="42" t="str">
        <x:v>OWASP ASI03 (Identity &amp; Privilege Abuse), ASI10 (Rogue Agents), SPIFFE/SPIRE workload identity, AWS Bedrock AgentCore Identity, Azure Entra workload identity federation</x:v>
      </x:c>
      <x:c r="R27" s="42" t="str">
        <x:v>IAM policy; privileged access records; role definitions; SSO/MFA enforcement; service account inventory; access reviews; joiner/mover/leaver records; secrets management evidence.</x:v>
      </x:c>
      <x:c r="S27" s="42" t="str">
        <x:v>Sample users and service accounts; verify least privilege, MFA, approved access, periodic reviews, and timely removal; confirm secrets are stored and rotated securely.</x:v>
      </x:c>
      <x:c r="T27" s="42" t="str">
        <x:v>Yes</x:v>
      </x:c>
      <x:c r="U27" s="42" t="str"/>
      <x:c r="V27" s="42" t="str"/>
      <x:c r="W27" s="42" t="str">
        <x:v>Not Assessed</x:v>
      </x:c>
      <x:c r="X27" s="44" t="n">
        <x:v>0</x:v>
      </x:c>
      <x:c r="Y27" s="44" t="n">
        <x:v>4</x:v>
      </x:c>
      <x:c r="Z27" s="42" t="str">
        <x:v>Not Provided</x:v>
      </x:c>
      <x:c r="AA27" s="42" t="str"/>
      <x:c r="AB27" s="42" t="str">
        <x:v>Not Tested</x:v>
      </x:c>
      <x:c r="AC27" s="46" t="str"/>
      <x:c r="AD27" s="42" t="str"/>
      <x:c r="AE27" s="42" t="str">
        <x:v>Not Assessed</x:v>
      </x:c>
      <x:c r="AF27" s="42" t="n">
        <x:f>IF($T27="No","",MAX(0,$Y27-$X27))</x:f>
        <x:v>4</x:v>
      </x:c>
      <x:c r="AG27" s="42" t="str">
        <x:f>IF($T27="No","Not Applicable",IF($X27&gt;=$C27,"Meets CSA Level","Gap to CSA Level"))</x:f>
        <x:v>Gap to CSA Level</x:v>
      </x:c>
      <x:c r="AH27" s="42" t="str">
        <x:f>IF($T27="No","Not Applicable",IF($J27="","Not Mapped",IF(AND(OR($W27="Implemented",$W27="Optimized"),$Z27="Validated",$AB27="Pass"),"Compliant",IF(AND(OR($W27="Partially Implemented",$W27="Implemented",$W27="Optimized"),OR($Z27="Reviewed",$Z27="Validated"),OR($AB27="Pass with Exceptions",$AB27="Pass")),"Partially Compliant","Not Compliant"))))</x:f>
        <x:v>Not Compliant</x:v>
      </x:c>
      <x:c r="AI27" s="42" t="str">
        <x:f>IF($T27="No","Not Applicable",IF($M27="","Not Mapped",IF(AND(OR($W27="Implemented",$W27="Optimized"),$Z27="Validated",$AB27="Pass"),"Compliant",IF(AND(OR($W27="Partially Implemented",$W27="Implemented",$W27="Optimized"),OR($Z27="Reviewed",$Z27="Validated"),OR($AB27="Pass with Exceptions",$AB27="Pass")),"Partially Compliant","Not Compliant"))))</x:f>
        <x:v>Not Compliant</x:v>
      </x:c>
      <x:c r="AJ27" s="42" t="str">
        <x:f>IF($T27="No","Not Applicable",IF(AND($AG27="Meets CSA Level",$AH27="Compliant",$AI27="Compliant"),"CSA AISMM; NIST AI RMF; ISO/IEC 42001",IF(AND($AG27="Meets CSA Level",$AH27="Compliant"),"CSA AISMM; NIST AI RMF",IF(AND($AG27="Meets CSA Level",$AI27="Compliant"),"CSA AISMM; ISO/IEC 42001",IF(AND($AH27="Compliant",$AI27="Compliant"),"NIST AI RMF; ISO/IEC 42001",IF($AG27="Meets CSA Level","CSA AISMM",IF($AH27="Compliant","NIST AI RMF",IF($AI27="Compliant","ISO/IEC 42001","No mapped framework fully compliant"))))))))</x:f>
        <x:v>No mapped framework fully compliant</x:v>
      </x:c>
      <x:c r="AK27" s="42" t="str"/>
      <x:c r="AL27" s="46" t="str"/>
      <x:c r="AM27" s="42" t="str"/>
      <x:c r="AN27" s="42" t="str">
        <x:v>CSA AISMM uploaded workbook; NIST AI RMF Playbook uploaded workbook; ISO/IEC 42001 checklist uploaded PDF; official CSA/NIST/ISO web sources listed on Sources sheet</x:v>
      </x:c>
    </x:row>
    <x:row r="28" ht="90" customHeight="1">
      <x:c r="A28" s="42" t="str">
        <x:v>IAM</x:v>
      </x:c>
      <x:c r="B28" s="42" t="str">
        <x:v>IAM-04.2</x:v>
      </x:c>
      <x:c r="C28" s="42" t="n">
        <x:v>4</x:v>
      </x:c>
      <x:c r="D28" s="42" t="str">
        <x:v>IAM</x:v>
      </x:c>
      <x:c r="E28" s="42" t="str">
        <x:v>Dual-identity delegation and consent for on-behalf-of flows</x:v>
      </x:c>
      <x:c r="F28" s="42" t="str">
        <x:v>When an agent acts on behalf of a user in production, the authorization carries both identities, the agent's delegated scope is a strict subset of the user's, and consent is captured up front and revocable end-to-end. Mechanism varies by island (RFC 8693 token exchange for self-hosted, provider OBO primitives for PaaS, provider consent and delegation surfaces for SaaS), but every on-behalf-of action attributes back to both the agent and the delegating user.</x:v>
      </x:c>
      <x:c r="G28" s="42" t="str">
        <x:v>Automated</x:v>
      </x:c>
      <x:c r="H28" s="42" t="str">
        <x:v>All (mechanism varies: self-hosted uses OAuth Token Exchange; PaaS uses provider OBO primitives; SaaS uses provider-exposed consent and delegation surface)</x:v>
      </x:c>
      <x:c r="I28" s="42" t="str">
        <x:v>IAM-13 (uniquely identifiable users), IAM-16 (authorization mechanisms), IAM-11 (customer approval for privileged access)</x:v>
      </x:c>
      <x:c r="J28" s="42" t="str">
        <x:v>MANAGE 2</x:v>
      </x:c>
      <x:c r="K28" s="42" t="str">
        <x:v>MANAGE 2: Parent AI RMF category/function referenced; use associated subcategory rows for testable control language.</x:v>
      </x:c>
      <x:c r="L28" s="42" t="str">
        <x:v>Direct from AISMM external reference</x:v>
      </x:c>
      <x:c r="M28" s="42" t="str">
        <x:v>Annex A.6; Annex A.10</x:v>
      </x:c>
      <x:c r="N28" s="42" t="str">
        <x:v>Annex A.6 – AI system life cycle: Define responsible development objectives, specify verification and validation, maintain technical documentation, and record/maintain event logs during system use. Annex A.10 – Third-party and customer relationships: Define lifecycle responsibilities with third parties, manage AI suppliers, capture customer expectations, and review third-party roles through ongoing governance.</x:v>
      </x:c>
      <x:c r="O28" s="42" t="str">
        <x:v>Derived by control theme/domain</x:v>
      </x:c>
      <x:c r="P28" s="42" t="str">
        <x:v>Use this row as a control objective to assess current state, define target maturity, collect evidence, and remediate gaps.</x:v>
      </x:c>
      <x:c r="Q28" s="42" t="str">
        <x:v>RFC 8693 (OAuth 2.0 Token Exchange) `act` claim pattern, draft-oauth-ai-agents-on-behalf-of-user, OWASP ASI03, ASI09 (Human-Agent Trust Exploitation), NIST AI RMF MANAGE-2</x:v>
      </x:c>
      <x:c r="R28" s="42" t="str">
        <x:v>IAM policy; privileged access records; role definitions; SSO/MFA enforcement; service account inventory; access reviews; joiner/mover/leaver records; secrets management evidence.</x:v>
      </x:c>
      <x:c r="S28" s="42" t="str">
        <x:v>Sample users and service accounts; verify least privilege, MFA, approved access, periodic reviews, and timely removal; confirm secrets are stored and rotated securely.</x:v>
      </x:c>
      <x:c r="T28" s="42" t="str">
        <x:v>Yes</x:v>
      </x:c>
      <x:c r="U28" s="42" t="str"/>
      <x:c r="V28" s="42" t="str"/>
      <x:c r="W28" s="42" t="str">
        <x:v>Not Assessed</x:v>
      </x:c>
      <x:c r="X28" s="44" t="n">
        <x:v>0</x:v>
      </x:c>
      <x:c r="Y28" s="44" t="n">
        <x:v>4</x:v>
      </x:c>
      <x:c r="Z28" s="42" t="str">
        <x:v>Not Provided</x:v>
      </x:c>
      <x:c r="AA28" s="42" t="str"/>
      <x:c r="AB28" s="42" t="str">
        <x:v>Not Tested</x:v>
      </x:c>
      <x:c r="AC28" s="46" t="str"/>
      <x:c r="AD28" s="42" t="str"/>
      <x:c r="AE28" s="42" t="str">
        <x:v>Not Assessed</x:v>
      </x:c>
      <x:c r="AF28" s="42" t="n">
        <x:f>IF($T28="No","",MAX(0,$Y28-$X28))</x:f>
        <x:v>4</x:v>
      </x:c>
      <x:c r="AG28" s="42" t="str">
        <x:f>IF($T28="No","Not Applicable",IF($X28&gt;=$C28,"Meets CSA Level","Gap to CSA Level"))</x:f>
        <x:v>Gap to CSA Level</x:v>
      </x:c>
      <x:c r="AH28" s="42" t="str">
        <x:f>IF($T28="No","Not Applicable",IF($J28="","Not Mapped",IF(AND(OR($W28="Implemented",$W28="Optimized"),$Z28="Validated",$AB28="Pass"),"Compliant",IF(AND(OR($W28="Partially Implemented",$W28="Implemented",$W28="Optimized"),OR($Z28="Reviewed",$Z28="Validated"),OR($AB28="Pass with Exceptions",$AB28="Pass")),"Partially Compliant","Not Compliant"))))</x:f>
        <x:v>Not Compliant</x:v>
      </x:c>
      <x:c r="AI28" s="42" t="str">
        <x:f>IF($T28="No","Not Applicable",IF($M28="","Not Mapped",IF(AND(OR($W28="Implemented",$W28="Optimized"),$Z28="Validated",$AB28="Pass"),"Compliant",IF(AND(OR($W28="Partially Implemented",$W28="Implemented",$W28="Optimized"),OR($Z28="Reviewed",$Z28="Validated"),OR($AB28="Pass with Exceptions",$AB28="Pass")),"Partially Compliant","Not Compliant"))))</x:f>
        <x:v>Not Compliant</x:v>
      </x:c>
      <x:c r="AJ28" s="42" t="str">
        <x:f>IF($T28="No","Not Applicable",IF(AND($AG28="Meets CSA Level",$AH28="Compliant",$AI28="Compliant"),"CSA AISMM; NIST AI RMF; ISO/IEC 42001",IF(AND($AG28="Meets CSA Level",$AH28="Compliant"),"CSA AISMM; NIST AI RMF",IF(AND($AG28="Meets CSA Level",$AI28="Compliant"),"CSA AISMM; ISO/IEC 42001",IF(AND($AH28="Compliant",$AI28="Compliant"),"NIST AI RMF; ISO/IEC 42001",IF($AG28="Meets CSA Level","CSA AISMM",IF($AH28="Compliant","NIST AI RMF",IF($AI28="Compliant","ISO/IEC 42001","No mapped framework fully compliant"))))))))</x:f>
        <x:v>No mapped framework fully compliant</x:v>
      </x:c>
      <x:c r="AK28" s="42" t="str"/>
      <x:c r="AL28" s="46" t="str"/>
      <x:c r="AM28" s="42" t="str"/>
      <x:c r="AN28" s="42" t="str">
        <x:v>CSA AISMM uploaded workbook; NIST AI RMF Playbook uploaded workbook; ISO/IEC 42001 checklist uploaded PDF; official CSA/NIST/ISO web sources listed on Sources sheet</x:v>
      </x:c>
    </x:row>
    <x:row r="29" ht="90" customHeight="1">
      <x:c r="A29" s="42" t="str">
        <x:v>IAM</x:v>
      </x:c>
      <x:c r="B29" s="42" t="str">
        <x:v>IAM-04.3</x:v>
      </x:c>
      <x:c r="C29" s="42" t="n">
        <x:v>4</x:v>
      </x:c>
      <x:c r="D29" s="42" t="str">
        <x:v>IAM</x:v>
      </x:c>
      <x:c r="E29" s="42" t="str">
        <x:v>MCP and tool authorization with fine-grained scopes and deny-by-default</x:v>
      </x:c>
      <x:c r="F29" s="42" t="str">
        <x:v>95% of MCP servers and AI tool integrations authorize requests against fine-grained scopes defined per operation (read vs. write, per-resource, per-action) rather than per-tool. For self-hosted and PaaS deployments, authorization policy is expressed as code (Cedar, OPA/Rego, or equivalent) stored in version control, with a deny-by-default posture, and enforcement occurs at a policy-decision point like MCP server or gateway. For SaaS, implement least privilege using the mechanisms available in the provider (e.g. Microsoft Purview Restricted SharePoint Search). Wildcard scopes (`*`, `tool:*`, `resource:*`) are prohibited in production policy.</x:v>
      </x:c>
      <x:c r="G29" s="42" t="str">
        <x:v>Automated</x:v>
      </x:c>
      <x:c r="H29" s="42" t="str">
        <x:v>All (self-hosted/PaaS via policy-as-code at a policy-decision point; pure SaaS-consumer orgs via provider-native restricted-scope configuration hardened to standard — see SaaS variant in description)</x:v>
      </x:c>
      <x:c r="I29" s="42" t="str">
        <x:v>IAM-16 (authorization mechanisms), IAM-19 (agent access restriction), IAM-05 (least privilege), IAM-04 (separation of duties)</x:v>
      </x:c>
      <x:c r="J29" s="42" t="str">
        <x:v>GOVERN 1.4; MAP 4.1; MANAGE 2.3; MANAGE 4.1</x:v>
      </x:c>
      <x:c r="K29" s="42" t="str">
        <x:v>GOVERN 1.4: - Establish and regularly review documentation policies that, among others, address information related to: - AI actors contact informations - Business justification - Scope and usages - Expected and potential risks and impacts - Assumptions and limitations - Description and characterization of training data - Algorithmic methodology - Evaluated alternative approaches - Description of output data - Testing and validation results (including explanatory visualizations and information) - Down- and up-stream dependencies - Plans for deployment, monitoring, and change management - Stakeholder engagement plans - Verify documentation policies for AI systems are standardized across the organization and remain current. - Establish policies for a model documentation inventory system and regularly review its completeness, usability, and efficacy.… MAP 4.1: - Review audit reports, testing results, product roadmaps, warranties, terms of service, end user license agreements, contracts, and other documentation related to third-party entities to assist in value assessment and risk management activities. - Review third-party software release schedules and software change management plans (hotfixes, patches, updates, forward- and backward- compatibility guarantees) for irregularities that may contribute to AI system risks. - Inventory third-party material (hardware, open-source software, foundation models, open source data, proprietary software, proprietary data, etc.) required for system implementation and maintenance. - Review redundancies related to third-party technology and personnel to assess potential risks due to lack of adequate support. MANAGE 2.3: - Protocols, resources, and metrics are in place for continual monitoring of AI systems’ performance, trustworthiness, and alignment with contextual norms and values - Establish and regularly review treatment and response plans for incidents, negative impacts, or outcomes. - Establish and maintain procedures to regularly monitor system components for drift, decontextualization, or other AI system behavior factors, - Establish and maintain procedures for capturing feedback about negative impacts. - Verify contingency processes to handle any negative impacts associated with mission-critical AI systems, and to deactivate systems. - Enable preventive and post-hoc exploration of AI system limitations by relevant AI actor groups. - Decommission systems that exceed risk tolerances. MANAGE 4.1: - Establish and maintain procedures to monitor AI system performance for risks and negative and positive impacts associated with trustworthiness characteristics. - Perform post-deployment TEVV tasks to evaluate AI system validity and reliability, bias and fairness, privacy, and security and resilience. - Evaluate AI system trustworthiness in conditions similar to deployment context of use, and prior to deployment. - Establish and implement red-teaming exercises at a prescribed cadence, and evaluate their efficacy…</x:v>
      </x:c>
      <x:c r="L29" s="42" t="str">
        <x:v>Derived by CSA domain/theme</x:v>
      </x:c>
      <x:c r="M29" s="42" t="str">
        <x:v>Annex A.2; Annex A.4; Annex A.6; Annex A.9; Annex A.10</x:v>
      </x:c>
      <x:c r="N29" s="42" t="str">
        <x:v>Annex A.2 – Policies related to AI: Document and approve AI policy, include responsible AI principles and continual improvement, review policy regularly, and align it to other relevant organizational policies. Annex A.4 – Resources for AI systems: Maintain a register of AI resources including data, tools, systems, people, tooling, compute resources, and relevant operational/environmental impacts. Annex A.6 – AI system life cycle: Define responsible development objectives, specify verification and validation, maintain technical documentation, and record/maintain event logs during system use. Annex A.9 – Use of AI systems: Define responsible AI use processes, ethical/appropriate-use objectives, intended-purpose usage boundaries, and monitoring/remediation for misuse or unintended consequences. Annex A.10 – Third-party and customer relationships: Define lifecycle responsibilities with third parties, manage AI suppliers, capture customer expectations, and review third-party roles through ongoing governance.</x:v>
      </x:c>
      <x:c r="O29" s="42" t="str">
        <x:v>Derived by control theme/domain</x:v>
      </x:c>
      <x:c r="P29" s="42" t="str">
        <x:v>Use this row as a control objective to assess current state, define target maturity, collect evidence, and remediate gaps.</x:v>
      </x:c>
      <x:c r="Q29" s="42" t="str">
        <x:v>MCP Authorization spec (OAuth 2.1 + RFC 8707 Resource Indicators), OAuth 2.0 scope best practices, Cedar policy language (AWS Verified Permissions / AgentCore), OPA/Rego, OWASP ASI02 (Tool Misuse)</x:v>
      </x:c>
      <x:c r="R29" s="42" t="str">
        <x:v>IAM policy; privileged access records; role definitions; SSO/MFA enforcement; service account inventory; access reviews; joiner/mover/leaver records; secrets management evidence.</x:v>
      </x:c>
      <x:c r="S29" s="42" t="str">
        <x:v>Sample users and service accounts; verify least privilege, MFA, approved access, periodic reviews, and timely removal; confirm secrets are stored and rotated securely.</x:v>
      </x:c>
      <x:c r="T29" s="42" t="str">
        <x:v>Yes</x:v>
      </x:c>
      <x:c r="U29" s="42" t="str"/>
      <x:c r="V29" s="42" t="str"/>
      <x:c r="W29" s="42" t="str">
        <x:v>Not Assessed</x:v>
      </x:c>
      <x:c r="X29" s="44" t="n">
        <x:v>0</x:v>
      </x:c>
      <x:c r="Y29" s="44" t="n">
        <x:v>4</x:v>
      </x:c>
      <x:c r="Z29" s="42" t="str">
        <x:v>Not Provided</x:v>
      </x:c>
      <x:c r="AA29" s="42" t="str"/>
      <x:c r="AB29" s="42" t="str">
        <x:v>Not Tested</x:v>
      </x:c>
      <x:c r="AC29" s="46" t="str"/>
      <x:c r="AD29" s="42" t="str"/>
      <x:c r="AE29" s="42" t="str">
        <x:v>Not Assessed</x:v>
      </x:c>
      <x:c r="AF29" s="42" t="n">
        <x:f>IF($T29="No","",MAX(0,$Y29-$X29))</x:f>
        <x:v>4</x:v>
      </x:c>
      <x:c r="AG29" s="42" t="str">
        <x:f>IF($T29="No","Not Applicable",IF($X29&gt;=$C29,"Meets CSA Level","Gap to CSA Level"))</x:f>
        <x:v>Gap to CSA Level</x:v>
      </x:c>
      <x:c r="AH29" s="42" t="str">
        <x:f>IF($T29="No","Not Applicable",IF($J29="","Not Mapped",IF(AND(OR($W29="Implemented",$W29="Optimized"),$Z29="Validated",$AB29="Pass"),"Compliant",IF(AND(OR($W29="Partially Implemented",$W29="Implemented",$W29="Optimized"),OR($Z29="Reviewed",$Z29="Validated"),OR($AB29="Pass with Exceptions",$AB29="Pass")),"Partially Compliant","Not Compliant"))))</x:f>
        <x:v>Not Compliant</x:v>
      </x:c>
      <x:c r="AI29" s="42" t="str">
        <x:f>IF($T29="No","Not Applicable",IF($M29="","Not Mapped",IF(AND(OR($W29="Implemented",$W29="Optimized"),$Z29="Validated",$AB29="Pass"),"Compliant",IF(AND(OR($W29="Partially Implemented",$W29="Implemented",$W29="Optimized"),OR($Z29="Reviewed",$Z29="Validated"),OR($AB29="Pass with Exceptions",$AB29="Pass")),"Partially Compliant","Not Compliant"))))</x:f>
        <x:v>Not Compliant</x:v>
      </x:c>
      <x:c r="AJ29" s="42" t="str">
        <x:f>IF($T29="No","Not Applicable",IF(AND($AG29="Meets CSA Level",$AH29="Compliant",$AI29="Compliant"),"CSA AISMM; NIST AI RMF; ISO/IEC 42001",IF(AND($AG29="Meets CSA Level",$AH29="Compliant"),"CSA AISMM; NIST AI RMF",IF(AND($AG29="Meets CSA Level",$AI29="Compliant"),"CSA AISMM; ISO/IEC 42001",IF(AND($AH29="Compliant",$AI29="Compliant"),"NIST AI RMF; ISO/IEC 42001",IF($AG29="Meets CSA Level","CSA AISMM",IF($AH29="Compliant","NIST AI RMF",IF($AI29="Compliant","ISO/IEC 42001","No mapped framework fully compliant"))))))))</x:f>
        <x:v>No mapped framework fully compliant</x:v>
      </x:c>
      <x:c r="AK29" s="42" t="str"/>
      <x:c r="AL29" s="46" t="str"/>
      <x:c r="AM29" s="42" t="str"/>
      <x:c r="AN29" s="42" t="str">
        <x:v>CSA AISMM uploaded workbook; NIST AI RMF Playbook uploaded workbook; ISO/IEC 42001 checklist uploaded PDF; official CSA/NIST/ISO web sources listed on Sources sheet</x:v>
      </x:c>
    </x:row>
    <x:row r="30" ht="90" customHeight="1">
      <x:c r="A30" s="42" t="str">
        <x:v>IAM</x:v>
      </x:c>
      <x:c r="B30" s="42" t="str">
        <x:v>IAM-05.1</x:v>
      </x:c>
      <x:c r="C30" s="42" t="n">
        <x:v>5</x:v>
      </x:c>
      <x:c r="D30" s="42" t="str">
        <x:v>IAM</x:v>
      </x:c>
      <x:c r="E30" s="42" t="str">
        <x:v>Just-in-time ephemeral credentials wired into the agent pipeline</x:v>
      </x:c>
      <x:c r="F30" s="42" t="str">
        <x:v>Production AI agent credentials are short-lived and issued just-in-time by the identity platform, with provisioning, scoping, and revocation wired into the agent deployment pipeline. Human-in-the-Loop JIT for agents is available for applications with that use case. Long-lived static credentials exist only as time-bounded exceptions with executive sign-off and a compensating control.</x:v>
      </x:c>
      <x:c r="G30" s="42" t="str">
        <x:v>Automated</x:v>
      </x:c>
      <x:c r="H30" s="42" t="str">
        <x:v>All (mechanism differs: self-hosted via STS/Vault dynamic secrets; PaaS via provider short-lived tokens; SaaS via provider consent-token lifetime policy)</x:v>
      </x:c>
      <x:c r="I30" s="42" t="str">
        <x:v>IAM-10 (management of privileged access roles — time-limited), IAM-15 (secrets management), IAM-07 (access changes and revocation)</x:v>
      </x:c>
      <x:c r="J30" s="42" t="str">
        <x:v>MANAGE 3</x:v>
      </x:c>
      <x:c r="K30" s="42" t="str">
        <x:v>MANAGE 3: Parent AI RMF category/function referenced; use associated subcategory rows for testable control language.</x:v>
      </x:c>
      <x:c r="L30" s="42" t="str">
        <x:v>Direct from AISMM external reference</x:v>
      </x:c>
      <x:c r="M30" s="42" t="str">
        <x:v>Annex A.6; Annex A.9</x:v>
      </x:c>
      <x:c r="N30" s="42" t="str">
        <x:v>Annex A.6 – AI system life cycle: Define responsible development objectives, specify verification and validation, maintain technical documentation, and record/maintain event logs during system use. Annex A.9 – Use of AI systems: Define responsible AI use processes, ethical/appropriate-use objectives, intended-purpose usage boundaries, and monitoring/remediation for misuse or unintended consequences.</x:v>
      </x:c>
      <x:c r="O30" s="42" t="str">
        <x:v>Derived by control theme/domain</x:v>
      </x:c>
      <x:c r="P30" s="42" t="str">
        <x:v>Use this row as a control objective to assess current state, define target maturity, collect evidence, and remediate gaps.</x:v>
      </x:c>
      <x:c r="Q30" s="42" t="str">
        <x:v>OWASP ASI03 (Identity &amp; Privilege Abuse), NIST AI RMF MANAGE-3, NIST SP 800-207 (Zero Trust — ephemeral credentials), Auth0 Token Vault, HashiCorp Vault dynamic secrets</x:v>
      </x:c>
      <x:c r="R30" s="42" t="str">
        <x:v>IAM policy; privileged access records; role definitions; SSO/MFA enforcement; service account inventory; access reviews; joiner/mover/leaver records; secrets management evidence.</x:v>
      </x:c>
      <x:c r="S30" s="42" t="str">
        <x:v>Sample users and service accounts; verify least privilege, MFA, approved access, periodic reviews, and timely removal; confirm secrets are stored and rotated securely.</x:v>
      </x:c>
      <x:c r="T30" s="42" t="str">
        <x:v>Yes</x:v>
      </x:c>
      <x:c r="U30" s="42" t="str"/>
      <x:c r="V30" s="42" t="str"/>
      <x:c r="W30" s="42" t="str">
        <x:v>Not Assessed</x:v>
      </x:c>
      <x:c r="X30" s="44" t="n">
        <x:v>0</x:v>
      </x:c>
      <x:c r="Y30" s="44" t="n">
        <x:v>5</x:v>
      </x:c>
      <x:c r="Z30" s="42" t="str">
        <x:v>Not Provided</x:v>
      </x:c>
      <x:c r="AA30" s="42" t="str"/>
      <x:c r="AB30" s="42" t="str">
        <x:v>Not Tested</x:v>
      </x:c>
      <x:c r="AC30" s="46" t="str"/>
      <x:c r="AD30" s="42" t="str"/>
      <x:c r="AE30" s="42" t="str">
        <x:v>Not Assessed</x:v>
      </x:c>
      <x:c r="AF30" s="42" t="n">
        <x:f>IF($T30="No","",MAX(0,$Y30-$X30))</x:f>
        <x:v>5</x:v>
      </x:c>
      <x:c r="AG30" s="42" t="str">
        <x:f>IF($T30="No","Not Applicable",IF($X30&gt;=$C30,"Meets CSA Level","Gap to CSA Level"))</x:f>
        <x:v>Gap to CSA Level</x:v>
      </x:c>
      <x:c r="AH30" s="42" t="str">
        <x:f>IF($T30="No","Not Applicable",IF($J30="","Not Mapped",IF(AND(OR($W30="Implemented",$W30="Optimized"),$Z30="Validated",$AB30="Pass"),"Compliant",IF(AND(OR($W30="Partially Implemented",$W30="Implemented",$W30="Optimized"),OR($Z30="Reviewed",$Z30="Validated"),OR($AB30="Pass with Exceptions",$AB30="Pass")),"Partially Compliant","Not Compliant"))))</x:f>
        <x:v>Not Compliant</x:v>
      </x:c>
      <x:c r="AI30" s="42" t="str">
        <x:f>IF($T30="No","Not Applicable",IF($M30="","Not Mapped",IF(AND(OR($W30="Implemented",$W30="Optimized"),$Z30="Validated",$AB30="Pass"),"Compliant",IF(AND(OR($W30="Partially Implemented",$W30="Implemented",$W30="Optimized"),OR($Z30="Reviewed",$Z30="Validated"),OR($AB30="Pass with Exceptions",$AB30="Pass")),"Partially Compliant","Not Compliant"))))</x:f>
        <x:v>Not Compliant</x:v>
      </x:c>
      <x:c r="AJ30" s="42" t="str">
        <x:f>IF($T30="No","Not Applicable",IF(AND($AG30="Meets CSA Level",$AH30="Compliant",$AI30="Compliant"),"CSA AISMM; NIST AI RMF; ISO/IEC 42001",IF(AND($AG30="Meets CSA Level",$AH30="Compliant"),"CSA AISMM; NIST AI RMF",IF(AND($AG30="Meets CSA Level",$AI30="Compliant"),"CSA AISMM; ISO/IEC 42001",IF(AND($AH30="Compliant",$AI30="Compliant"),"NIST AI RMF; ISO/IEC 42001",IF($AG30="Meets CSA Level","CSA AISMM",IF($AH30="Compliant","NIST AI RMF",IF($AI30="Compliant","ISO/IEC 42001","No mapped framework fully compliant"))))))))</x:f>
        <x:v>No mapped framework fully compliant</x:v>
      </x:c>
      <x:c r="AK30" s="42" t="str"/>
      <x:c r="AL30" s="46" t="str"/>
      <x:c r="AM30" s="42" t="str"/>
      <x:c r="AN30" s="42" t="str">
        <x:v>CSA AISMM uploaded workbook; NIST AI RMF Playbook uploaded workbook; ISO/IEC 42001 checklist uploaded PDF; official CSA/NIST/ISO web sources listed on Sources sheet</x:v>
      </x:c>
    </x:row>
    <x:row r="31" ht="90" customHeight="1">
      <x:c r="A31" s="42" t="str">
        <x:v>IAM</x:v>
      </x:c>
      <x:c r="B31" s="42" t="str">
        <x:v>IAM-05.2</x:v>
      </x:c>
      <x:c r="C31" s="42" t="n">
        <x:v>5</x:v>
      </x:c>
      <x:c r="D31" s="42" t="str">
        <x:v>IAM</x:v>
      </x:c>
      <x:c r="E31" s="42" t="str">
        <x:v>Delegation-chain validation in multi-agent workflows</x:v>
      </x:c>
      <x:c r="F31" s="42" t="str">
        <x:v>In production multi-agent workflows, every hop preserves the full delegation chain and reduces (rather than expands) authority, with scope-expansion attempts denied and logged. The chain from user intent through every agent hop to the final resource action is reconstructible end-to-end, and SaaS gaps where provider records cannot carry the chain are tracked rather than hidden.</x:v>
      </x:c>
      <x:c r="G31" s="42" t="str">
        <x:v>Automated</x:v>
      </x:c>
      <x:c r="H31" s="42" t="str">
        <x:v>All (self-hosted and PaaS implement via token-exchange chains and policy-as-code; SaaS implements via provider-native agent-to-agent delegation surface where available, with gaps tracked)</x:v>
      </x:c>
      <x:c r="I31" s="42" t="str">
        <x:v>IAM-16 (authorization mechanisms), IAM-04 (separation of duties), IAM-09 (segregation of privileged access), IAM-12 (log integrity)</x:v>
      </x:c>
      <x:c r="J31" s="42" t="str">
        <x:v>MANAGE 2</x:v>
      </x:c>
      <x:c r="K31" s="42" t="str">
        <x:v>MANAGE 2: Parent AI RMF category/function referenced; use associated subcategory rows for testable control language.</x:v>
      </x:c>
      <x:c r="L31" s="42" t="str">
        <x:v>Direct from AISMM external reference</x:v>
      </x:c>
      <x:c r="M31" s="42" t="str">
        <x:v>Annex A.4; Annex A.6; Annex A.10</x:v>
      </x:c>
      <x:c r="N31" s="42" t="str">
        <x:v>Annex A.4 – Resources for AI systems: Maintain a register of AI resources including data, tools, systems, people, tooling, compute resources, and relevant operational/environmental impacts. Annex A.6 – AI system life cycle: Define responsible development objectives, specify verification and validation, maintain technical documentation, and record/maintain event logs during system use. Annex A.10 – Third-party and customer relationships: Define lifecycle responsibilities with third parties, manage AI suppliers, capture customer expectations, and review third-party roles through ongoing governance.</x:v>
      </x:c>
      <x:c r="O31" s="42" t="str">
        <x:v>Derived by control theme/domain</x:v>
      </x:c>
      <x:c r="P31" s="42" t="str">
        <x:v>Use this row as a control objective to assess current state, define target maturity, collect evidence, and remediate gaps.</x:v>
      </x:c>
      <x:c r="Q31" s="42" t="str">
        <x:v>RFC 8693 token chaining with nested `act`, draft-oauth-ai-agents-on-behalf-of-user (single-hop coverage noted; multi-hop handled via RFC 8693), OWASP ASI03, ASI09 (Human-Agent Trust Exploitation), ASI10 (Rogue Agents), NIST AI RMF MANAGE-2</x:v>
      </x:c>
      <x:c r="R31" s="42" t="str">
        <x:v>IAM policy; privileged access records; role definitions; SSO/MFA enforcement; service account inventory; access reviews; joiner/mover/leaver records; secrets management evidence.</x:v>
      </x:c>
      <x:c r="S31" s="42" t="str">
        <x:v>Sample users and service accounts; verify least privilege, MFA, approved access, periodic reviews, and timely removal; confirm secrets are stored and rotated securely.</x:v>
      </x:c>
      <x:c r="T31" s="42" t="str">
        <x:v>Yes</x:v>
      </x:c>
      <x:c r="U31" s="42" t="str"/>
      <x:c r="V31" s="42" t="str"/>
      <x:c r="W31" s="42" t="str">
        <x:v>Not Assessed</x:v>
      </x:c>
      <x:c r="X31" s="44" t="n">
        <x:v>0</x:v>
      </x:c>
      <x:c r="Y31" s="44" t="n">
        <x:v>5</x:v>
      </x:c>
      <x:c r="Z31" s="42" t="str">
        <x:v>Not Provided</x:v>
      </x:c>
      <x:c r="AA31" s="42" t="str"/>
      <x:c r="AB31" s="42" t="str">
        <x:v>Not Tested</x:v>
      </x:c>
      <x:c r="AC31" s="46" t="str"/>
      <x:c r="AD31" s="42" t="str"/>
      <x:c r="AE31" s="42" t="str">
        <x:v>Not Assessed</x:v>
      </x:c>
      <x:c r="AF31" s="42" t="n">
        <x:f>IF($T31="No","",MAX(0,$Y31-$X31))</x:f>
        <x:v>5</x:v>
      </x:c>
      <x:c r="AG31" s="42" t="str">
        <x:f>IF($T31="No","Not Applicable",IF($X31&gt;=$C31,"Meets CSA Level","Gap to CSA Level"))</x:f>
        <x:v>Gap to CSA Level</x:v>
      </x:c>
      <x:c r="AH31" s="42" t="str">
        <x:f>IF($T31="No","Not Applicable",IF($J31="","Not Mapped",IF(AND(OR($W31="Implemented",$W31="Optimized"),$Z31="Validated",$AB31="Pass"),"Compliant",IF(AND(OR($W31="Partially Implemented",$W31="Implemented",$W31="Optimized"),OR($Z31="Reviewed",$Z31="Validated"),OR($AB31="Pass with Exceptions",$AB31="Pass")),"Partially Compliant","Not Compliant"))))</x:f>
        <x:v>Not Compliant</x:v>
      </x:c>
      <x:c r="AI31" s="42" t="str">
        <x:f>IF($T31="No","Not Applicable",IF($M31="","Not Mapped",IF(AND(OR($W31="Implemented",$W31="Optimized"),$Z31="Validated",$AB31="Pass"),"Compliant",IF(AND(OR($W31="Partially Implemented",$W31="Implemented",$W31="Optimized"),OR($Z31="Reviewed",$Z31="Validated"),OR($AB31="Pass with Exceptions",$AB31="Pass")),"Partially Compliant","Not Compliant"))))</x:f>
        <x:v>Not Compliant</x:v>
      </x:c>
      <x:c r="AJ31" s="42" t="str">
        <x:f>IF($T31="No","Not Applicable",IF(AND($AG31="Meets CSA Level",$AH31="Compliant",$AI31="Compliant"),"CSA AISMM; NIST AI RMF; ISO/IEC 42001",IF(AND($AG31="Meets CSA Level",$AH31="Compliant"),"CSA AISMM; NIST AI RMF",IF(AND($AG31="Meets CSA Level",$AI31="Compliant"),"CSA AISMM; ISO/IEC 42001",IF(AND($AH31="Compliant",$AI31="Compliant"),"NIST AI RMF; ISO/IEC 42001",IF($AG31="Meets CSA Level","CSA AISMM",IF($AH31="Compliant","NIST AI RMF",IF($AI31="Compliant","ISO/IEC 42001","No mapped framework fully compliant"))))))))</x:f>
        <x:v>No mapped framework fully compliant</x:v>
      </x:c>
      <x:c r="AK31" s="42" t="str"/>
      <x:c r="AL31" s="46" t="str"/>
      <x:c r="AM31" s="42" t="str"/>
      <x:c r="AN31" s="42" t="str">
        <x:v>CSA AISMM uploaded workbook; NIST AI RMF Playbook uploaded workbook; ISO/IEC 42001 checklist uploaded PDF; official CSA/NIST/ISO web sources listed on Sources sheet</x:v>
      </x:c>
    </x:row>
    <x:row r="32" ht="90" customHeight="1">
      <x:c r="A32" s="42" t="str">
        <x:v>IAM</x:v>
      </x:c>
      <x:c r="B32" s="42" t="str">
        <x:v>IAM-05.3</x:v>
      </x:c>
      <x:c r="C32" s="42" t="n">
        <x:v>5</x:v>
      </x:c>
      <x:c r="D32" s="42" t="str">
        <x:v>IAM</x:v>
      </x:c>
      <x:c r="E32" s="42" t="str">
        <x:v>Policy-as-code agent authorization with intent-binding</x:v>
      </x:c>
      <x:c r="F32" s="42" t="str">
        <x:v>Production agent authorization is engineered: policy-as-code in version control, the agent's declared task or user intent evaluated at the decision point so actions outside that intent are denied, and stale permissions retired automatically. SaaS-consumer organizations achieve the same posture through provider context and intent controls managed under the same engineering discipline.</x:v>
      </x:c>
      <x:c r="G32" s="42" t="str">
        <x:v>Automated</x:v>
      </x:c>
      <x:c r="H32" s="42" t="str">
        <x:v>All (self-hosted/PaaS via version-controlled policy-as-code; pure SaaS-consumer orgs via provider-native intent/context-based access controls hardened to standard — see SaaS variant in description)</x:v>
      </x:c>
      <x:c r="I32" s="42" t="str">
        <x:v>IAM-05 (least privilege), IAM-08 (user access review — continuous), IAM-16 (authorization mechanisms), IAM-18 (output modification and special authorization)</x:v>
      </x:c>
      <x:c r="J32" s="42" t="str">
        <x:v>GOVERN 1.4; GOVERN 1</x:v>
      </x:c>
      <x:c r="K32" s="42" t="str">
        <x:v>GOVERN 1.4: - Establish and regularly review documentation policies that, among others, address information related to: - AI actors contact informations - Business justification - Scope and usages - Expected and potential risks and impacts - Assumptions and limitations - Description and characterization of training data - Algorithmic methodology - Evaluated alternative approaches - Description of output data - Testing and validation results (including explanatory visualizations and information) - Down- and up-stream dependencies - Plans for deployment, monitoring, and change management - Stakeholder engagement plans - Verify documentation policies for AI systems are standardized across the organization and remain current. - Establish policies for a model documentation inventory system and regularly review its completeness, usability, and efficacy.…</x:v>
      </x:c>
      <x:c r="L32" s="42" t="str">
        <x:v>Direct from AISMM external reference</x:v>
      </x:c>
      <x:c r="M32" s="42" t="str">
        <x:v>Annex A.2; Annex A.6; Annex A.9; Annex A.10</x:v>
      </x:c>
      <x:c r="N32" s="42" t="str">
        <x:v>Annex A.2 – Policies related to AI: Document and approve AI policy, include responsible AI principles and continual improvement, review policy regularly, and align it to other relevant organizational policies. Annex A.6 – AI system life cycle: Define responsible development objectives, specify verification and validation, maintain technical documentation, and record/maintain event logs during system use. Annex A.9 – Use of AI systems: Define responsible AI use processes, ethical/appropriate-use objectives, intended-purpose usage boundaries, and monitoring/remediation for misuse or unintended consequences. Annex A.10 – Third-party and customer relationships: Define lifecycle responsibilities with third parties, manage AI suppliers, capture customer expectations, and review third-party roles through ongoing governance.</x:v>
      </x:c>
      <x:c r="O32" s="42" t="str">
        <x:v>Derived by control theme/domain</x:v>
      </x:c>
      <x:c r="P32" s="42" t="str">
        <x:v>Publish approved AI policy/standard; maintain attestation and exception workflow.</x:v>
      </x:c>
      <x:c r="Q32" s="42" t="str">
        <x:v>Cedar policy language, OPA/Rego, NIST AI RMF GOVERN-1.4, OWASP ASI02 (Tool Misuse), LLM06 (Excessive Agency)</x:v>
      </x:c>
      <x:c r="R32" s="42" t="str">
        <x:v>IAM policy; privileged access records; role definitions; SSO/MFA enforcement; service account inventory; access reviews; joiner/mover/leaver records; secrets management evidence.</x:v>
      </x:c>
      <x:c r="S32" s="42" t="str">
        <x:v>Sample users and service accounts; verify least privilege, MFA, approved access, periodic reviews, and timely removal; confirm secrets are stored and rotated securely.</x:v>
      </x:c>
      <x:c r="T32" s="42" t="str">
        <x:v>Yes</x:v>
      </x:c>
      <x:c r="U32" s="42" t="str"/>
      <x:c r="V32" s="42" t="str"/>
      <x:c r="W32" s="42" t="str">
        <x:v>Not Assessed</x:v>
      </x:c>
      <x:c r="X32" s="44" t="n">
        <x:v>0</x:v>
      </x:c>
      <x:c r="Y32" s="44" t="n">
        <x:v>5</x:v>
      </x:c>
      <x:c r="Z32" s="42" t="str">
        <x:v>Not Provided</x:v>
      </x:c>
      <x:c r="AA32" s="42" t="str"/>
      <x:c r="AB32" s="42" t="str">
        <x:v>Not Tested</x:v>
      </x:c>
      <x:c r="AC32" s="46" t="str"/>
      <x:c r="AD32" s="42" t="str"/>
      <x:c r="AE32" s="42" t="str">
        <x:v>Not Assessed</x:v>
      </x:c>
      <x:c r="AF32" s="42" t="n">
        <x:f>IF($T32="No","",MAX(0,$Y32-$X32))</x:f>
        <x:v>5</x:v>
      </x:c>
      <x:c r="AG32" s="42" t="str">
        <x:f>IF($T32="No","Not Applicable",IF($X32&gt;=$C32,"Meets CSA Level","Gap to CSA Level"))</x:f>
        <x:v>Gap to CSA Level</x:v>
      </x:c>
      <x:c r="AH32" s="42" t="str">
        <x:f>IF($T32="No","Not Applicable",IF($J32="","Not Mapped",IF(AND(OR($W32="Implemented",$W32="Optimized"),$Z32="Validated",$AB32="Pass"),"Compliant",IF(AND(OR($W32="Partially Implemented",$W32="Implemented",$W32="Optimized"),OR($Z32="Reviewed",$Z32="Validated"),OR($AB32="Pass with Exceptions",$AB32="Pass")),"Partially Compliant","Not Compliant"))))</x:f>
        <x:v>Not Compliant</x:v>
      </x:c>
      <x:c r="AI32" s="42" t="str">
        <x:f>IF($T32="No","Not Applicable",IF($M32="","Not Mapped",IF(AND(OR($W32="Implemented",$W32="Optimized"),$Z32="Validated",$AB32="Pass"),"Compliant",IF(AND(OR($W32="Partially Implemented",$W32="Implemented",$W32="Optimized"),OR($Z32="Reviewed",$Z32="Validated"),OR($AB32="Pass with Exceptions",$AB32="Pass")),"Partially Compliant","Not Compliant"))))</x:f>
        <x:v>Not Compliant</x:v>
      </x:c>
      <x:c r="AJ32" s="42" t="str">
        <x:f>IF($T32="No","Not Applicable",IF(AND($AG32="Meets CSA Level",$AH32="Compliant",$AI32="Compliant"),"CSA AISMM; NIST AI RMF; ISO/IEC 42001",IF(AND($AG32="Meets CSA Level",$AH32="Compliant"),"CSA AISMM; NIST AI RMF",IF(AND($AG32="Meets CSA Level",$AI32="Compliant"),"CSA AISMM; ISO/IEC 42001",IF(AND($AH32="Compliant",$AI32="Compliant"),"NIST AI RMF; ISO/IEC 42001",IF($AG32="Meets CSA Level","CSA AISMM",IF($AH32="Compliant","NIST AI RMF",IF($AI32="Compliant","ISO/IEC 42001","No mapped framework fully compliant"))))))))</x:f>
        <x:v>No mapped framework fully compliant</x:v>
      </x:c>
      <x:c r="AK32" s="42" t="str"/>
      <x:c r="AL32" s="46" t="str"/>
      <x:c r="AM32" s="42" t="str"/>
      <x:c r="AN32" s="42" t="str">
        <x:v>CSA AISMM uploaded workbook; NIST AI RMF Playbook uploaded workbook; ISO/IEC 42001 checklist uploaded PDF; official CSA/NIST/ISO web sources listed on Sources sheet</x:v>
      </x:c>
    </x:row>
    <x:row r="33" ht="90" customHeight="1">
      <x:c r="A33" s="42" t="str">
        <x:v>Security Monitoring</x:v>
      </x:c>
      <x:c r="B33" s="42" t="str">
        <x:v>MON-02.1</x:v>
      </x:c>
      <x:c r="C33" s="42" t="n">
        <x:v>2</x:v>
      </x:c>
      <x:c r="D33" s="42" t="str">
        <x:v>MON</x:v>
      </x:c>
      <x:c r="E33" s="42" t="str">
        <x:v>Provider-managed invocation telemetry across the AI platform footprint</x:v>
      </x:c>
      <x:c r="F33" s="42" t="str">
        <x:v>Provider-managed invocation logs are enabled, collected, and retained for every AI platform in the enterprise inventory. Coverage spans the full platform footprint rather than only the well-instrumented platforms, and token and cost telemetry gets a monthly look for billing and capacity anomalies.</x:v>
      </x:c>
      <x:c r="G33" s="42" t="str">
        <x:v>Automated</x:v>
      </x:c>
      <x:c r="H33" s="42" t="str">
        <x:v>All</x:v>
      </x:c>
      <x:c r="I33" s="42" t="str">
        <x:v>LOG-03 (security monitoring and alerting — baseline), LOG-04 (log records retention), LOG-07 (logging scope), LOG-08 (log records)</x:v>
      </x:c>
      <x:c r="J33" s="42" t="str">
        <x:v>MEASURE 2.7; MEASURE 2</x:v>
      </x:c>
      <x:c r="K33" s="42" t="str">
        <x:v>MEASURE 2.7: - Establish and track AI system security tests and metrics (e.g., red-teaming activities, frequency and rate of anomalous events, system down-time, incident response times, time-to-bypass, etc.). - Use red-team exercises to actively test the system under adversarial or stress conditions, measure system response, assess failure modes or determine if system can return to normal function after an unexpected adverse event. - Document red-team exercise results as part of continuous improvement efforts, including the range of security test conditions and results. - Use red-teaming exercises to evaluate potential mismatches between claimed and actual system performance. - Use countermeasures (e.g, authentication, throttling, differential privacy, robust ML approaches) to increase the range of security conditions under which the system is able to return to normal function.…</x:v>
      </x:c>
      <x:c r="L33" s="42" t="str">
        <x:v>Direct from AISMM external reference</x:v>
      </x:c>
      <x:c r="M33" s="42" t="str">
        <x:v>Annex A.4; Annex A.10</x:v>
      </x:c>
      <x:c r="N33" s="42" t="str">
        <x:v>Annex A.4 – Resources for AI systems: Maintain a register of AI resources including data, tools, systems, people, tooling, compute resources, and relevant operational/environmental impacts. Annex A.10 – Third-party and customer relationships: Define lifecycle responsibilities with third parties, manage AI suppliers, capture customer expectations, and review third-party roles through ongoing governance.</x:v>
      </x:c>
      <x:c r="O33" s="42" t="str">
        <x:v>Derived by control theme/domain</x:v>
      </x:c>
      <x:c r="P33" s="42" t="str">
        <x:v>Define log schema, retention, access controls, alerting, and incident triage integration. Tie provider/model/library onboarding to supplier risk, licensing, model/data provenance, and AI-BOM/SBOM records.</x:v>
      </x:c>
      <x:c r="Q33" s="42" t="str">
        <x:v>NIST AI RMF MEASURE-2.7, OpenTelemetry Semantic Conventions for GenAI</x:v>
      </x:c>
      <x:c r="R33" s="42" t="str">
        <x:v>Monitoring strategy; model performance dashboards; drift/bias monitoring; security logs; alert rules; KPI/KRI reporting; incident tickets; periodic review records.</x:v>
      </x:c>
      <x:c r="S33" s="42" t="str">
        <x:v>Review monitoring coverage for sampled systems; verify alerts trigger and are triaged; inspect monitoring dashboards and evidence that issues drive corrective action.</x:v>
      </x:c>
      <x:c r="T33" s="42" t="str">
        <x:v>Yes</x:v>
      </x:c>
      <x:c r="U33" s="42" t="str"/>
      <x:c r="V33" s="42" t="str"/>
      <x:c r="W33" s="42" t="str">
        <x:v>Not Assessed</x:v>
      </x:c>
      <x:c r="X33" s="44" t="n">
        <x:v>0</x:v>
      </x:c>
      <x:c r="Y33" s="44" t="n">
        <x:v>2</x:v>
      </x:c>
      <x:c r="Z33" s="42" t="str">
        <x:v>Not Provided</x:v>
      </x:c>
      <x:c r="AA33" s="42" t="str"/>
      <x:c r="AB33" s="42" t="str">
        <x:v>Not Tested</x:v>
      </x:c>
      <x:c r="AC33" s="46" t="str"/>
      <x:c r="AD33" s="42" t="str"/>
      <x:c r="AE33" s="42" t="str">
        <x:v>Not Assessed</x:v>
      </x:c>
      <x:c r="AF33" s="42" t="n">
        <x:f>IF($T33="No","",MAX(0,$Y33-$X33))</x:f>
        <x:v>2</x:v>
      </x:c>
      <x:c r="AG33" s="42" t="str">
        <x:f>IF($T33="No","Not Applicable",IF($X33&gt;=$C33,"Meets CSA Level","Gap to CSA Level"))</x:f>
        <x:v>Gap to CSA Level</x:v>
      </x:c>
      <x:c r="AH33" s="42" t="str">
        <x:f>IF($T33="No","Not Applicable",IF($J33="","Not Mapped",IF(AND(OR($W33="Implemented",$W33="Optimized"),$Z33="Validated",$AB33="Pass"),"Compliant",IF(AND(OR($W33="Partially Implemented",$W33="Implemented",$W33="Optimized"),OR($Z33="Reviewed",$Z33="Validated"),OR($AB33="Pass with Exceptions",$AB33="Pass")),"Partially Compliant","Not Compliant"))))</x:f>
        <x:v>Not Compliant</x:v>
      </x:c>
      <x:c r="AI33" s="42" t="str">
        <x:f>IF($T33="No","Not Applicable",IF($M33="","Not Mapped",IF(AND(OR($W33="Implemented",$W33="Optimized"),$Z33="Validated",$AB33="Pass"),"Compliant",IF(AND(OR($W33="Partially Implemented",$W33="Implemented",$W33="Optimized"),OR($Z33="Reviewed",$Z33="Validated"),OR($AB33="Pass with Exceptions",$AB33="Pass")),"Partially Compliant","Not Compliant"))))</x:f>
        <x:v>Not Compliant</x:v>
      </x:c>
      <x:c r="AJ33" s="42" t="str">
        <x:f>IF($T33="No","Not Applicable",IF(AND($AG33="Meets CSA Level",$AH33="Compliant",$AI33="Compliant"),"CSA AISMM; NIST AI RMF; ISO/IEC 42001",IF(AND($AG33="Meets CSA Level",$AH33="Compliant"),"CSA AISMM; NIST AI RMF",IF(AND($AG33="Meets CSA Level",$AI33="Compliant"),"CSA AISMM; ISO/IEC 42001",IF(AND($AH33="Compliant",$AI33="Compliant"),"NIST AI RMF; ISO/IEC 42001",IF($AG33="Meets CSA Level","CSA AISMM",IF($AH33="Compliant","NIST AI RMF",IF($AI33="Compliant","ISO/IEC 42001","No mapped framework fully compliant"))))))))</x:f>
        <x:v>No mapped framework fully compliant</x:v>
      </x:c>
      <x:c r="AK33" s="42" t="str"/>
      <x:c r="AL33" s="46" t="str"/>
      <x:c r="AM33" s="42" t="str"/>
      <x:c r="AN33" s="42" t="str">
        <x:v>CSA AISMM uploaded workbook; NIST AI RMF Playbook uploaded workbook; ISO/IEC 42001 checklist uploaded PDF; official CSA/NIST/ISO web sources listed on Sources sheet</x:v>
      </x:c>
    </x:row>
    <x:row r="34" ht="90" customHeight="1">
      <x:c r="A34" s="42" t="str">
        <x:v>Security Monitoring</x:v>
      </x:c>
      <x:c r="B34" s="42" t="str">
        <x:v>MON-02.2</x:v>
      </x:c>
      <x:c r="C34" s="42" t="n">
        <x:v>2</x:v>
      </x:c>
      <x:c r="D34" s="42" t="str">
        <x:v>MON</x:v>
      </x:c>
      <x:c r="E34" s="42" t="str">
        <x:v>Named owner for the AI logging pipeline</x:v>
      </x:c>
      <x:c r="F34" s="42" t="str">
        <x:v>A single named owner is accountable for AI logging coverage and maintains a register of platforms, log sources, retention, and storage that stays current as the AI estate changes. Raw AI logs are restricted to a named operations group rather than broadly readable.</x:v>
      </x:c>
      <x:c r="G34" s="42" t="str">
        <x:v>Manual</x:v>
      </x:c>
      <x:c r="H34" s="42" t="str">
        <x:v>All</x:v>
      </x:c>
      <x:c r="I34" s="42" t="str">
        <x:v>LOG-01 (logging and monitoring policy and procedures), LOG-02 (audit logs protection)</x:v>
      </x:c>
      <x:c r="J34" s="42" t="str">
        <x:v>GOVERN 2</x:v>
      </x:c>
      <x:c r="K34" s="42" t="str">
        <x:v>GOVERN 2: Parent AI RMF category/function referenced; use associated subcategory rows for testable control language.</x:v>
      </x:c>
      <x:c r="L34" s="42" t="str">
        <x:v>Direct from AISMM external reference</x:v>
      </x:c>
      <x:c r="M34" s="42" t="str">
        <x:v>Annex A.6; Annex A.7</x:v>
      </x:c>
      <x:c r="N34" s="42" t="str">
        <x:v>Annex A.6 – AI system life cycle: Define responsible development objectives, specify verification and validation, maintain technical documentation, and record/maintain event logs during system use. Annex A.7 – Data for AI systems: Maintain documented AI data management, identify sources and provenance, record intended use, define data quality requirements, and document/justify preparation methods.</x:v>
      </x:c>
      <x:c r="O34" s="42" t="str">
        <x:v>Derived by control theme/domain</x:v>
      </x:c>
      <x:c r="P34" s="42" t="str">
        <x:v>Define log schema, retention, access controls, alerting, and incident triage integration.</x:v>
      </x:c>
      <x:c r="Q34" s="42" t="str">
        <x:v>NIST AI RMF GOVERN-2</x:v>
      </x:c>
      <x:c r="R34" s="42" t="str">
        <x:v>Monitoring strategy; model performance dashboards; drift/bias monitoring; security logs; alert rules; KPI/KRI reporting; incident tickets; periodic review records.</x:v>
      </x:c>
      <x:c r="S34" s="42" t="str">
        <x:v>Review monitoring coverage for sampled systems; verify alerts trigger and are triaged; inspect monitoring dashboards and evidence that issues drive corrective action.</x:v>
      </x:c>
      <x:c r="T34" s="42" t="str">
        <x:v>Yes</x:v>
      </x:c>
      <x:c r="U34" s="42" t="str"/>
      <x:c r="V34" s="42" t="str"/>
      <x:c r="W34" s="42" t="str">
        <x:v>Not Assessed</x:v>
      </x:c>
      <x:c r="X34" s="44" t="n">
        <x:v>0</x:v>
      </x:c>
      <x:c r="Y34" s="44" t="n">
        <x:v>2</x:v>
      </x:c>
      <x:c r="Z34" s="42" t="str">
        <x:v>Not Provided</x:v>
      </x:c>
      <x:c r="AA34" s="42" t="str"/>
      <x:c r="AB34" s="42" t="str">
        <x:v>Not Tested</x:v>
      </x:c>
      <x:c r="AC34" s="46" t="str"/>
      <x:c r="AD34" s="42" t="str"/>
      <x:c r="AE34" s="42" t="str">
        <x:v>Not Assessed</x:v>
      </x:c>
      <x:c r="AF34" s="42" t="n">
        <x:f>IF($T34="No","",MAX(0,$Y34-$X34))</x:f>
        <x:v>2</x:v>
      </x:c>
      <x:c r="AG34" s="42" t="str">
        <x:f>IF($T34="No","Not Applicable",IF($X34&gt;=$C34,"Meets CSA Level","Gap to CSA Level"))</x:f>
        <x:v>Gap to CSA Level</x:v>
      </x:c>
      <x:c r="AH34" s="42" t="str">
        <x:f>IF($T34="No","Not Applicable",IF($J34="","Not Mapped",IF(AND(OR($W34="Implemented",$W34="Optimized"),$Z34="Validated",$AB34="Pass"),"Compliant",IF(AND(OR($W34="Partially Implemented",$W34="Implemented",$W34="Optimized"),OR($Z34="Reviewed",$Z34="Validated"),OR($AB34="Pass with Exceptions",$AB34="Pass")),"Partially Compliant","Not Compliant"))))</x:f>
        <x:v>Not Compliant</x:v>
      </x:c>
      <x:c r="AI34" s="42" t="str">
        <x:f>IF($T34="No","Not Applicable",IF($M34="","Not Mapped",IF(AND(OR($W34="Implemented",$W34="Optimized"),$Z34="Validated",$AB34="Pass"),"Compliant",IF(AND(OR($W34="Partially Implemented",$W34="Implemented",$W34="Optimized"),OR($Z34="Reviewed",$Z34="Validated"),OR($AB34="Pass with Exceptions",$AB34="Pass")),"Partially Compliant","Not Compliant"))))</x:f>
        <x:v>Not Compliant</x:v>
      </x:c>
      <x:c r="AJ34" s="42" t="str">
        <x:f>IF($T34="No","Not Applicable",IF(AND($AG34="Meets CSA Level",$AH34="Compliant",$AI34="Compliant"),"CSA AISMM; NIST AI RMF; ISO/IEC 42001",IF(AND($AG34="Meets CSA Level",$AH34="Compliant"),"CSA AISMM; NIST AI RMF",IF(AND($AG34="Meets CSA Level",$AI34="Compliant"),"CSA AISMM; ISO/IEC 42001",IF(AND($AH34="Compliant",$AI34="Compliant"),"NIST AI RMF; ISO/IEC 42001",IF($AG34="Meets CSA Level","CSA AISMM",IF($AH34="Compliant","NIST AI RMF",IF($AI34="Compliant","ISO/IEC 42001","No mapped framework fully compliant"))))))))</x:f>
        <x:v>No mapped framework fully compliant</x:v>
      </x:c>
      <x:c r="AK34" s="42" t="str"/>
      <x:c r="AL34" s="46" t="str"/>
      <x:c r="AM34" s="42" t="str"/>
      <x:c r="AN34" s="42" t="str">
        <x:v>CSA AISMM uploaded workbook; NIST AI RMF Playbook uploaded workbook; ISO/IEC 42001 checklist uploaded PDF; official CSA/NIST/ISO web sources listed on Sources sheet</x:v>
      </x:c>
    </x:row>
    <x:row r="35" ht="90" customHeight="1">
      <x:c r="A35" s="42" t="str">
        <x:v>Security Monitoring</x:v>
      </x:c>
      <x:c r="B35" s="42" t="str">
        <x:v>MON-03.1</x:v>
      </x:c>
      <x:c r="C35" s="42" t="n">
        <x:v>3</x:v>
      </x:c>
      <x:c r="D35" s="42" t="str">
        <x:v>MON</x:v>
      </x:c>
      <x:c r="E35" s="42" t="str">
        <x:v>Prompt, response, and agent-action telemetry centralized in the SIEM</x:v>
      </x:c>
      <x:c r="F35" s="42" t="str">
        <x:v>Prompts, responses, and agent tool and MCP invocations from high-criticality production AI deployments arrive in the enterprise SIEM under a documented schema, with sensitive data masked before persistence, or logs are encrypted and restricted. Exceptions are time-bound and carry named owners.</x:v>
      </x:c>
      <x:c r="G35" s="42" t="str">
        <x:v>Automated</x:v>
      </x:c>
      <x:c r="H35" s="42" t="str">
        <x:v>All</x:v>
      </x:c>
      <x:c r="I35" s="42" t="str">
        <x:v>LOG-03 (security monitoring and alerting), LOG-07 (logging scope), LOG-14 (input monitoring), LOG-15 (output monitoring), LOG-08 (log records)</x:v>
      </x:c>
      <x:c r="J35" s="42" t="str">
        <x:v>MEASURE 2.7; MEASURE 2</x:v>
      </x:c>
      <x:c r="K35" s="42" t="str">
        <x:v>MEASURE 2.7: - Establish and track AI system security tests and metrics (e.g., red-teaming activities, frequency and rate of anomalous events, system down-time, incident response times, time-to-bypass, etc.). - Use red-team exercises to actively test the system under adversarial or stress conditions, measure system response, assess failure modes or determine if system can return to normal function after an unexpected adverse event. - Document red-team exercise results as part of continuous improvement efforts, including the range of security test conditions and results. - Use red-teaming exercises to evaluate potential mismatches between claimed and actual system performance. - Use countermeasures (e.g, authentication, throttling, differential privacy, robust ML approaches) to increase the range of security conditions under which the system is able to return to normal function.…</x:v>
      </x:c>
      <x:c r="L35" s="42" t="str">
        <x:v>Direct from AISMM external reference</x:v>
      </x:c>
      <x:c r="M35" s="42" t="str">
        <x:v>Annex A.6; Annex A.7; Annex A.9</x:v>
      </x:c>
      <x:c r="N35" s="42" t="str">
        <x:v>Annex A.6 – AI system life cycle: Define responsible development objectives, specify verification and validation, maintain technical documentation, and record/maintain event logs during system use. Annex A.7 – Data for AI systems: Maintain documented AI data management, identify sources and provenance, record intended use, define data quality requirements, and document/justify preparation methods. Annex A.9 – Use of AI systems: Define responsible AI use processes, ethical/appropriate-use objectives, intended-purpose usage boundaries, and monitoring/remediation for misuse or unintended consequences.</x:v>
      </x:c>
      <x:c r="O35" s="42" t="str">
        <x:v>Derived by control theme/domain</x:v>
      </x:c>
      <x:c r="P35" s="42" t="str">
        <x:v>Define log schema, retention, access controls, alerting, and incident triage integration.</x:v>
      </x:c>
      <x:c r="Q35" s="42" t="str">
        <x:v>OWASP LLM02:2025 Sensitive Information Disclosure, OWASP ASI02 (Tool Misuse), OpenTelemetry Semantic Conventions for GenAI, NIST AI RMF MEASURE-2.7</x:v>
      </x:c>
      <x:c r="R35" s="42" t="str">
        <x:v>Monitoring strategy; model performance dashboards; drift/bias monitoring; security logs; alert rules; KPI/KRI reporting; incident tickets; periodic review records.</x:v>
      </x:c>
      <x:c r="S35" s="42" t="str">
        <x:v>Review monitoring coverage for sampled systems; verify alerts trigger and are triaged; inspect monitoring dashboards and evidence that issues drive corrective action.</x:v>
      </x:c>
      <x:c r="T35" s="42" t="str">
        <x:v>Yes</x:v>
      </x:c>
      <x:c r="U35" s="42" t="str"/>
      <x:c r="V35" s="42" t="str"/>
      <x:c r="W35" s="42" t="str">
        <x:v>Not Assessed</x:v>
      </x:c>
      <x:c r="X35" s="44" t="n">
        <x:v>0</x:v>
      </x:c>
      <x:c r="Y35" s="44" t="n">
        <x:v>3</x:v>
      </x:c>
      <x:c r="Z35" s="42" t="str">
        <x:v>Not Provided</x:v>
      </x:c>
      <x:c r="AA35" s="42" t="str"/>
      <x:c r="AB35" s="42" t="str">
        <x:v>Not Tested</x:v>
      </x:c>
      <x:c r="AC35" s="46" t="str"/>
      <x:c r="AD35" s="42" t="str"/>
      <x:c r="AE35" s="42" t="str">
        <x:v>Not Assessed</x:v>
      </x:c>
      <x:c r="AF35" s="42" t="n">
        <x:f>IF($T35="No","",MAX(0,$Y35-$X35))</x:f>
        <x:v>3</x:v>
      </x:c>
      <x:c r="AG35" s="42" t="str">
        <x:f>IF($T35="No","Not Applicable",IF($X35&gt;=$C35,"Meets CSA Level","Gap to CSA Level"))</x:f>
        <x:v>Gap to CSA Level</x:v>
      </x:c>
      <x:c r="AH35" s="42" t="str">
        <x:f>IF($T35="No","Not Applicable",IF($J35="","Not Mapped",IF(AND(OR($W35="Implemented",$W35="Optimized"),$Z35="Validated",$AB35="Pass"),"Compliant",IF(AND(OR($W35="Partially Implemented",$W35="Implemented",$W35="Optimized"),OR($Z35="Reviewed",$Z35="Validated"),OR($AB35="Pass with Exceptions",$AB35="Pass")),"Partially Compliant","Not Compliant"))))</x:f>
        <x:v>Not Compliant</x:v>
      </x:c>
      <x:c r="AI35" s="42" t="str">
        <x:f>IF($T35="No","Not Applicable",IF($M35="","Not Mapped",IF(AND(OR($W35="Implemented",$W35="Optimized"),$Z35="Validated",$AB35="Pass"),"Compliant",IF(AND(OR($W35="Partially Implemented",$W35="Implemented",$W35="Optimized"),OR($Z35="Reviewed",$Z35="Validated"),OR($AB35="Pass with Exceptions",$AB35="Pass")),"Partially Compliant","Not Compliant"))))</x:f>
        <x:v>Not Compliant</x:v>
      </x:c>
      <x:c r="AJ35" s="42" t="str">
        <x:f>IF($T35="No","Not Applicable",IF(AND($AG35="Meets CSA Level",$AH35="Compliant",$AI35="Compliant"),"CSA AISMM; NIST AI RMF; ISO/IEC 42001",IF(AND($AG35="Meets CSA Level",$AH35="Compliant"),"CSA AISMM; NIST AI RMF",IF(AND($AG35="Meets CSA Level",$AI35="Compliant"),"CSA AISMM; ISO/IEC 42001",IF(AND($AH35="Compliant",$AI35="Compliant"),"NIST AI RMF; ISO/IEC 42001",IF($AG35="Meets CSA Level","CSA AISMM",IF($AH35="Compliant","NIST AI RMF",IF($AI35="Compliant","ISO/IEC 42001","No mapped framework fully compliant"))))))))</x:f>
        <x:v>No mapped framework fully compliant</x:v>
      </x:c>
      <x:c r="AK35" s="42" t="str"/>
      <x:c r="AL35" s="46" t="str"/>
      <x:c r="AM35" s="42" t="str"/>
      <x:c r="AN35" s="42" t="str">
        <x:v>CSA AISMM uploaded workbook; NIST AI RMF Playbook uploaded workbook; ISO/IEC 42001 checklist uploaded PDF; official CSA/NIST/ISO web sources listed on Sources sheet</x:v>
      </x:c>
    </x:row>
    <x:row r="36" ht="90" customHeight="1">
      <x:c r="A36" s="42" t="str">
        <x:v>Security Monitoring</x:v>
      </x:c>
      <x:c r="B36" s="42" t="str">
        <x:v>MON-03.2</x:v>
      </x:c>
      <x:c r="C36" s="42" t="n">
        <x:v>3</x:v>
      </x:c>
      <x:c r="D36" s="42" t="str">
        <x:v>MON</x:v>
      </x:c>
      <x:c r="E36" s="42" t="str">
        <x:v>AI-specific detection content with routed alerts</x:v>
      </x:c>
      <x:c r="F36" s="42" t="str">
        <x:v>The SIEM runs AI-specific detection content covering guardrail violations, sensitive-data patterns in outputs, abnormal token or invocation volume, and unapproved or excessive tool use. Alerts route to a named on-call queue with a triage SLA, and the program shows confirmed true-positive activity rather than just rule presence.</x:v>
      </x:c>
      <x:c r="G36" s="42" t="str">
        <x:v>Automated</x:v>
      </x:c>
      <x:c r="H36" s="42" t="str">
        <x:v>All</x:v>
      </x:c>
      <x:c r="I36" s="42" t="str">
        <x:v>LOG-03 (security monitoring and alerting), LOG-05 (audit logs monitoring and response), LOG-13 (failures and anomalies reporting)</x:v>
      </x:c>
      <x:c r="J36" s="42" t="str">
        <x:v>MEASURE 2.5; MEASURE 3.1; MEASURE 4.1; MANAGE 4.1</x:v>
      </x:c>
      <x:c r="K36" s="42" t="str">
        <x:v>MEASURE 2.5: - Define the operating conditions and socio-technical context under which the AI system will be validated. - Define and document processes to establish the system’s operational conditions and limits. - Establish or identify, and document approaches to measure forms of validity, including: - construct validity (the test is measuring the concept it claims to measure) - internal validity (relationship being tested is not influenced by other factors or variables) - external validity (results are generalizable beyond the training condition) - the use of experimental design principles and statistical analyses and modeling. - Assess and document system variance. Standard approaches include confidence intervals, standard deviation, standard error, bootstrapping, or cross-validation. - Establish or identify, and document robustness measures.… MEASURE 3.1: - Compare AI system risks with: - simpler or traditional models - human baseline performance - other manual performance benchmarks - Compare end user and community feedback about deployed AI systems to internal measures of system performance. - Assess effectiveness of metrics for identifying and measuring emergent risks. - Measure error response times and track response quality. - Elicit and track feedback from AI actors in user support roles about the type of metrics, explanations and other system information required for fulsome resolution of system issues. Consider: - Instances where explanations are insufficient for investigating possible error sources or identifying responses. - System metrics, including system logs and explanations, for identifying and diagnosing sources of system error.… MEASURE 4.1: - Support mechanisms for capturing feedback from system end users (including domain experts, operators, and practitioners). Successful approaches are: - conducted in settings where end users are able to openly share their doubts and insights about AI system output, and in connection to their specific context of use (including setting and task-specific lines of inquiry) - developed and implemented by human-factors and socio-technical domain experts and researchers - designed to ensure control of interviewer and end user subjectivity and biases - Identify and document approaches - for evaluating and integrating elicited feedback from system end users - in collaboration with human-factors and socio-technical domain experts, - to actively inform a process of continual improvement. - Evaluate feedback from end users alongside evaluated feedback from impacted communities (MEASURE 3.3).… MANAGE 4.1: - Establish and maintain procedures to monitor AI system performance for risks and negative and positive impacts associated with trustworthiness characteristics. - Perform post-deployment TEVV tasks to evaluate AI system validity and reliability, bias and fairness, privacy, and security and resilience.…</x:v>
      </x:c>
      <x:c r="L36" s="42" t="str">
        <x:v>Derived by CSA domain/theme</x:v>
      </x:c>
      <x:c r="M36" s="42" t="str">
        <x:v>Annex A.6; Annex A.7; Annex A.9</x:v>
      </x:c>
      <x:c r="N36" s="42" t="str">
        <x:v>Annex A.6 – AI system life cycle: Define responsible development objectives, specify verification and validation, maintain technical documentation, and record/maintain event logs during system use. Annex A.7 – Data for AI systems: Maintain documented AI data management, identify sources and provenance, record intended use, define data quality requirements, and document/justify preparation methods. Annex A.9 – Use of AI systems: Define responsible AI use processes, ethical/appropriate-use objectives, intended-purpose usage boundaries, and monitoring/remediation for misuse or unintended consequences.</x:v>
      </x:c>
      <x:c r="O36" s="42" t="str">
        <x:v>Derived by control theme/domain</x:v>
      </x:c>
      <x:c r="P36" s="42" t="str">
        <x:v>Use this row as a control objective to assess current state, define target maturity, collect evidence, and remediate gaps.</x:v>
      </x:c>
      <x:c r="Q36" s="42" t="str">
        <x:v>OWASP LLM01:2025 Prompt Injection, OWASP LLM02:2025 Sensitive Information Disclosure, MITRE ATLAS, OWASP ASI01 (Agent Goal Hijack)</x:v>
      </x:c>
      <x:c r="R36" s="42" t="str">
        <x:v>Monitoring strategy; model performance dashboards; drift/bias monitoring; security logs; alert rules; KPI/KRI reporting; incident tickets; periodic review records.</x:v>
      </x:c>
      <x:c r="S36" s="42" t="str">
        <x:v>Review monitoring coverage for sampled systems; verify alerts trigger and are triaged; inspect monitoring dashboards and evidence that issues drive corrective action.</x:v>
      </x:c>
      <x:c r="T36" s="42" t="str">
        <x:v>Yes</x:v>
      </x:c>
      <x:c r="U36" s="42" t="str"/>
      <x:c r="V36" s="42" t="str"/>
      <x:c r="W36" s="42" t="str">
        <x:v>Not Assessed</x:v>
      </x:c>
      <x:c r="X36" s="44" t="n">
        <x:v>0</x:v>
      </x:c>
      <x:c r="Y36" s="44" t="n">
        <x:v>3</x:v>
      </x:c>
      <x:c r="Z36" s="42" t="str">
        <x:v>Not Provided</x:v>
      </x:c>
      <x:c r="AA36" s="42" t="str"/>
      <x:c r="AB36" s="42" t="str">
        <x:v>Not Tested</x:v>
      </x:c>
      <x:c r="AC36" s="46" t="str"/>
      <x:c r="AD36" s="42" t="str"/>
      <x:c r="AE36" s="42" t="str">
        <x:v>Not Assessed</x:v>
      </x:c>
      <x:c r="AF36" s="42" t="n">
        <x:f>IF($T36="No","",MAX(0,$Y36-$X36))</x:f>
        <x:v>3</x:v>
      </x:c>
      <x:c r="AG36" s="42" t="str">
        <x:f>IF($T36="No","Not Applicable",IF($X36&gt;=$C36,"Meets CSA Level","Gap to CSA Level"))</x:f>
        <x:v>Gap to CSA Level</x:v>
      </x:c>
      <x:c r="AH36" s="42" t="str">
        <x:f>IF($T36="No","Not Applicable",IF($J36="","Not Mapped",IF(AND(OR($W36="Implemented",$W36="Optimized"),$Z36="Validated",$AB36="Pass"),"Compliant",IF(AND(OR($W36="Partially Implemented",$W36="Implemented",$W36="Optimized"),OR($Z36="Reviewed",$Z36="Validated"),OR($AB36="Pass with Exceptions",$AB36="Pass")),"Partially Compliant","Not Compliant"))))</x:f>
        <x:v>Not Compliant</x:v>
      </x:c>
      <x:c r="AI36" s="42" t="str">
        <x:f>IF($T36="No","Not Applicable",IF($M36="","Not Mapped",IF(AND(OR($W36="Implemented",$W36="Optimized"),$Z36="Validated",$AB36="Pass"),"Compliant",IF(AND(OR($W36="Partially Implemented",$W36="Implemented",$W36="Optimized"),OR($Z36="Reviewed",$Z36="Validated"),OR($AB36="Pass with Exceptions",$AB36="Pass")),"Partially Compliant","Not Compliant"))))</x:f>
        <x:v>Not Compliant</x:v>
      </x:c>
      <x:c r="AJ36" s="42" t="str">
        <x:f>IF($T36="No","Not Applicable",IF(AND($AG36="Meets CSA Level",$AH36="Compliant",$AI36="Compliant"),"CSA AISMM; NIST AI RMF; ISO/IEC 42001",IF(AND($AG36="Meets CSA Level",$AH36="Compliant"),"CSA AISMM; NIST AI RMF",IF(AND($AG36="Meets CSA Level",$AI36="Compliant"),"CSA AISMM; ISO/IEC 42001",IF(AND($AH36="Compliant",$AI36="Compliant"),"NIST AI RMF; ISO/IEC 42001",IF($AG36="Meets CSA Level","CSA AISMM",IF($AH36="Compliant","NIST AI RMF",IF($AI36="Compliant","ISO/IEC 42001","No mapped framework fully compliant"))))))))</x:f>
        <x:v>No mapped framework fully compliant</x:v>
      </x:c>
      <x:c r="AK36" s="42" t="str"/>
      <x:c r="AL36" s="46" t="str"/>
      <x:c r="AM36" s="42" t="str"/>
      <x:c r="AN36" s="42" t="str">
        <x:v>CSA AISMM uploaded workbook; NIST AI RMF Playbook uploaded workbook; ISO/IEC 42001 checklist uploaded PDF; official CSA/NIST/ISO web sources listed on Sources sheet</x:v>
      </x:c>
    </x:row>
    <x:row r="37" ht="90" customHeight="1">
      <x:c r="A37" s="42" t="str">
        <x:v>Security Monitoring</x:v>
      </x:c>
      <x:c r="B37" s="42" t="str">
        <x:v>MON-04.1</x:v>
      </x:c>
      <x:c r="C37" s="42" t="n">
        <x:v>4</x:v>
      </x:c>
      <x:c r="D37" s="42" t="str">
        <x:v>MON</x:v>
      </x:c>
      <x:c r="E37" s="42" t="str">
        <x:v>End-to-end auditability for agent and delegation chains</x:v>
      </x:c>
      <x:c r="F37" s="42" t="str">
        <x:v>A randomly selected agent session can be reconstructed on demand from telemetry, showing user intent, agent reasoning, tool and MCP invocations, delegation hops, and downstream resource access in a single trace. Delegation chains carry originating user identity through IAM-issued credentials rather than synthesized correlation IDs. **N/A clause** applies for organizations with no agent deployments.</x:v>
      </x:c>
      <x:c r="G37" s="42" t="str">
        <x:v>Automated</x:v>
      </x:c>
      <x:c r="H37" s="42" t="str">
        <x:v>All (primary relevance to deployments using agent frameworks, MCP servers, or multi-agent orchestration)</x:v>
      </x:c>
      <x:c r="I37" s="42" t="str">
        <x:v>LOG-07 (logging scope), LOG-08 (log records), LOG-14 (input monitoring), LOG-15 (output monitoring)</x:v>
      </x:c>
      <x:c r="J37" s="42" t="str">
        <x:v>MEASURE 2.5; MEASURE 3.1; MEASURE 4.1; MANAGE 4.1</x:v>
      </x:c>
      <x:c r="K37" s="42" t="str">
        <x:v>MEASURE 2.5: - Define the operating conditions and socio-technical context under which the AI system will be validated. - Define and document processes to establish the system’s operational conditions and limits. - Establish or identify, and document approaches to measure forms of validity, including: - construct validity (the test is measuring the concept it claims to measure) - internal validity (relationship being tested is not influenced by other factors or variables) - external validity (results are generalizable beyond the training condition) - the use of experimental design principles and statistical analyses and modeling. - Assess and document system variance. Standard approaches include confidence intervals, standard deviation, standard error, bootstrapping, or cross-validation. - Establish or identify, and document robustness measures.… MEASURE 3.1: - Compare AI system risks with: - simpler or traditional models - human baseline performance - other manual performance benchmarks - Compare end user and community feedback about deployed AI systems to internal measures of system performance. - Assess effectiveness of metrics for identifying and measuring emergent risks. - Measure error response times and track response quality. - Elicit and track feedback from AI actors in user support roles about the type of metrics, explanations and other system information required for fulsome resolution of system issues. Consider: - Instances where explanations are insufficient for investigating possible error sources or identifying responses. - System metrics, including system logs and explanations, for identifying and diagnosing sources of system error.… MEASURE 4.1: - Support mechanisms for capturing feedback from system end users (including domain experts, operators, and practitioners). Successful approaches are: - conducted in settings where end users are able to openly share their doubts and insights about AI system output, and in connection to their specific context of use (including setting and task-specific lines of inquiry) - developed and implemented by human-factors and socio-technical domain experts and researchers - designed to ensure control of interviewer and end user subjectivity and biases - Identify and document approaches - for evaluating and integrating elicited feedback from system end users - in collaboration with human-factors and socio-technical domain experts, - to actively inform a process of continual improvement. - Evaluate feedback from end users alongside evaluated feedback from impacted communities (MEASURE 3.3).… MANAGE 4.1: - Establish and maintain procedures to monitor AI system performance for risks and negative and positive impacts associated with trustworthiness characteristics. - Perform post-deployment TEVV tasks to evaluate AI system validity and reliability, bias and fairness, privacy, and security and resilience.…</x:v>
      </x:c>
      <x:c r="L37" s="42" t="str">
        <x:v>Derived by CSA domain/theme</x:v>
      </x:c>
      <x:c r="M37" s="42" t="str">
        <x:v>Annex A.4; Annex A.6; Annex A.9</x:v>
      </x:c>
      <x:c r="N37" s="42" t="str">
        <x:v>Annex A.4 – Resources for AI systems: Maintain a register of AI resources including data, tools, systems, people, tooling, compute resources, and relevant operational/environmental impacts. Annex A.6 – AI system life cycle: Define responsible development objectives, specify verification and validation, maintain technical documentation, and record/maintain event logs during system use. Annex A.9 – Use of AI systems: Define responsible AI use processes, ethical/appropriate-use objectives, intended-purpose usage boundaries, and monitoring/remediation for misuse or unintended consequences.</x:v>
      </x:c>
      <x:c r="O37" s="42" t="str">
        <x:v>Derived by control theme/domain</x:v>
      </x:c>
      <x:c r="P37" s="42" t="str">
        <x:v>Use this row as a control objective to assess current state, define target maturity, collect evidence, and remediate gaps.</x:v>
      </x:c>
      <x:c r="Q37" s="42" t="str">
        <x:v>OWASP ASI02 (Tool Misuse), ASI05 (Cascading Trust Failures), ASI10 (Rogue Agents), OpenTelemetry distributed tracing for GenAI</x:v>
      </x:c>
      <x:c r="R37" s="42" t="str">
        <x:v>Monitoring strategy; model performance dashboards; drift/bias monitoring; security logs; alert rules; KPI/KRI reporting; incident tickets; periodic review records.</x:v>
      </x:c>
      <x:c r="S37" s="42" t="str">
        <x:v>Review monitoring coverage for sampled systems; verify alerts trigger and are triaged; inspect monitoring dashboards and evidence that issues drive corrective action.</x:v>
      </x:c>
      <x:c r="T37" s="42" t="str">
        <x:v>Yes</x:v>
      </x:c>
      <x:c r="U37" s="42" t="str"/>
      <x:c r="V37" s="42" t="str"/>
      <x:c r="W37" s="42" t="str">
        <x:v>Not Assessed</x:v>
      </x:c>
      <x:c r="X37" s="44" t="n">
        <x:v>0</x:v>
      </x:c>
      <x:c r="Y37" s="44" t="n">
        <x:v>4</x:v>
      </x:c>
      <x:c r="Z37" s="42" t="str">
        <x:v>Not Provided</x:v>
      </x:c>
      <x:c r="AA37" s="42" t="str"/>
      <x:c r="AB37" s="42" t="str">
        <x:v>Not Tested</x:v>
      </x:c>
      <x:c r="AC37" s="46" t="str"/>
      <x:c r="AD37" s="42" t="str"/>
      <x:c r="AE37" s="42" t="str">
        <x:v>Not Assessed</x:v>
      </x:c>
      <x:c r="AF37" s="42" t="n">
        <x:f>IF($T37="No","",MAX(0,$Y37-$X37))</x:f>
        <x:v>4</x:v>
      </x:c>
      <x:c r="AG37" s="42" t="str">
        <x:f>IF($T37="No","Not Applicable",IF($X37&gt;=$C37,"Meets CSA Level","Gap to CSA Level"))</x:f>
        <x:v>Gap to CSA Level</x:v>
      </x:c>
      <x:c r="AH37" s="42" t="str">
        <x:f>IF($T37="No","Not Applicable",IF($J37="","Not Mapped",IF(AND(OR($W37="Implemented",$W37="Optimized"),$Z37="Validated",$AB37="Pass"),"Compliant",IF(AND(OR($W37="Partially Implemented",$W37="Implemented",$W37="Optimized"),OR($Z37="Reviewed",$Z37="Validated"),OR($AB37="Pass with Exceptions",$AB37="Pass")),"Partially Compliant","Not Compliant"))))</x:f>
        <x:v>Not Compliant</x:v>
      </x:c>
      <x:c r="AI37" s="42" t="str">
        <x:f>IF($T37="No","Not Applicable",IF($M37="","Not Mapped",IF(AND(OR($W37="Implemented",$W37="Optimized"),$Z37="Validated",$AB37="Pass"),"Compliant",IF(AND(OR($W37="Partially Implemented",$W37="Implemented",$W37="Optimized"),OR($Z37="Reviewed",$Z37="Validated"),OR($AB37="Pass with Exceptions",$AB37="Pass")),"Partially Compliant","Not Compliant"))))</x:f>
        <x:v>Not Compliant</x:v>
      </x:c>
      <x:c r="AJ37" s="42" t="str">
        <x:f>IF($T37="No","Not Applicable",IF(AND($AG37="Meets CSA Level",$AH37="Compliant",$AI37="Compliant"),"CSA AISMM; NIST AI RMF; ISO/IEC 42001",IF(AND($AG37="Meets CSA Level",$AH37="Compliant"),"CSA AISMM; NIST AI RMF",IF(AND($AG37="Meets CSA Level",$AI37="Compliant"),"CSA AISMM; ISO/IEC 42001",IF(AND($AH37="Compliant",$AI37="Compliant"),"NIST AI RMF; ISO/IEC 42001",IF($AG37="Meets CSA Level","CSA AISMM",IF($AH37="Compliant","NIST AI RMF",IF($AI37="Compliant","ISO/IEC 42001","No mapped framework fully compliant"))))))))</x:f>
        <x:v>No mapped framework fully compliant</x:v>
      </x:c>
      <x:c r="AK37" s="42" t="str"/>
      <x:c r="AL37" s="46" t="str"/>
      <x:c r="AM37" s="42" t="str"/>
      <x:c r="AN37" s="42" t="str">
        <x:v>CSA AISMM uploaded workbook; NIST AI RMF Playbook uploaded workbook; ISO/IEC 42001 checklist uploaded PDF; official CSA/NIST/ISO web sources listed on Sources sheet</x:v>
      </x:c>
    </x:row>
    <x:row r="38" ht="90" customHeight="1">
      <x:c r="A38" s="42" t="str">
        <x:v>Security Monitoring</x:v>
      </x:c>
      <x:c r="B38" s="42" t="str">
        <x:v>MON-04.2</x:v>
      </x:c>
      <x:c r="C38" s="42" t="n">
        <x:v>4</x:v>
      </x:c>
      <x:c r="D38" s="42" t="str">
        <x:v>MON</x:v>
      </x:c>
      <x:c r="E38" s="42" t="str">
        <x:v>Baseline-derived AI threat detection running at SOC cadence</x:v>
      </x:c>
      <x:c r="F38" s="42" t="str">
        <x:v>AI-specific detection content fires on deviation from baselines computed and refreshed from observed telemetry rather than static thresholds alone, spanning prompt injection and jailbreak, sensitive-data exfiltration, anomalous agent action sequences, abnormal delegation depth, and cost anomalies. Alerts triage through the primary SOC queue at the same cadence as non-AI alerts of equal severity.</x:v>
      </x:c>
      <x:c r="G38" s="42" t="str">
        <x:v>Automated</x:v>
      </x:c>
      <x:c r="H38" s="42" t="str">
        <x:v>All</x:v>
      </x:c>
      <x:c r="I38" s="42" t="str">
        <x:v>LOG-03 (security monitoring and alerting), LOG-05 (audit logs monitoring and response), LOG-13 (failures and anomalies reporting)</x:v>
      </x:c>
      <x:c r="J38" s="42" t="str">
        <x:v>MEASURE 2.8; MEASURE 2</x:v>
      </x:c>
      <x:c r="K38" s="42" t="str">
        <x:v>MEASURE 2.8: - Instrument the system for measurement and tracking, e.g., by maintaining histories, audit logs and other information that can be used by AI actors to review and evaluate possible sources of error, bias, or vulnerability. - Calibrate controls for users in close collaboration with experts in user interaction and user experience (UI/UX), human computer interaction (HCI), and/or human-AI teaming. - Test provided explanations for calibration with different audiences including operators, end users, decision makers and decision subjects (individuals for whom decisions are being made), and to enable recourse for consequential system decisions that affect end users or subjects. - Measure and document human oversight of AI systems: - Document the degree of oversight that is provided by specified AI actors regarding AI system output.…</x:v>
      </x:c>
      <x:c r="L38" s="42" t="str">
        <x:v>Direct from AISMM external reference</x:v>
      </x:c>
      <x:c r="M38" s="42" t="str">
        <x:v>Annex A.4; Annex A.6; Annex A.7; Annex A.9</x:v>
      </x:c>
      <x:c r="N38" s="42" t="str">
        <x:v>Annex A.4 – Resources for AI systems: Maintain a register of AI resources including data, tools, systems, people, tooling, compute resources, and relevant operational/environmental impacts. Annex A.6 – AI system life cycle: Define responsible development objectives, specify verification and validation, maintain technical documentation, and record/maintain event logs during system use. Annex A.7 – Data for AI systems: Maintain documented AI data management, identify sources and provenance, record intended use, define data quality requirements, and document/justify preparation methods. Annex A.9 – Use of AI systems: Define responsible AI use processes, ethical/appropriate-use objectives, intended-purpose usage boundaries, and monitoring/remediation for misuse or unintended consequences.</x:v>
      </x:c>
      <x:c r="O38" s="42" t="str">
        <x:v>Derived by control theme/domain</x:v>
      </x:c>
      <x:c r="P38" s="42" t="str">
        <x:v>Use this row as a control objective to assess current state, define target maturity, collect evidence, and remediate gaps.</x:v>
      </x:c>
      <x:c r="Q38" s="42" t="str">
        <x:v>OWASP LLM01:2025 Prompt Injection, OWASP LLM02:2025 Sensitive Information Disclosure, OWASP LLM10:2025 Unbounded Consumption, MITRE ATLAS, NIST AI RMF MEASURE-2.8</x:v>
      </x:c>
      <x:c r="R38" s="42" t="str">
        <x:v>Monitoring strategy; model performance dashboards; drift/bias monitoring; security logs; alert rules; KPI/KRI reporting; incident tickets; periodic review records.</x:v>
      </x:c>
      <x:c r="S38" s="42" t="str">
        <x:v>Review monitoring coverage for sampled systems; verify alerts trigger and are triaged; inspect monitoring dashboards and evidence that issues drive corrective action.</x:v>
      </x:c>
      <x:c r="T38" s="42" t="str">
        <x:v>Yes</x:v>
      </x:c>
      <x:c r="U38" s="42" t="str"/>
      <x:c r="V38" s="42" t="str"/>
      <x:c r="W38" s="42" t="str">
        <x:v>Not Assessed</x:v>
      </x:c>
      <x:c r="X38" s="44" t="n">
        <x:v>0</x:v>
      </x:c>
      <x:c r="Y38" s="44" t="n">
        <x:v>4</x:v>
      </x:c>
      <x:c r="Z38" s="42" t="str">
        <x:v>Not Provided</x:v>
      </x:c>
      <x:c r="AA38" s="42" t="str"/>
      <x:c r="AB38" s="42" t="str">
        <x:v>Not Tested</x:v>
      </x:c>
      <x:c r="AC38" s="46" t="str"/>
      <x:c r="AD38" s="42" t="str"/>
      <x:c r="AE38" s="42" t="str">
        <x:v>Not Assessed</x:v>
      </x:c>
      <x:c r="AF38" s="42" t="n">
        <x:f>IF($T38="No","",MAX(0,$Y38-$X38))</x:f>
        <x:v>4</x:v>
      </x:c>
      <x:c r="AG38" s="42" t="str">
        <x:f>IF($T38="No","Not Applicable",IF($X38&gt;=$C38,"Meets CSA Level","Gap to CSA Level"))</x:f>
        <x:v>Gap to CSA Level</x:v>
      </x:c>
      <x:c r="AH38" s="42" t="str">
        <x:f>IF($T38="No","Not Applicable",IF($J38="","Not Mapped",IF(AND(OR($W38="Implemented",$W38="Optimized"),$Z38="Validated",$AB38="Pass"),"Compliant",IF(AND(OR($W38="Partially Implemented",$W38="Implemented",$W38="Optimized"),OR($Z38="Reviewed",$Z38="Validated"),OR($AB38="Pass with Exceptions",$AB38="Pass")),"Partially Compliant","Not Compliant"))))</x:f>
        <x:v>Not Compliant</x:v>
      </x:c>
      <x:c r="AI38" s="42" t="str">
        <x:f>IF($T38="No","Not Applicable",IF($M38="","Not Mapped",IF(AND(OR($W38="Implemented",$W38="Optimized"),$Z38="Validated",$AB38="Pass"),"Compliant",IF(AND(OR($W38="Partially Implemented",$W38="Implemented",$W38="Optimized"),OR($Z38="Reviewed",$Z38="Validated"),OR($AB38="Pass with Exceptions",$AB38="Pass")),"Partially Compliant","Not Compliant"))))</x:f>
        <x:v>Not Compliant</x:v>
      </x:c>
      <x:c r="AJ38" s="42" t="str">
        <x:f>IF($T38="No","Not Applicable",IF(AND($AG38="Meets CSA Level",$AH38="Compliant",$AI38="Compliant"),"CSA AISMM; NIST AI RMF; ISO/IEC 42001",IF(AND($AG38="Meets CSA Level",$AH38="Compliant"),"CSA AISMM; NIST AI RMF",IF(AND($AG38="Meets CSA Level",$AI38="Compliant"),"CSA AISMM; ISO/IEC 42001",IF(AND($AH38="Compliant",$AI38="Compliant"),"NIST AI RMF; ISO/IEC 42001",IF($AG38="Meets CSA Level","CSA AISMM",IF($AH38="Compliant","NIST AI RMF",IF($AI38="Compliant","ISO/IEC 42001","No mapped framework fully compliant"))))))))</x:f>
        <x:v>No mapped framework fully compliant</x:v>
      </x:c>
      <x:c r="AK38" s="42" t="str"/>
      <x:c r="AL38" s="46" t="str"/>
      <x:c r="AM38" s="42" t="str"/>
      <x:c r="AN38" s="42" t="str">
        <x:v>CSA AISMM uploaded workbook; NIST AI RMF Playbook uploaded workbook; ISO/IEC 42001 checklist uploaded PDF; official CSA/NIST/ISO web sources listed on Sources sheet</x:v>
      </x:c>
    </x:row>
    <x:row r="39" ht="90" customHeight="1">
      <x:c r="A39" s="42" t="str">
        <x:v>Security Monitoring</x:v>
      </x:c>
      <x:c r="B39" s="42" t="str">
        <x:v>MON-04.3</x:v>
      </x:c>
      <x:c r="C39" s="42" t="n">
        <x:v>4</x:v>
      </x:c>
      <x:c r="D39" s="42" t="str">
        <x:v>MON</x:v>
      </x:c>
      <x:c r="E39" s="42" t="str">
        <x:v>Sensitive-data detection events on AI flows consumed by the SIEM</x:v>
      </x:c>
      <x:c r="F39" s="42" t="str">
        <x:v>AI prompts and responses are scanned for sensitive data. Detection events are recorded in the SIEM tagged with the user or agent identity and the enterprise data classification, with the matched content redacted or hashed.</x:v>
      </x:c>
      <x:c r="G39" s="42" t="str">
        <x:v>Automated</x:v>
      </x:c>
      <x:c r="H39" s="42" t="str">
        <x:v>All</x:v>
      </x:c>
      <x:c r="I39" s="42" t="str">
        <x:v>LOG-14 (input monitoring), LOG-15 (output monitoring), LOG-03 (security monitoring and alerting)</x:v>
      </x:c>
      <x:c r="J39" s="42" t="str">
        <x:v>MEASURE 2.6; MEASURE 2</x:v>
      </x:c>
      <x:c r="K39" s="42" t="str">
        <x:v>MEASURE 2.6: - Thoroughly measure system performance in development and deployment contexts, and under stress conditions. - Employ test data assessments and simulations before proceeding to production testing. Track multiple performance quality and error metrics. - Stress-test system performance under likely scenarios (e.g., concept drift, high load) and beyond known limitations, in consultation with domain experts. - Test the system under conditions similar to those related to past known incidents or near-misses and measure system performance and safety characteristics - Apply chaos engineering approaches to test systems in extreme conditions and gauge unexpected responses. - Document the range of conditions under which the system has been tested and demonstrated to fail safely. - Measure and monitor system performance in real-time to enable rapid response when AI system incidents are detected.…</x:v>
      </x:c>
      <x:c r="L39" s="42" t="str">
        <x:v>Direct from AISMM external reference</x:v>
      </x:c>
      <x:c r="M39" s="42" t="str">
        <x:v>Annex A.6; Annex A.7; Annex A.9</x:v>
      </x:c>
      <x:c r="N39" s="42" t="str">
        <x:v>Annex A.6 – AI system life cycle: Define responsible development objectives, specify verification and validation, maintain technical documentation, and record/maintain event logs during system use. Annex A.7 – Data for AI systems: Maintain documented AI data management, identify sources and provenance, record intended use, define data quality requirements, and document/justify preparation methods. Annex A.9 – Use of AI systems: Define responsible AI use processes, ethical/appropriate-use objectives, intended-purpose usage boundaries, and monitoring/remediation for misuse or unintended consequences.</x:v>
      </x:c>
      <x:c r="O39" s="42" t="str">
        <x:v>Derived by control theme/domain</x:v>
      </x:c>
      <x:c r="P39" s="42" t="str">
        <x:v>Use this row as a control objective to assess current state, define target maturity, collect evidence, and remediate gaps.</x:v>
      </x:c>
      <x:c r="Q39" s="42" t="str">
        <x:v>OWASP LLM02:2025 Sensitive Information Disclosure, OWASP LLM06:2025 Excessive Agency (downstream), NIST AI RMF MEASURE-2.6</x:v>
      </x:c>
      <x:c r="R39" s="42" t="str">
        <x:v>Monitoring strategy; model performance dashboards; drift/bias monitoring; security logs; alert rules; KPI/KRI reporting; incident tickets; periodic review records.</x:v>
      </x:c>
      <x:c r="S39" s="42" t="str">
        <x:v>Review monitoring coverage for sampled systems; verify alerts trigger and are triaged; inspect monitoring dashboards and evidence that issues drive corrective action.</x:v>
      </x:c>
      <x:c r="T39" s="42" t="str">
        <x:v>Yes</x:v>
      </x:c>
      <x:c r="U39" s="42" t="str"/>
      <x:c r="V39" s="42" t="str"/>
      <x:c r="W39" s="42" t="str">
        <x:v>Not Assessed</x:v>
      </x:c>
      <x:c r="X39" s="44" t="n">
        <x:v>0</x:v>
      </x:c>
      <x:c r="Y39" s="44" t="n">
        <x:v>4</x:v>
      </x:c>
      <x:c r="Z39" s="42" t="str">
        <x:v>Not Provided</x:v>
      </x:c>
      <x:c r="AA39" s="42" t="str"/>
      <x:c r="AB39" s="42" t="str">
        <x:v>Not Tested</x:v>
      </x:c>
      <x:c r="AC39" s="46" t="str"/>
      <x:c r="AD39" s="42" t="str"/>
      <x:c r="AE39" s="42" t="str">
        <x:v>Not Assessed</x:v>
      </x:c>
      <x:c r="AF39" s="42" t="n">
        <x:f>IF($T39="No","",MAX(0,$Y39-$X39))</x:f>
        <x:v>4</x:v>
      </x:c>
      <x:c r="AG39" s="42" t="str">
        <x:f>IF($T39="No","Not Applicable",IF($X39&gt;=$C39,"Meets CSA Level","Gap to CSA Level"))</x:f>
        <x:v>Gap to CSA Level</x:v>
      </x:c>
      <x:c r="AH39" s="42" t="str">
        <x:f>IF($T39="No","Not Applicable",IF($J39="","Not Mapped",IF(AND(OR($W39="Implemented",$W39="Optimized"),$Z39="Validated",$AB39="Pass"),"Compliant",IF(AND(OR($W39="Partially Implemented",$W39="Implemented",$W39="Optimized"),OR($Z39="Reviewed",$Z39="Validated"),OR($AB39="Pass with Exceptions",$AB39="Pass")),"Partially Compliant","Not Compliant"))))</x:f>
        <x:v>Not Compliant</x:v>
      </x:c>
      <x:c r="AI39" s="42" t="str">
        <x:f>IF($T39="No","Not Applicable",IF($M39="","Not Mapped",IF(AND(OR($W39="Implemented",$W39="Optimized"),$Z39="Validated",$AB39="Pass"),"Compliant",IF(AND(OR($W39="Partially Implemented",$W39="Implemented",$W39="Optimized"),OR($Z39="Reviewed",$Z39="Validated"),OR($AB39="Pass with Exceptions",$AB39="Pass")),"Partially Compliant","Not Compliant"))))</x:f>
        <x:v>Not Compliant</x:v>
      </x:c>
      <x:c r="AJ39" s="42" t="str">
        <x:f>IF($T39="No","Not Applicable",IF(AND($AG39="Meets CSA Level",$AH39="Compliant",$AI39="Compliant"),"CSA AISMM; NIST AI RMF; ISO/IEC 42001",IF(AND($AG39="Meets CSA Level",$AH39="Compliant"),"CSA AISMM; NIST AI RMF",IF(AND($AG39="Meets CSA Level",$AI39="Compliant"),"CSA AISMM; ISO/IEC 42001",IF(AND($AH39="Compliant",$AI39="Compliant"),"NIST AI RMF; ISO/IEC 42001",IF($AG39="Meets CSA Level","CSA AISMM",IF($AH39="Compliant","NIST AI RMF",IF($AI39="Compliant","ISO/IEC 42001","No mapped framework fully compliant"))))))))</x:f>
        <x:v>No mapped framework fully compliant</x:v>
      </x:c>
      <x:c r="AK39" s="42" t="str"/>
      <x:c r="AL39" s="46" t="str"/>
      <x:c r="AM39" s="42" t="str"/>
      <x:c r="AN39" s="42" t="str">
        <x:v>CSA AISMM uploaded workbook; NIST AI RMF Playbook uploaded workbook; ISO/IEC 42001 checklist uploaded PDF; official CSA/NIST/ISO web sources listed on Sources sheet</x:v>
      </x:c>
    </x:row>
    <x:row r="40" ht="90" customHeight="1">
      <x:c r="A40" s="42" t="str">
        <x:v>Security Monitoring</x:v>
      </x:c>
      <x:c r="B40" s="42" t="str">
        <x:v>MON-05.1</x:v>
      </x:c>
      <x:c r="C40" s="42" t="n">
        <x:v>5</x:v>
      </x:c>
      <x:c r="D40" s="42" t="str">
        <x:v>MON</x:v>
      </x:c>
      <x:c r="E40" s="42" t="str">
        <x:v>Atomic automated response on high-severity AI events</x:v>
      </x:c>
      <x:c r="F40" s="42" t="str">
        <x:v>Defined high-severity AI events trigger an atomic automated response through SOAR or equivalent within minutes of detection. This can include session termination, credential revocation, deployment throttling, or circuit-break shutdown. The automation acts reliably on matching events, reverses rarely, and operates under a named approver with recurring review.</x:v>
      </x:c>
      <x:c r="G40" s="42" t="str">
        <x:v>Automated</x:v>
      </x:c>
      <x:c r="H40" s="42" t="str">
        <x:v>All</x:v>
      </x:c>
      <x:c r="I40" s="42" t="str">
        <x:v>LOG-03 (security monitoring and alerting), LOG-05 (audit logs monitoring and response), LOG-13 (failures and anomalies reporting)</x:v>
      </x:c>
      <x:c r="J40" s="42" t="str">
        <x:v>MANAGE 4</x:v>
      </x:c>
      <x:c r="K40" s="42" t="str">
        <x:v>MANAGE 4: Parent AI RMF category/function referenced; use associated subcategory rows for testable control language.</x:v>
      </x:c>
      <x:c r="L40" s="42" t="str">
        <x:v>Direct from AISMM external reference</x:v>
      </x:c>
      <x:c r="M40" s="42" t="str">
        <x:v>Annex A.6; Annex A.9</x:v>
      </x:c>
      <x:c r="N40" s="42" t="str">
        <x:v>Annex A.6 – AI system life cycle: Define responsible development objectives, specify verification and validation, maintain technical documentation, and record/maintain event logs during system use. Annex A.9 – Use of AI systems: Define responsible AI use processes, ethical/appropriate-use objectives, intended-purpose usage boundaries, and monitoring/remediation for misuse or unintended consequences.</x:v>
      </x:c>
      <x:c r="O40" s="42" t="str">
        <x:v>Derived by control theme/domain</x:v>
      </x:c>
      <x:c r="P40" s="42" t="str">
        <x:v>Use this row as a control objective to assess current state, define target maturity, collect evidence, and remediate gaps.</x:v>
      </x:c>
      <x:c r="Q40" s="42" t="str">
        <x:v>OWASP LLM01:2025 Prompt Injection, OWASP LLM10:2025 Unbounded Consumption, OWASP ASI01 (Agent Goal Hijack), NIST AI RMF MANAGE-4</x:v>
      </x:c>
      <x:c r="R40" s="42" t="str">
        <x:v>Monitoring strategy; model performance dashboards; drift/bias monitoring; security logs; alert rules; KPI/KRI reporting; incident tickets; periodic review records.</x:v>
      </x:c>
      <x:c r="S40" s="42" t="str">
        <x:v>Review monitoring coverage for sampled systems; verify alerts trigger and are triaged; inspect monitoring dashboards and evidence that issues drive corrective action.</x:v>
      </x:c>
      <x:c r="T40" s="42" t="str">
        <x:v>Yes</x:v>
      </x:c>
      <x:c r="U40" s="42" t="str"/>
      <x:c r="V40" s="42" t="str"/>
      <x:c r="W40" s="42" t="str">
        <x:v>Not Assessed</x:v>
      </x:c>
      <x:c r="X40" s="44" t="n">
        <x:v>0</x:v>
      </x:c>
      <x:c r="Y40" s="44" t="n">
        <x:v>5</x:v>
      </x:c>
      <x:c r="Z40" s="42" t="str">
        <x:v>Not Provided</x:v>
      </x:c>
      <x:c r="AA40" s="42" t="str"/>
      <x:c r="AB40" s="42" t="str">
        <x:v>Not Tested</x:v>
      </x:c>
      <x:c r="AC40" s="46" t="str"/>
      <x:c r="AD40" s="42" t="str"/>
      <x:c r="AE40" s="42" t="str">
        <x:v>Not Assessed</x:v>
      </x:c>
      <x:c r="AF40" s="42" t="n">
        <x:f>IF($T40="No","",MAX(0,$Y40-$X40))</x:f>
        <x:v>5</x:v>
      </x:c>
      <x:c r="AG40" s="42" t="str">
        <x:f>IF($T40="No","Not Applicable",IF($X40&gt;=$C40,"Meets CSA Level","Gap to CSA Level"))</x:f>
        <x:v>Gap to CSA Level</x:v>
      </x:c>
      <x:c r="AH40" s="42" t="str">
        <x:f>IF($T40="No","Not Applicable",IF($J40="","Not Mapped",IF(AND(OR($W40="Implemented",$W40="Optimized"),$Z40="Validated",$AB40="Pass"),"Compliant",IF(AND(OR($W40="Partially Implemented",$W40="Implemented",$W40="Optimized"),OR($Z40="Reviewed",$Z40="Validated"),OR($AB40="Pass with Exceptions",$AB40="Pass")),"Partially Compliant","Not Compliant"))))</x:f>
        <x:v>Not Compliant</x:v>
      </x:c>
      <x:c r="AI40" s="42" t="str">
        <x:f>IF($T40="No","Not Applicable",IF($M40="","Not Mapped",IF(AND(OR($W40="Implemented",$W40="Optimized"),$Z40="Validated",$AB40="Pass"),"Compliant",IF(AND(OR($W40="Partially Implemented",$W40="Implemented",$W40="Optimized"),OR($Z40="Reviewed",$Z40="Validated"),OR($AB40="Pass with Exceptions",$AB40="Pass")),"Partially Compliant","Not Compliant"))))</x:f>
        <x:v>Not Compliant</x:v>
      </x:c>
      <x:c r="AJ40" s="42" t="str">
        <x:f>IF($T40="No","Not Applicable",IF(AND($AG40="Meets CSA Level",$AH40="Compliant",$AI40="Compliant"),"CSA AISMM; NIST AI RMF; ISO/IEC 42001",IF(AND($AG40="Meets CSA Level",$AH40="Compliant"),"CSA AISMM; NIST AI RMF",IF(AND($AG40="Meets CSA Level",$AI40="Compliant"),"CSA AISMM; ISO/IEC 42001",IF(AND($AH40="Compliant",$AI40="Compliant"),"NIST AI RMF; ISO/IEC 42001",IF($AG40="Meets CSA Level","CSA AISMM",IF($AH40="Compliant","NIST AI RMF",IF($AI40="Compliant","ISO/IEC 42001","No mapped framework fully compliant"))))))))</x:f>
        <x:v>No mapped framework fully compliant</x:v>
      </x:c>
      <x:c r="AK40" s="42" t="str"/>
      <x:c r="AL40" s="46" t="str"/>
      <x:c r="AM40" s="42" t="str"/>
      <x:c r="AN40" s="42" t="str">
        <x:v>CSA AISMM uploaded workbook; NIST AI RMF Playbook uploaded workbook; ISO/IEC 42001 checklist uploaded PDF; official CSA/NIST/ISO web sources listed on Sources sheet</x:v>
      </x:c>
    </x:row>
    <x:row r="41" ht="90" customHeight="1">
      <x:c r="A41" s="42" t="str">
        <x:v>Security Monitoring</x:v>
      </x:c>
      <x:c r="B41" s="42" t="str">
        <x:v>MON-05.2</x:v>
      </x:c>
      <x:c r="C41" s="42" t="n">
        <x:v>5</x:v>
      </x:c>
      <x:c r="D41" s="42" t="str">
        <x:v>MON</x:v>
      </x:c>
      <x:c r="E41" s="42" t="str">
        <x:v>AI threat hunting and cross-deployment behavioral baselines</x:v>
      </x:c>
      <x:c r="F41" s="42" t="str">
        <x:v>An AI threat-hunting program runs intelligence-driven hunts on a documented cadence, hands findings to IR, and produces detection-engineering output over time. Cross-deployment behavioral baselines support anomaly detection across the AI estate rather than per-deployment alone.</x:v>
      </x:c>
      <x:c r="G41" s="42" t="str">
        <x:v>Either</x:v>
      </x:c>
      <x:c r="H41" s="42" t="str">
        <x:v>All</x:v>
      </x:c>
      <x:c r="I41" s="42" t="str">
        <x:v>LOG-05 (audit logs monitoring and response), LOG-03 (security monitoring and alerting), LOG-13 (failures and anomalies reporting)</x:v>
      </x:c>
      <x:c r="J41" s="42" t="str">
        <x:v>MEASURE 2.7; MANAGE 4.1; MEASURE 2; MANAGE 4</x:v>
      </x:c>
      <x:c r="K41" s="42" t="str">
        <x:v>MEASURE 2.7: - Establish and track AI system security tests and metrics (e.g., red-teaming activities, frequency and rate of anomalous events, system down-time, incident response times, time-to-bypass, etc.). - Use red-team exercises to actively test the system under adversarial or stress conditions, measure system response, assess failure modes or determine if system can return to normal function after an unexpected adverse event. - Document red-team exercise results as part of continuous improvement efforts, including the range of security test conditions and results. - Use red-teaming exercises to evaluate potential mismatches between claimed and actual system performance. - Use countermeasures (e.g, authentication, throttling, differential privacy, robust ML approaches) to increase the range of security conditions under which the system is able to return to normal function.… MANAGE 4.1: - Establish and maintain procedures to monitor AI system performance for risks and negative and positive impacts associated with trustworthiness characteristics. - Perform post-deployment TEVV tasks to evaluate AI system validity and reliability, bias and fairness, privacy, and security and resilience. - Evaluate AI system trustworthiness in conditions similar to deployment context of use, and prior to deployment. - Establish and implement red-teaming exercises at a prescribed cadence, and evaluate their efficacy. - Establish procedures for tracking dataset modifications such as data deletion or rectification requests. - Establish mechanisms for regular communication and feedback between relevant AI actors and internal or external stakeholders to capture information about system performance, trustworthiness and impact.…</x:v>
      </x:c>
      <x:c r="L41" s="42" t="str">
        <x:v>Direct from AISMM external reference</x:v>
      </x:c>
      <x:c r="M41" s="42" t="str">
        <x:v>Clause 8; Clause 9; Annex A.6</x:v>
      </x:c>
      <x:c r="N41" s="42" t="str">
        <x:v>Clause 8 – Operation: Plan, implement, and control AI operational processes; integrate AI risk assessment/treatment into operations; maintain and update AI system impact assessments. Clause 9 – Performance Evaluation: Monitor, measure, analyze, and evaluate the AIMS; perform internal audits; conduct management review at planned intervals. Annex A.6 – AI system life cycle: Define responsible development objectives, specify verification and validation, maintain technical documentation, and record/maintain event logs during system use.</x:v>
      </x:c>
      <x:c r="O41" s="42" t="str">
        <x:v>Derived by CSA domain/theme</x:v>
      </x:c>
      <x:c r="P41" s="42" t="str">
        <x:v>Use this row as a control objective to assess current state, define target maturity, collect evidence, and remediate gaps.</x:v>
      </x:c>
      <x:c r="Q41" s="42" t="str">
        <x:v>MITRE ATLAS, OWASP LLM / ASI top-10 (current version), NIST AI RMF MEASURE-2.7, MANAGE-4.1</x:v>
      </x:c>
      <x:c r="R41" s="42" t="str">
        <x:v>Monitoring strategy; model performance dashboards; drift/bias monitoring; security logs; alert rules; KPI/KRI reporting; incident tickets; periodic review records.</x:v>
      </x:c>
      <x:c r="S41" s="42" t="str">
        <x:v>Review monitoring coverage for sampled systems; verify alerts trigger and are triaged; inspect monitoring dashboards and evidence that issues drive corrective action.</x:v>
      </x:c>
      <x:c r="T41" s="42" t="str">
        <x:v>Yes</x:v>
      </x:c>
      <x:c r="U41" s="42" t="str"/>
      <x:c r="V41" s="42" t="str"/>
      <x:c r="W41" s="42" t="str">
        <x:v>Not Assessed</x:v>
      </x:c>
      <x:c r="X41" s="44" t="n">
        <x:v>0</x:v>
      </x:c>
      <x:c r="Y41" s="44" t="n">
        <x:v>5</x:v>
      </x:c>
      <x:c r="Z41" s="42" t="str">
        <x:v>Not Provided</x:v>
      </x:c>
      <x:c r="AA41" s="42" t="str"/>
      <x:c r="AB41" s="42" t="str">
        <x:v>Not Tested</x:v>
      </x:c>
      <x:c r="AC41" s="46" t="str"/>
      <x:c r="AD41" s="42" t="str"/>
      <x:c r="AE41" s="42" t="str">
        <x:v>Not Assessed</x:v>
      </x:c>
      <x:c r="AF41" s="42" t="n">
        <x:f>IF($T41="No","",MAX(0,$Y41-$X41))</x:f>
        <x:v>5</x:v>
      </x:c>
      <x:c r="AG41" s="42" t="str">
        <x:f>IF($T41="No","Not Applicable",IF($X41&gt;=$C41,"Meets CSA Level","Gap to CSA Level"))</x:f>
        <x:v>Gap to CSA Level</x:v>
      </x:c>
      <x:c r="AH41" s="42" t="str">
        <x:f>IF($T41="No","Not Applicable",IF($J41="","Not Mapped",IF(AND(OR($W41="Implemented",$W41="Optimized"),$Z41="Validated",$AB41="Pass"),"Compliant",IF(AND(OR($W41="Partially Implemented",$W41="Implemented",$W41="Optimized"),OR($Z41="Reviewed",$Z41="Validated"),OR($AB41="Pass with Exceptions",$AB41="Pass")),"Partially Compliant","Not Compliant"))))</x:f>
        <x:v>Not Compliant</x:v>
      </x:c>
      <x:c r="AI41" s="42" t="str">
        <x:f>IF($T41="No","Not Applicable",IF($M41="","Not Mapped",IF(AND(OR($W41="Implemented",$W41="Optimized"),$Z41="Validated",$AB41="Pass"),"Compliant",IF(AND(OR($W41="Partially Implemented",$W41="Implemented",$W41="Optimized"),OR($Z41="Reviewed",$Z41="Validated"),OR($AB41="Pass with Exceptions",$AB41="Pass")),"Partially Compliant","Not Compliant"))))</x:f>
        <x:v>Not Compliant</x:v>
      </x:c>
      <x:c r="AJ41" s="42" t="str">
        <x:f>IF($T41="No","Not Applicable",IF(AND($AG41="Meets CSA Level",$AH41="Compliant",$AI41="Compliant"),"CSA AISMM; NIST AI RMF; ISO/IEC 42001",IF(AND($AG41="Meets CSA Level",$AH41="Compliant"),"CSA AISMM; NIST AI RMF",IF(AND($AG41="Meets CSA Level",$AI41="Compliant"),"CSA AISMM; ISO/IEC 42001",IF(AND($AH41="Compliant",$AI41="Compliant"),"NIST AI RMF; ISO/IEC 42001",IF($AG41="Meets CSA Level","CSA AISMM",IF($AH41="Compliant","NIST AI RMF",IF($AI41="Compliant","ISO/IEC 42001","No mapped framework fully compliant"))))))))</x:f>
        <x:v>No mapped framework fully compliant</x:v>
      </x:c>
      <x:c r="AK41" s="42" t="str"/>
      <x:c r="AL41" s="46" t="str"/>
      <x:c r="AM41" s="42" t="str"/>
      <x:c r="AN41" s="42" t="str">
        <x:v>CSA AISMM uploaded workbook; NIST AI RMF Playbook uploaded workbook; ISO/IEC 42001 checklist uploaded PDF; official CSA/NIST/ISO web sources listed on Sources sheet</x:v>
      </x:c>
    </x:row>
    <x:row r="42" ht="90" customHeight="1">
      <x:c r="A42" s="42" t="str">
        <x:v>Infrastructure</x:v>
      </x:c>
      <x:c r="B42" s="42" t="str">
        <x:v>INF-02.1</x:v>
      </x:c>
      <x:c r="C42" s="42" t="n">
        <x:v>2</x:v>
      </x:c>
      <x:c r="D42" s="42" t="str">
        <x:v>INF</x:v>
      </x:c>
      <x:c r="E42" s="42" t="str">
        <x:v>Separation of AI development, training, and production environments</x:v>
      </x:c>
      <x:c r="F42" s="42" t="str">
        <x:v>AI workloads are classified development, training, or production, and production AI compute and serving sit on a separate account, subscription, or documented network boundary from development and training. The AI environment inventory is reconciled against an independent discovery signal (such as CSPM/CNAPP capabilities or AI-SPM where deployed).</x:v>
      </x:c>
      <x:c r="G42" s="42" t="str">
        <x:v>Either</x:v>
      </x:c>
      <x:c r="H42" s="42" t="str">
        <x:v>Self-hosted (primary); PaaS and API/SaaS where the organization runs supporting infrastructure (orchestrators, agent frameworks, RAG services, vector stores)</x:v>
      </x:c>
      <x:c r="I42" s="42" t="str">
        <x:v>I&amp;S-05 (production / non-production separation), I&amp;S-06 (segmentation and segregation), DCS-05 (asset classification)</x:v>
      </x:c>
      <x:c r="J42" s="42" t="str">
        <x:v>GOVERN 1.5; GOVERN 1</x:v>
      </x:c>
      <x:c r="K42" s="42" t="str">
        <x:v>GOVERN 1.5: - Establish policies to allocate appropriate resources and capacity for assessing impacts of AI systems on individuals, communities and society. - Establish policies and procedures for monitoring and addressing AI system performance and trustworthiness, including bias and security problems, across the lifecycle of the system. - Establish policies for AI system incident response, or confirm that existing incident response policies apply to AI systems. - Establish policies to define organizational functions and personnel responsible for AI system monitoring and incident response activities. - Establish mechanisms to enable the sharing of feedback from impacted individuals or communities about negative impacts from AI systems. - Establish mechanisms to provide recourse for impacted individuals or communities to contest problematic AI system outcomes. - Establish opt-out mechanisms.</x:v>
      </x:c>
      <x:c r="L42" s="42" t="str">
        <x:v>Direct from AISMM external reference</x:v>
      </x:c>
      <x:c r="M42" s="42" t="str">
        <x:v>Annex A.3; Annex A.4</x:v>
      </x:c>
      <x:c r="N42" s="42" t="str">
        <x:v>Annex A.3 – Internal organization: Define AI roles and responsibilities; provide reporting and confidential escalation paths; investigate and resolve AI-related concerns. Annex A.4 – Resources for AI systems: Maintain a register of AI resources including data, tools, systems, people, tooling, compute resources, and relevant operational/environmental impacts.</x:v>
      </x:c>
      <x:c r="O42" s="42" t="str">
        <x:v>Derived by control theme/domain</x:v>
      </x:c>
      <x:c r="P42" s="42" t="str">
        <x:v>Track role-based completion, knowledge checks, and refresh cadence.</x:v>
      </x:c>
      <x:c r="Q42" s="42" t="str">
        <x:v>NIST AI RMF GOVERN-1.5, CSA AI Assessment Criteria INFRA-01 (approved hosting environment)</x:v>
      </x:c>
      <x:c r="R42" s="42" t="str">
        <x:v>Architecture diagrams; cloud/security baseline; network segmentation; encryption configuration; key management evidence; vulnerability scans; hardening standards; backup/DR test results.</x:v>
      </x:c>
      <x:c r="S42" s="42" t="str">
        <x:v>Inspect infrastructure baseline; sample cloud resources and endpoints; verify encryption, logging, segmentation, vulnerability remediation, backup, and recovery testing evidence.</x:v>
      </x:c>
      <x:c r="T42" s="42" t="str">
        <x:v>Yes</x:v>
      </x:c>
      <x:c r="U42" s="42" t="str"/>
      <x:c r="V42" s="42" t="str"/>
      <x:c r="W42" s="42" t="str">
        <x:v>Not Assessed</x:v>
      </x:c>
      <x:c r="X42" s="44" t="n">
        <x:v>0</x:v>
      </x:c>
      <x:c r="Y42" s="44" t="n">
        <x:v>2</x:v>
      </x:c>
      <x:c r="Z42" s="42" t="str">
        <x:v>Not Provided</x:v>
      </x:c>
      <x:c r="AA42" s="42" t="str"/>
      <x:c r="AB42" s="42" t="str">
        <x:v>Not Tested</x:v>
      </x:c>
      <x:c r="AC42" s="46" t="str"/>
      <x:c r="AD42" s="42" t="str"/>
      <x:c r="AE42" s="42" t="str">
        <x:v>Not Assessed</x:v>
      </x:c>
      <x:c r="AF42" s="42" t="n">
        <x:f>IF($T42="No","",MAX(0,$Y42-$X42))</x:f>
        <x:v>2</x:v>
      </x:c>
      <x:c r="AG42" s="42" t="str">
        <x:f>IF($T42="No","Not Applicable",IF($X42&gt;=$C42,"Meets CSA Level","Gap to CSA Level"))</x:f>
        <x:v>Gap to CSA Level</x:v>
      </x:c>
      <x:c r="AH42" s="42" t="str">
        <x:f>IF($T42="No","Not Applicable",IF($J42="","Not Mapped",IF(AND(OR($W42="Implemented",$W42="Optimized"),$Z42="Validated",$AB42="Pass"),"Compliant",IF(AND(OR($W42="Partially Implemented",$W42="Implemented",$W42="Optimized"),OR($Z42="Reviewed",$Z42="Validated"),OR($AB42="Pass with Exceptions",$AB42="Pass")),"Partially Compliant","Not Compliant"))))</x:f>
        <x:v>Not Compliant</x:v>
      </x:c>
      <x:c r="AI42" s="42" t="str">
        <x:f>IF($T42="No","Not Applicable",IF($M42="","Not Mapped",IF(AND(OR($W42="Implemented",$W42="Optimized"),$Z42="Validated",$AB42="Pass"),"Compliant",IF(AND(OR($W42="Partially Implemented",$W42="Implemented",$W42="Optimized"),OR($Z42="Reviewed",$Z42="Validated"),OR($AB42="Pass with Exceptions",$AB42="Pass")),"Partially Compliant","Not Compliant"))))</x:f>
        <x:v>Not Compliant</x:v>
      </x:c>
      <x:c r="AJ42" s="42" t="str">
        <x:f>IF($T42="No","Not Applicable",IF(AND($AG42="Meets CSA Level",$AH42="Compliant",$AI42="Compliant"),"CSA AISMM; NIST AI RMF; ISO/IEC 42001",IF(AND($AG42="Meets CSA Level",$AH42="Compliant"),"CSA AISMM; NIST AI RMF",IF(AND($AG42="Meets CSA Level",$AI42="Compliant"),"CSA AISMM; ISO/IEC 42001",IF(AND($AH42="Compliant",$AI42="Compliant"),"NIST AI RMF; ISO/IEC 42001",IF($AG42="Meets CSA Level","CSA AISMM",IF($AH42="Compliant","NIST AI RMF",IF($AI42="Compliant","ISO/IEC 42001","No mapped framework fully compliant"))))))))</x:f>
        <x:v>No mapped framework fully compliant</x:v>
      </x:c>
      <x:c r="AK42" s="42" t="str"/>
      <x:c r="AL42" s="46" t="str"/>
      <x:c r="AM42" s="42" t="str"/>
      <x:c r="AN42" s="42" t="str">
        <x:v>CSA AISMM uploaded workbook; NIST AI RMF Playbook uploaded workbook; ISO/IEC 42001 checklist uploaded PDF; official CSA/NIST/ISO web sources listed on Sources sheet</x:v>
      </x:c>
    </x:row>
    <x:row r="43" ht="90" customHeight="1">
      <x:c r="A43" s="42" t="str">
        <x:v>Infrastructure</x:v>
      </x:c>
      <x:c r="B43" s="42" t="str">
        <x:v>INF-02.2</x:v>
      </x:c>
      <x:c r="C43" s="42" t="n">
        <x:v>2</x:v>
      </x:c>
      <x:c r="D43" s="42" t="str">
        <x:v>INF</x:v>
      </x:c>
      <x:c r="E43" s="42" t="str">
        <x:v>AI hosting infrastructure included in enterprise vulnerability management</x:v>
      </x:c>
      <x:c r="F43" s="42" t="str">
        <x:v>AI hosting infrastructure including training clusters, inference hosts, orchestrator and agent-framework hosts, self-operated vector-store and RAG-service hosts, and the container images backing them are enrolled in the enterprise vulnerability scanning program under the same SLAs as everything else, with Critical and High findings tracked for remediation or formal exception.</x:v>
      </x:c>
      <x:c r="G43" s="42" t="str">
        <x:v>Automated</x:v>
      </x:c>
      <x:c r="H43" s="42" t="str">
        <x:v>Self-hosted (primary); PaaS and API/SaaS where the organization runs supporting infrastructure</x:v>
      </x:c>
      <x:c r="I43" s="42" t="str">
        <x:v>TVM-03 (vulnerability identification), TVM-05 (external library vulnerabilities), TVM-07 (vulnerability remediation schedule), I&amp;S-04 (OS hardening and base controls)</x:v>
      </x:c>
      <x:c r="J43" s="42" t="str">
        <x:v>MAP 2.3; MAP 4.1; MANAGE 2.3; MANAGE 4.1</x:v>
      </x:c>
      <x:c r="K43" s="42" t="str">
        <x:v>MAP 2.3: - Identify and document experiment design and statistical techniques that are valid for testing complex socio-technical systems like AI, which involve human factors, emergent properties, and dynamic context(s) of use. - Develop and apply TEVV protocols for models, system and its subcomponents, deployment, and operation. - Demonstrate and document that AI system performance and validation metrics are interpretable and unambiguous for downstream decision making tasks, and take socio-technical factors such as context of use into consideration. - Identify and document assumptions, techniques, and metrics used for testing and evaluation throughout the AI lifecycle including experimental design techniques for data collection, selection, and management practices in accordance with data governance policies established in GOVERN.… MAP 4.1: - Review audit reports, testing results, product roadmaps, warranties, terms of service, end user license agreements, contracts, and other documentation related to third-party entities to assist in value assessment and risk management activities. - Review third-party software release schedules and software change management plans (hotfixes, patches, updates, forward- and backward- compatibility guarantees) for irregularities that may contribute to AI system risks. - Inventory third-party material (hardware, open-source software, foundation models, open source data, proprietary software, proprietary data, etc.) required for system implementation and maintenance. - Review redundancies related to third-party technology and personnel to assess potential risks due to lack of adequate support. MANAGE 2.3: - Protocols, resources, and metrics are in place for continual monitoring of AI systems’ performance, trustworthiness, and alignment with contextual norms and values - Establish and regularly review treatment and response plans for incidents, negative impacts, or outcomes. - Establish and maintain procedures to regularly monitor system components for drift, decontextualization, or other AI system behavior factors, - Establish and maintain procedures for capturing feedback about negative impacts. - Verify contingency processes to handle any negative impacts associated with mission-critical AI systems, and to deactivate systems. - Enable preventive and post-hoc exploration of AI system limitations by relevant AI actor groups. - Decommission systems that exceed risk tolerances. MANAGE 4.1: - Establish and maintain procedures to monitor AI system performance for risks and negative and positive impacts associated with trustworthiness characteristics. - Perform post-deployment TEVV tasks to evaluate AI system validity and reliability, bias and fairness, privacy, and security and resilience. - Evaluate AI system trustworthiness in conditions similar to deployment context of use, and prior to deployment. - Establish and implement red-teaming exercises at a prescribed cadence, and evaluate their efficacy.…</x:v>
      </x:c>
      <x:c r="L43" s="42" t="str">
        <x:v>Derived by CSA domain/theme</x:v>
      </x:c>
      <x:c r="M43" s="42" t="str">
        <x:v>Annex A.3; Annex A.4; Annex A.6</x:v>
      </x:c>
      <x:c r="N43" s="42" t="str">
        <x:v>Annex A.3 – Internal organization: Define AI roles and responsibilities; provide reporting and confidential escalation paths; investigate and resolve AI-related concerns. Annex A.4 – Resources for AI systems: Maintain a register of AI resources including data, tools, systems, people, tooling, compute resources, and relevant operational/environmental impacts. Annex A.6 – AI system life cycle: Define responsible development objectives, specify verification and validation, maintain technical documentation, and record/maintain event logs during system use.</x:v>
      </x:c>
      <x:c r="O43" s="42" t="str">
        <x:v>Derived by control theme/domain</x:v>
      </x:c>
      <x:c r="P43" s="42" t="str">
        <x:v>Use this row as a control objective to assess current state, define target maturity, collect evidence, and remediate gaps.</x:v>
      </x:c>
      <x:c r="Q43" s="42" t="str">
        <x:v>CSA AI Assessment Criteria INFRA-05 (patching and endpoint security), NIST SP 800-40</x:v>
      </x:c>
      <x:c r="R43" s="42" t="str">
        <x:v>Architecture diagrams; cloud/security baseline; network segmentation; encryption configuration; key management evidence; vulnerability scans; hardening standards; backup/DR test results.</x:v>
      </x:c>
      <x:c r="S43" s="42" t="str">
        <x:v>Inspect infrastructure baseline; sample cloud resources and endpoints; verify encryption, logging, segmentation, vulnerability remediation, backup, and recovery testing evidence.</x:v>
      </x:c>
      <x:c r="T43" s="42" t="str">
        <x:v>Yes</x:v>
      </x:c>
      <x:c r="U43" s="42" t="str"/>
      <x:c r="V43" s="42" t="str"/>
      <x:c r="W43" s="42" t="str">
        <x:v>Not Assessed</x:v>
      </x:c>
      <x:c r="X43" s="44" t="n">
        <x:v>0</x:v>
      </x:c>
      <x:c r="Y43" s="44" t="n">
        <x:v>2</x:v>
      </x:c>
      <x:c r="Z43" s="42" t="str">
        <x:v>Not Provided</x:v>
      </x:c>
      <x:c r="AA43" s="42" t="str"/>
      <x:c r="AB43" s="42" t="str">
        <x:v>Not Tested</x:v>
      </x:c>
      <x:c r="AC43" s="46" t="str"/>
      <x:c r="AD43" s="42" t="str"/>
      <x:c r="AE43" s="42" t="str">
        <x:v>Not Assessed</x:v>
      </x:c>
      <x:c r="AF43" s="42" t="n">
        <x:f>IF($T43="No","",MAX(0,$Y43-$X43))</x:f>
        <x:v>2</x:v>
      </x:c>
      <x:c r="AG43" s="42" t="str">
        <x:f>IF($T43="No","Not Applicable",IF($X43&gt;=$C43,"Meets CSA Level","Gap to CSA Level"))</x:f>
        <x:v>Gap to CSA Level</x:v>
      </x:c>
      <x:c r="AH43" s="42" t="str">
        <x:f>IF($T43="No","Not Applicable",IF($J43="","Not Mapped",IF(AND(OR($W43="Implemented",$W43="Optimized"),$Z43="Validated",$AB43="Pass"),"Compliant",IF(AND(OR($W43="Partially Implemented",$W43="Implemented",$W43="Optimized"),OR($Z43="Reviewed",$Z43="Validated"),OR($AB43="Pass with Exceptions",$AB43="Pass")),"Partially Compliant","Not Compliant"))))</x:f>
        <x:v>Not Compliant</x:v>
      </x:c>
      <x:c r="AI43" s="42" t="str">
        <x:f>IF($T43="No","Not Applicable",IF($M43="","Not Mapped",IF(AND(OR($W43="Implemented",$W43="Optimized"),$Z43="Validated",$AB43="Pass"),"Compliant",IF(AND(OR($W43="Partially Implemented",$W43="Implemented",$W43="Optimized"),OR($Z43="Reviewed",$Z43="Validated"),OR($AB43="Pass with Exceptions",$AB43="Pass")),"Partially Compliant","Not Compliant"))))</x:f>
        <x:v>Not Compliant</x:v>
      </x:c>
      <x:c r="AJ43" s="42" t="str">
        <x:f>IF($T43="No","Not Applicable",IF(AND($AG43="Meets CSA Level",$AH43="Compliant",$AI43="Compliant"),"CSA AISMM; NIST AI RMF; ISO/IEC 42001",IF(AND($AG43="Meets CSA Level",$AH43="Compliant"),"CSA AISMM; NIST AI RMF",IF(AND($AG43="Meets CSA Level",$AI43="Compliant"),"CSA AISMM; ISO/IEC 42001",IF(AND($AH43="Compliant",$AI43="Compliant"),"NIST AI RMF; ISO/IEC 42001",IF($AG43="Meets CSA Level","CSA AISMM",IF($AH43="Compliant","NIST AI RMF",IF($AI43="Compliant","ISO/IEC 42001","No mapped framework fully compliant"))))))))</x:f>
        <x:v>No mapped framework fully compliant</x:v>
      </x:c>
      <x:c r="AK43" s="42" t="str"/>
      <x:c r="AL43" s="46" t="str"/>
      <x:c r="AM43" s="42" t="str"/>
      <x:c r="AN43" s="42" t="str">
        <x:v>CSA AISMM uploaded workbook; NIST AI RMF Playbook uploaded workbook; ISO/IEC 42001 checklist uploaded PDF; official CSA/NIST/ISO web sources listed on Sources sheet</x:v>
      </x:c>
    </x:row>
    <x:row r="44" ht="90" customHeight="1">
      <x:c r="A44" s="42" t="str">
        <x:v>Infrastructure</x:v>
      </x:c>
      <x:c r="B44" s="42" t="str">
        <x:v>INF-03.1</x:v>
      </x:c>
      <x:c r="C44" s="42" t="n">
        <x:v>3</x:v>
      </x:c>
      <x:c r="D44" s="42" t="str">
        <x:v>INF</x:v>
      </x:c>
      <x:c r="E44" s="42" t="str">
        <x:v>AI infrastructure provisioned from IaC against a hardened baseline</x:v>
      </x:c>
      <x:c r="F44" s="42" t="str">
        <x:v>A named, version-controlled AI-infrastructure security baseline covers host hardening and network defaults, and the production Infrastructure-as-Code that provisions training clusters, inference hosts, model-serving runtimes, orchestrator hosts, and self-operated RAG and vector-store infrastructure (e.g., Terraform, Bicep, Kubernetes manifests) imports or pins a version of that baseline.</x:v>
      </x:c>
      <x:c r="G44" s="42" t="str">
        <x:v>Automated</x:v>
      </x:c>
      <x:c r="H44" s="42" t="str">
        <x:v>Self-hosted (primary); PaaS and API/SaaS where the organization runs supporting infrastructure</x:v>
      </x:c>
      <x:c r="I44" s="42" t="str">
        <x:v>I&amp;S-04 (OS hardening and base controls), I&amp;S-01 (infrastructure and virtualization security policy), DCS-05 (asset classification)</x:v>
      </x:c>
      <x:c r="J44" s="42" t="str">
        <x:v>MAP 2.3; MAP 4.1; MANAGE 2.3; MANAGE 4.1</x:v>
      </x:c>
      <x:c r="K44" s="42" t="str">
        <x:v>MAP 2.3: - Identify and document experiment design and statistical techniques that are valid for testing complex socio-technical systems like AI, which involve human factors, emergent properties, and dynamic context(s) of use. - Develop and apply TEVV protocols for models, system and its subcomponents, deployment, and operation. - Demonstrate and document that AI system performance and validation metrics are interpretable and unambiguous for downstream decision making tasks, and take socio-technical factors such as context of use into consideration. - Identify and document assumptions, techniques, and metrics used for testing and evaluation throughout the AI lifecycle including experimental design techniques for data collection, selection, and management practices in accordance with data governance policies established in GOVERN.… MAP 4.1: - Review audit reports, testing results, product roadmaps, warranties, terms of service, end user license agreements, contracts, and other documentation related to third-party entities to assist in value assessment and risk management activities. - Review third-party software release schedules and software change management plans (hotfixes, patches, updates, forward- and backward- compatibility guarantees) for irregularities that may contribute to AI system risks. - Inventory third-party material (hardware, open-source software, foundation models, open source data, proprietary software, proprietary data, etc.) required for system implementation and maintenance. - Review redundancies related to third-party technology and personnel to assess potential risks due to lack of adequate support. MANAGE 2.3: - Protocols, resources, and metrics are in place for continual monitoring of AI systems’ performance, trustworthiness, and alignment with contextual norms and values - Establish and regularly review treatment and response plans for incidents, negative impacts, or outcomes. - Establish and maintain procedures to regularly monitor system components for drift, decontextualization, or other AI system behavior factors, - Establish and maintain procedures for capturing feedback about negative impacts. - Verify contingency processes to handle any negative impacts associated with mission-critical AI systems, and to deactivate systems. - Enable preventive and post-hoc exploration of AI system limitations by relevant AI actor groups. - Decommission systems that exceed risk tolerances. MANAGE 4.1: - Establish and maintain procedures to monitor AI system performance for risks and negative and positive impacts associated with trustworthiness characteristics. - Perform post-deployment TEVV tasks to evaluate AI system validity and reliability, bias and fairness, privacy, and security and resilience. - Evaluate AI system trustworthiness in conditions similar to deployment context of use, and prior to deployment. - Establish and implement red-teaming exercises at a prescribed cadence, and evaluate their efficacy.…</x:v>
      </x:c>
      <x:c r="L44" s="42" t="str">
        <x:v>Derived by CSA domain/theme</x:v>
      </x:c>
      <x:c r="M44" s="42" t="str">
        <x:v>Annex A.3; Annex A.4; Annex A.6; Annex A.10</x:v>
      </x:c>
      <x:c r="N44" s="42" t="str">
        <x:v>Annex A.3 – Internal organization: Define AI roles and responsibilities; provide reporting and confidential escalation paths; investigate and resolve AI-related concerns. Annex A.4 – Resources for AI systems: Maintain a register of AI resources including data, tools, systems, people, tooling, compute resources, and relevant operational/environmental impacts. Annex A.6 – AI system life cycle: Define responsible development objectives, specify verification and validation, maintain technical documentation, and record/maintain event logs during system use. Annex A.10 – Third-party and customer relationships: Define lifecycle responsibilities with third parties, manage AI suppliers, capture customer expectations, and review third-party roles through ongoing governance.</x:v>
      </x:c>
      <x:c r="O44" s="42" t="str">
        <x:v>Derived by control theme/domain</x:v>
      </x:c>
      <x:c r="P44" s="42" t="str">
        <x:v>Use this row as a control objective to assess current state, define target maturity, collect evidence, and remediate gaps.</x:v>
      </x:c>
      <x:c r="Q44" s="42" t="str">
        <x:v>CIS Benchmarks (Kubernetes, Linux, cloud-provider), NIST SP 800-190 (container security), CSA AI Assessment Criteria INFRA-01</x:v>
      </x:c>
      <x:c r="R44" s="42" t="str">
        <x:v>Architecture diagrams; cloud/security baseline; network segmentation; encryption configuration; key management evidence; vulnerability scans; hardening standards; backup/DR test results.</x:v>
      </x:c>
      <x:c r="S44" s="42" t="str">
        <x:v>Inspect infrastructure baseline; sample cloud resources and endpoints; verify encryption, logging, segmentation, vulnerability remediation, backup, and recovery testing evidence.</x:v>
      </x:c>
      <x:c r="T44" s="42" t="str">
        <x:v>Yes</x:v>
      </x:c>
      <x:c r="U44" s="42" t="str"/>
      <x:c r="V44" s="42" t="str"/>
      <x:c r="W44" s="42" t="str">
        <x:v>Not Assessed</x:v>
      </x:c>
      <x:c r="X44" s="44" t="n">
        <x:v>0</x:v>
      </x:c>
      <x:c r="Y44" s="44" t="n">
        <x:v>3</x:v>
      </x:c>
      <x:c r="Z44" s="42" t="str">
        <x:v>Not Provided</x:v>
      </x:c>
      <x:c r="AA44" s="42" t="str"/>
      <x:c r="AB44" s="42" t="str">
        <x:v>Not Tested</x:v>
      </x:c>
      <x:c r="AC44" s="46" t="str"/>
      <x:c r="AD44" s="42" t="str"/>
      <x:c r="AE44" s="42" t="str">
        <x:v>Not Assessed</x:v>
      </x:c>
      <x:c r="AF44" s="42" t="n">
        <x:f>IF($T44="No","",MAX(0,$Y44-$X44))</x:f>
        <x:v>3</x:v>
      </x:c>
      <x:c r="AG44" s="42" t="str">
        <x:f>IF($T44="No","Not Applicable",IF($X44&gt;=$C44,"Meets CSA Level","Gap to CSA Level"))</x:f>
        <x:v>Gap to CSA Level</x:v>
      </x:c>
      <x:c r="AH44" s="42" t="str">
        <x:f>IF($T44="No","Not Applicable",IF($J44="","Not Mapped",IF(AND(OR($W44="Implemented",$W44="Optimized"),$Z44="Validated",$AB44="Pass"),"Compliant",IF(AND(OR($W44="Partially Implemented",$W44="Implemented",$W44="Optimized"),OR($Z44="Reviewed",$Z44="Validated"),OR($AB44="Pass with Exceptions",$AB44="Pass")),"Partially Compliant","Not Compliant"))))</x:f>
        <x:v>Not Compliant</x:v>
      </x:c>
      <x:c r="AI44" s="42" t="str">
        <x:f>IF($T44="No","Not Applicable",IF($M44="","Not Mapped",IF(AND(OR($W44="Implemented",$W44="Optimized"),$Z44="Validated",$AB44="Pass"),"Compliant",IF(AND(OR($W44="Partially Implemented",$W44="Implemented",$W44="Optimized"),OR($Z44="Reviewed",$Z44="Validated"),OR($AB44="Pass with Exceptions",$AB44="Pass")),"Partially Compliant","Not Compliant"))))</x:f>
        <x:v>Not Compliant</x:v>
      </x:c>
      <x:c r="AJ44" s="42" t="str">
        <x:f>IF($T44="No","Not Applicable",IF(AND($AG44="Meets CSA Level",$AH44="Compliant",$AI44="Compliant"),"CSA AISMM; NIST AI RMF; ISO/IEC 42001",IF(AND($AG44="Meets CSA Level",$AH44="Compliant"),"CSA AISMM; NIST AI RMF",IF(AND($AG44="Meets CSA Level",$AI44="Compliant"),"CSA AISMM; ISO/IEC 42001",IF(AND($AH44="Compliant",$AI44="Compliant"),"NIST AI RMF; ISO/IEC 42001",IF($AG44="Meets CSA Level","CSA AISMM",IF($AH44="Compliant","NIST AI RMF",IF($AI44="Compliant","ISO/IEC 42001","No mapped framework fully compliant"))))))))</x:f>
        <x:v>No mapped framework fully compliant</x:v>
      </x:c>
      <x:c r="AK44" s="42" t="str"/>
      <x:c r="AL44" s="46" t="str"/>
      <x:c r="AM44" s="42" t="str"/>
      <x:c r="AN44" s="42" t="str">
        <x:v>CSA AISMM uploaded workbook; NIST AI RMF Playbook uploaded workbook; ISO/IEC 42001 checklist uploaded PDF; official CSA/NIST/ISO web sources listed on Sources sheet</x:v>
      </x:c>
    </x:row>
    <x:row r="45" ht="90" customHeight="1">
      <x:c r="A45" s="42" t="str">
        <x:v>Infrastructure</x:v>
      </x:c>
      <x:c r="B45" s="42" t="str">
        <x:v>INF-03.2</x:v>
      </x:c>
      <x:c r="C45" s="42" t="n">
        <x:v>3</x:v>
      </x:c>
      <x:c r="D45" s="42" t="str">
        <x:v>INF</x:v>
      </x:c>
      <x:c r="E45" s="42" t="str">
        <x:v>CSPM/CNAPP coverage of AI infrastructure with tracked findings</x:v>
      </x:c>
      <x:c r="F45" s="42" t="str">
        <x:v>AI hosting infrastructure is visible in the enterprise CSPM or CNAPP platform and runs against the production rule set plus a named AI-specific rule pack covering things like exposed model-serving endpoints, internet-reachable notebook services, and unencrypted self-operated vector stores. Critical and High findings are tracked to remediation or documented exception.</x:v>
      </x:c>
      <x:c r="G45" s="42" t="str">
        <x:v>Automated</x:v>
      </x:c>
      <x:c r="H45" s="42" t="str">
        <x:v>Self-hosted (primary); PaaS and API/SaaS where the organization runs supporting infrastructure</x:v>
      </x:c>
      <x:c r="I45" s="42" t="str">
        <x:v>I&amp;S-08 (network architecture documentation), I&amp;S-04 (OS hardening and base controls), DCS-05 (asset classification), CCC-07 (cloud configuration baseline assessment)</x:v>
      </x:c>
      <x:c r="J45" s="42" t="str">
        <x:v>MEASURE 2</x:v>
      </x:c>
      <x:c r="K45" s="42" t="str">
        <x:v>MEASURE 2: Parent AI RMF category/function referenced; use associated subcategory rows for testable control language.</x:v>
      </x:c>
      <x:c r="L45" s="42" t="str">
        <x:v>Direct from AISMM external reference</x:v>
      </x:c>
      <x:c r="M45" s="42" t="str">
        <x:v>Annex A.4; Annex A.6</x:v>
      </x:c>
      <x:c r="N45" s="42" t="str">
        <x:v>Annex A.4 – Resources for AI systems: Maintain a register of AI resources including data, tools, systems, people, tooling, compute resources, and relevant operational/environmental impacts. Annex A.6 – AI system life cycle: Define responsible development objectives, specify verification and validation, maintain technical documentation, and record/maintain event logs during system use.</x:v>
      </x:c>
      <x:c r="O45" s="42" t="str">
        <x:v>Derived by control theme/domain</x:v>
      </x:c>
      <x:c r="P45" s="42" t="str">
        <x:v>Use this row as a control objective to assess current state, define target maturity, collect evidence, and remediate gaps.</x:v>
      </x:c>
      <x:c r="Q45" s="42" t="str">
        <x:v>CSA AI Assessment Criteria INFRA-04 (continuous security assessment), NIST AI RMF MEASURE-2</x:v>
      </x:c>
      <x:c r="R45" s="42" t="str">
        <x:v>Architecture diagrams; cloud/security baseline; network segmentation; encryption configuration; key management evidence; vulnerability scans; hardening standards; backup/DR test results.</x:v>
      </x:c>
      <x:c r="S45" s="42" t="str">
        <x:v>Inspect infrastructure baseline; sample cloud resources and endpoints; verify encryption, logging, segmentation, vulnerability remediation, backup, and recovery testing evidence.</x:v>
      </x:c>
      <x:c r="T45" s="42" t="str">
        <x:v>Yes</x:v>
      </x:c>
      <x:c r="U45" s="42" t="str"/>
      <x:c r="V45" s="42" t="str"/>
      <x:c r="W45" s="42" t="str">
        <x:v>Not Assessed</x:v>
      </x:c>
      <x:c r="X45" s="44" t="n">
        <x:v>0</x:v>
      </x:c>
      <x:c r="Y45" s="44" t="n">
        <x:v>3</x:v>
      </x:c>
      <x:c r="Z45" s="42" t="str">
        <x:v>Not Provided</x:v>
      </x:c>
      <x:c r="AA45" s="42" t="str"/>
      <x:c r="AB45" s="42" t="str">
        <x:v>Not Tested</x:v>
      </x:c>
      <x:c r="AC45" s="46" t="str"/>
      <x:c r="AD45" s="42" t="str"/>
      <x:c r="AE45" s="42" t="str">
        <x:v>Not Assessed</x:v>
      </x:c>
      <x:c r="AF45" s="42" t="n">
        <x:f>IF($T45="No","",MAX(0,$Y45-$X45))</x:f>
        <x:v>3</x:v>
      </x:c>
      <x:c r="AG45" s="42" t="str">
        <x:f>IF($T45="No","Not Applicable",IF($X45&gt;=$C45,"Meets CSA Level","Gap to CSA Level"))</x:f>
        <x:v>Gap to CSA Level</x:v>
      </x:c>
      <x:c r="AH45" s="42" t="str">
        <x:f>IF($T45="No","Not Applicable",IF($J45="","Not Mapped",IF(AND(OR($W45="Implemented",$W45="Optimized"),$Z45="Validated",$AB45="Pass"),"Compliant",IF(AND(OR($W45="Partially Implemented",$W45="Implemented",$W45="Optimized"),OR($Z45="Reviewed",$Z45="Validated"),OR($AB45="Pass with Exceptions",$AB45="Pass")),"Partially Compliant","Not Compliant"))))</x:f>
        <x:v>Not Compliant</x:v>
      </x:c>
      <x:c r="AI45" s="42" t="str">
        <x:f>IF($T45="No","Not Applicable",IF($M45="","Not Mapped",IF(AND(OR($W45="Implemented",$W45="Optimized"),$Z45="Validated",$AB45="Pass"),"Compliant",IF(AND(OR($W45="Partially Implemented",$W45="Implemented",$W45="Optimized"),OR($Z45="Reviewed",$Z45="Validated"),OR($AB45="Pass with Exceptions",$AB45="Pass")),"Partially Compliant","Not Compliant"))))</x:f>
        <x:v>Not Compliant</x:v>
      </x:c>
      <x:c r="AJ45" s="42" t="str">
        <x:f>IF($T45="No","Not Applicable",IF(AND($AG45="Meets CSA Level",$AH45="Compliant",$AI45="Compliant"),"CSA AISMM; NIST AI RMF; ISO/IEC 42001",IF(AND($AG45="Meets CSA Level",$AH45="Compliant"),"CSA AISMM; NIST AI RMF",IF(AND($AG45="Meets CSA Level",$AI45="Compliant"),"CSA AISMM; ISO/IEC 42001",IF(AND($AH45="Compliant",$AI45="Compliant"),"NIST AI RMF; ISO/IEC 42001",IF($AG45="Meets CSA Level","CSA AISMM",IF($AH45="Compliant","NIST AI RMF",IF($AI45="Compliant","ISO/IEC 42001","No mapped framework fully compliant"))))))))</x:f>
        <x:v>No mapped framework fully compliant</x:v>
      </x:c>
      <x:c r="AK45" s="42" t="str"/>
      <x:c r="AL45" s="46" t="str"/>
      <x:c r="AM45" s="42" t="str"/>
      <x:c r="AN45" s="42" t="str">
        <x:v>CSA AISMM uploaded workbook; NIST AI RMF Playbook uploaded workbook; ISO/IEC 42001 checklist uploaded PDF; official CSA/NIST/ISO web sources listed on Sources sheet</x:v>
      </x:c>
    </x:row>
    <x:row r="46" ht="90" customHeight="1">
      <x:c r="A46" s="42" t="str">
        <x:v>Infrastructure</x:v>
      </x:c>
      <x:c r="B46" s="42" t="str">
        <x:v>INF-03.3</x:v>
      </x:c>
      <x:c r="C46" s="42" t="n">
        <x:v>3</x:v>
      </x:c>
      <x:c r="D46" s="42" t="str">
        <x:v>INF</x:v>
      </x:c>
      <x:c r="E46" s="42" t="str">
        <x:v>Network isolation and controlled egress for AI inference and training</x:v>
      </x:c>
      <x:c r="F46" s="42" t="str">
        <x:v>Production AI workloads run inside a documented network-isolation boundary with deny-by-default egress restricted to a named allowlist of model APIs, MCP servers, RAG and vector-store backends, and platform dependencies. Externally reachable inference endpoints terminate at a named enterprise ingress control such as an API gateway or WAF-fronted load balancer, not directly on the workload host.</x:v>
      </x:c>
      <x:c r="G46" s="42" t="str">
        <x:v>Automated</x:v>
      </x:c>
      <x:c r="H46" s="42" t="str">
        <x:v>Self-hosted (primary); PaaS and API/SaaS where the organization runs supporting infrastructure (agents, RAG, orchestrators, MCP servers)</x:v>
      </x:c>
      <x:c r="I46" s="42" t="str">
        <x:v>I&amp;S-03 (network security), I&amp;S-06 (segmentation and segregation), I&amp;S-09 (network defense), I&amp;S-08 (network architecture documentation)</x:v>
      </x:c>
      <x:c r="J46" s="42" t="str">
        <x:v>MAP 2.3; MAP 4.1; MANAGE 2.3; MANAGE 4.1</x:v>
      </x:c>
      <x:c r="K46" s="42" t="str">
        <x:v>MAP 2.3: - Identify and document experiment design and statistical techniques that are valid for testing complex socio-technical systems like AI, which involve human factors, emergent properties, and dynamic context(s) of use. - Develop and apply TEVV protocols for models, system and its subcomponents, deployment, and operation. - Demonstrate and document that AI system performance and validation metrics are interpretable and unambiguous for downstream decision making tasks, and take socio-technical factors such as context of use into consideration. - Identify and document assumptions, techniques, and metrics used for testing and evaluation throughout the AI lifecycle including experimental design techniques for data collection, selection, and management practices in accordance with data governance policies established in GOVERN.… MAP 4.1: - Review audit reports, testing results, product roadmaps, warranties, terms of service, end user license agreements, contracts, and other documentation related to third-party entities to assist in value assessment and risk management activities. - Review third-party software release schedules and software change management plans (hotfixes, patches, updates, forward- and backward- compatibility guarantees) for irregularities that may contribute to AI system risks. - Inventory third-party material (hardware, open-source software, foundation models, open source data, proprietary software, proprietary data, etc.) required for system implementation and maintenance. - Review redundancies related to third-party technology and personnel to assess potential risks due to lack of adequate support. MANAGE 2.3: - Protocols, resources, and metrics are in place for continual monitoring of AI systems’ performance, trustworthiness, and alignment with contextual norms and values - Establish and regularly review treatment and response plans for incidents, negative impacts, or outcomes. - Establish and maintain procedures to regularly monitor system components for drift, decontextualization, or other AI system behavior factors, - Establish and maintain procedures for capturing feedback about negative impacts. - Verify contingency processes to handle any negative impacts associated with mission-critical AI systems, and to deactivate systems. - Enable preventive and post-hoc exploration of AI system limitations by relevant AI actor groups. - Decommission systems that exceed risk tolerances. MANAGE 4.1: - Establish and maintain procedures to monitor AI system performance for risks and negative and positive impacts associated with trustworthiness characteristics. - Perform post-deployment TEVV tasks to evaluate AI system validity and reliability, bias and fairness, privacy, and security and resilience. - Evaluate AI system trustworthiness in conditions similar to deployment context of use, and prior to deployment. - Establish and implement red-teaming exercises at a prescribed cadence, and evaluate their efficacy.…</x:v>
      </x:c>
      <x:c r="L46" s="42" t="str">
        <x:v>Derived by CSA domain/theme</x:v>
      </x:c>
      <x:c r="M46" s="42" t="str">
        <x:v>Annex A.3; Annex A.6; Annex A.8</x:v>
      </x:c>
      <x:c r="N46" s="42" t="str">
        <x:v>Annex A.3 – Internal organization: Define AI roles and responsibilities; provide reporting and confidential escalation paths; investigate and resolve AI-related concerns. Annex A.6 – AI system life cycle: Define responsible development objectives, specify verification and validation, maintain technical documentation, and record/maintain event logs during system use. Annex A.8 – Information for interested parties: Provide necessary documentation to users and interested parties; define incident reporting/escalation, incident communication, and stakeholder information requirements.</x:v>
      </x:c>
      <x:c r="O46" s="42" t="str">
        <x:v>Derived by control theme/domain</x:v>
      </x:c>
      <x:c r="P46" s="42" t="str">
        <x:v>Track role-based completion, knowledge checks, and refresh cadence.</x:v>
      </x:c>
      <x:c r="Q46" s="42" t="str">
        <x:v>CSA AI Assessment Criteria INFRA-02 (network isolation), INFRA-03 (encrypted communications), OWASP LLM02:2025 Sensitive Information Disclosure</x:v>
      </x:c>
      <x:c r="R46" s="42" t="str">
        <x:v>Architecture diagrams; cloud/security baseline; network segmentation; encryption configuration; key management evidence; vulnerability scans; hardening standards; backup/DR test results.</x:v>
      </x:c>
      <x:c r="S46" s="42" t="str">
        <x:v>Inspect infrastructure baseline; sample cloud resources and endpoints; verify encryption, logging, segmentation, vulnerability remediation, backup, and recovery testing evidence.</x:v>
      </x:c>
      <x:c r="T46" s="42" t="str">
        <x:v>Yes</x:v>
      </x:c>
      <x:c r="U46" s="42" t="str"/>
      <x:c r="V46" s="42" t="str"/>
      <x:c r="W46" s="42" t="str">
        <x:v>Not Assessed</x:v>
      </x:c>
      <x:c r="X46" s="44" t="n">
        <x:v>0</x:v>
      </x:c>
      <x:c r="Y46" s="44" t="n">
        <x:v>3</x:v>
      </x:c>
      <x:c r="Z46" s="42" t="str">
        <x:v>Not Provided</x:v>
      </x:c>
      <x:c r="AA46" s="42" t="str"/>
      <x:c r="AB46" s="42" t="str">
        <x:v>Not Tested</x:v>
      </x:c>
      <x:c r="AC46" s="46" t="str"/>
      <x:c r="AD46" s="42" t="str"/>
      <x:c r="AE46" s="42" t="str">
        <x:v>Not Assessed</x:v>
      </x:c>
      <x:c r="AF46" s="42" t="n">
        <x:f>IF($T46="No","",MAX(0,$Y46-$X46))</x:f>
        <x:v>3</x:v>
      </x:c>
      <x:c r="AG46" s="42" t="str">
        <x:f>IF($T46="No","Not Applicable",IF($X46&gt;=$C46,"Meets CSA Level","Gap to CSA Level"))</x:f>
        <x:v>Gap to CSA Level</x:v>
      </x:c>
      <x:c r="AH46" s="42" t="str">
        <x:f>IF($T46="No","Not Applicable",IF($J46="","Not Mapped",IF(AND(OR($W46="Implemented",$W46="Optimized"),$Z46="Validated",$AB46="Pass"),"Compliant",IF(AND(OR($W46="Partially Implemented",$W46="Implemented",$W46="Optimized"),OR($Z46="Reviewed",$Z46="Validated"),OR($AB46="Pass with Exceptions",$AB46="Pass")),"Partially Compliant","Not Compliant"))))</x:f>
        <x:v>Not Compliant</x:v>
      </x:c>
      <x:c r="AI46" s="42" t="str">
        <x:f>IF($T46="No","Not Applicable",IF($M46="","Not Mapped",IF(AND(OR($W46="Implemented",$W46="Optimized"),$Z46="Validated",$AB46="Pass"),"Compliant",IF(AND(OR($W46="Partially Implemented",$W46="Implemented",$W46="Optimized"),OR($Z46="Reviewed",$Z46="Validated"),OR($AB46="Pass with Exceptions",$AB46="Pass")),"Partially Compliant","Not Compliant"))))</x:f>
        <x:v>Not Compliant</x:v>
      </x:c>
      <x:c r="AJ46" s="42" t="str">
        <x:f>IF($T46="No","Not Applicable",IF(AND($AG46="Meets CSA Level",$AH46="Compliant",$AI46="Compliant"),"CSA AISMM; NIST AI RMF; ISO/IEC 42001",IF(AND($AG46="Meets CSA Level",$AH46="Compliant"),"CSA AISMM; NIST AI RMF",IF(AND($AG46="Meets CSA Level",$AI46="Compliant"),"CSA AISMM; ISO/IEC 42001",IF(AND($AH46="Compliant",$AI46="Compliant"),"NIST AI RMF; ISO/IEC 42001",IF($AG46="Meets CSA Level","CSA AISMM",IF($AH46="Compliant","NIST AI RMF",IF($AI46="Compliant","ISO/IEC 42001","No mapped framework fully compliant"))))))))</x:f>
        <x:v>No mapped framework fully compliant</x:v>
      </x:c>
      <x:c r="AK46" s="42" t="str"/>
      <x:c r="AL46" s="46" t="str"/>
      <x:c r="AM46" s="42" t="str"/>
      <x:c r="AN46" s="42" t="str">
        <x:v>CSA AISMM uploaded workbook; NIST AI RMF Playbook uploaded workbook; ISO/IEC 42001 checklist uploaded PDF; official CSA/NIST/ISO web sources listed on Sources sheet</x:v>
      </x:c>
    </x:row>
    <x:row r="47" ht="90" customHeight="1">
      <x:c r="A47" s="42" t="str">
        <x:v>Infrastructure</x:v>
      </x:c>
      <x:c r="B47" s="42" t="str">
        <x:v>INF-04.1</x:v>
      </x:c>
      <x:c r="C47" s="42" t="n">
        <x:v>4</x:v>
      </x:c>
      <x:c r="D47" s="42" t="str">
        <x:v>INF</x:v>
      </x:c>
      <x:c r="E47" s="42" t="str">
        <x:v>Runtime security monitoring and enforcement on AI inference and training hosts</x:v>
      </x:c>
      <x:c r="F47" s="42" t="str">
        <x:v>Self-hosted AI inference, training, orchestrator, and agent-framework hosts run a runtime-security agent in prevention mode covering, at a minimum, code execution, container escape, and unauthorized process launch. Coverage is verified at deployment time so non-compliant hosts cannot enter production, and runtime alerts ship into the MON telemetry pipeline.</x:v>
      </x:c>
      <x:c r="G47" s="42" t="str">
        <x:v>Automated</x:v>
      </x:c>
      <x:c r="H47" s="42" t="str">
        <x:v>Self-hosted (primary); agent-framework, orchestrator, and RAG hosts for all deployment types where the organization runs them</x:v>
      </x:c>
      <x:c r="I47" s="42" t="str">
        <x:v>TVM-02 (malware and malicious instructions protection), TVM-04 (detection updates), I&amp;S-09 (network defense), I&amp;S-04 (OS hardening and base controls)</x:v>
      </x:c>
      <x:c r="J47" s="42" t="str">
        <x:v>MAP 2.3; MAP 4.1; MANAGE 2.3; MANAGE 4.1</x:v>
      </x:c>
      <x:c r="K47" s="42" t="str">
        <x:v>MAP 2.3: - Identify and document experiment design and statistical techniques that are valid for testing complex socio-technical systems like AI, which involve human factors, emergent properties, and dynamic context(s) of use. - Develop and apply TEVV protocols for models, system and its subcomponents, deployment, and operation. - Demonstrate and document that AI system performance and validation metrics are interpretable and unambiguous for downstream decision making tasks, and take socio-technical factors such as context of use into consideration. - Identify and document assumptions, techniques, and metrics used for testing and evaluation throughout the AI lifecycle including experimental design techniques for data collection, selection, and management practices in accordance with data governance policies established in GOVERN.… MAP 4.1: - Review audit reports, testing results, product roadmaps, warranties, terms of service, end user license agreements, contracts, and other documentation related to third-party entities to assist in value assessment and risk management activities. - Review third-party software release schedules and software change management plans (hotfixes, patches, updates, forward- and backward- compatibility guarantees) for irregularities that may contribute to AI system risks. - Inventory third-party material (hardware, open-source software, foundation models, open source data, proprietary software, proprietary data, etc.) required for system implementation and maintenance. - Review redundancies related to third-party technology and personnel to assess potential risks due to lack of adequate support. MANAGE 2.3: - Protocols, resources, and metrics are in place for continual monitoring of AI systems’ performance, trustworthiness, and alignment with contextual norms and values - Establish and regularly review treatment and response plans for incidents, negative impacts, or outcomes. - Establish and maintain procedures to regularly monitor system components for drift, decontextualization, or other AI system behavior factors, - Establish and maintain procedures for capturing feedback about negative impacts. - Verify contingency processes to handle any negative impacts associated with mission-critical AI systems, and to deactivate systems. - Enable preventive and post-hoc exploration of AI system limitations by relevant AI actor groups. - Decommission systems that exceed risk tolerances. MANAGE 4.1: - Establish and maintain procedures to monitor AI system performance for risks and negative and positive impacts associated with trustworthiness characteristics. - Perform post-deployment TEVV tasks to evaluate AI system validity and reliability, bias and fairness, privacy, and security and resilience. - Evaluate AI system trustworthiness in conditions similar to deployment context of use, and prior to deployment. - Establish and implement red-teaming exercises at a prescribed cadence, and evaluate their efficacy.…</x:v>
      </x:c>
      <x:c r="L47" s="42" t="str">
        <x:v>Derived by CSA domain/theme</x:v>
      </x:c>
      <x:c r="M47" s="42" t="str">
        <x:v>Annex A.3; Annex A.6</x:v>
      </x:c>
      <x:c r="N47" s="42" t="str">
        <x:v>Annex A.3 – Internal organization: Define AI roles and responsibilities; provide reporting and confidential escalation paths; investigate and resolve AI-related concerns. Annex A.6 – AI system life cycle: Define responsible development objectives, specify verification and validation, maintain technical documentation, and record/maintain event logs during system use.</x:v>
      </x:c>
      <x:c r="O47" s="42" t="str">
        <x:v>Derived by control theme/domain</x:v>
      </x:c>
      <x:c r="P47" s="42" t="str">
        <x:v>Track role-based completion, knowledge checks, and refresh cadence. Define log schema, retention, access controls, alerting, and incident triage integration.</x:v>
      </x:c>
      <x:c r="Q47" s="42" t="str">
        <x:v>CSA AI Assessment Criteria INFRA-05 (endpoint security), NIST SP 800-190, MITRE ATLAS (Execution, Exfiltration tactics)</x:v>
      </x:c>
      <x:c r="R47" s="42" t="str">
        <x:v>Architecture diagrams; cloud/security baseline; network segmentation; encryption configuration; key management evidence; vulnerability scans; hardening standards; backup/DR test results.</x:v>
      </x:c>
      <x:c r="S47" s="42" t="str">
        <x:v>Inspect infrastructure baseline; sample cloud resources and endpoints; verify encryption, logging, segmentation, vulnerability remediation, backup, and recovery testing evidence.</x:v>
      </x:c>
      <x:c r="T47" s="42" t="str">
        <x:v>Yes</x:v>
      </x:c>
      <x:c r="U47" s="42" t="str"/>
      <x:c r="V47" s="42" t="str"/>
      <x:c r="W47" s="42" t="str">
        <x:v>Not Assessed</x:v>
      </x:c>
      <x:c r="X47" s="44" t="n">
        <x:v>0</x:v>
      </x:c>
      <x:c r="Y47" s="44" t="n">
        <x:v>4</x:v>
      </x:c>
      <x:c r="Z47" s="42" t="str">
        <x:v>Not Provided</x:v>
      </x:c>
      <x:c r="AA47" s="42" t="str"/>
      <x:c r="AB47" s="42" t="str">
        <x:v>Not Tested</x:v>
      </x:c>
      <x:c r="AC47" s="46" t="str"/>
      <x:c r="AD47" s="42" t="str"/>
      <x:c r="AE47" s="42" t="str">
        <x:v>Not Assessed</x:v>
      </x:c>
      <x:c r="AF47" s="42" t="n">
        <x:f>IF($T47="No","",MAX(0,$Y47-$X47))</x:f>
        <x:v>4</x:v>
      </x:c>
      <x:c r="AG47" s="42" t="str">
        <x:f>IF($T47="No","Not Applicable",IF($X47&gt;=$C47,"Meets CSA Level","Gap to CSA Level"))</x:f>
        <x:v>Gap to CSA Level</x:v>
      </x:c>
      <x:c r="AH47" s="42" t="str">
        <x:f>IF($T47="No","Not Applicable",IF($J47="","Not Mapped",IF(AND(OR($W47="Implemented",$W47="Optimized"),$Z47="Validated",$AB47="Pass"),"Compliant",IF(AND(OR($W47="Partially Implemented",$W47="Implemented",$W47="Optimized"),OR($Z47="Reviewed",$Z47="Validated"),OR($AB47="Pass with Exceptions",$AB47="Pass")),"Partially Compliant","Not Compliant"))))</x:f>
        <x:v>Not Compliant</x:v>
      </x:c>
      <x:c r="AI47" s="42" t="str">
        <x:f>IF($T47="No","Not Applicable",IF($M47="","Not Mapped",IF(AND(OR($W47="Implemented",$W47="Optimized"),$Z47="Validated",$AB47="Pass"),"Compliant",IF(AND(OR($W47="Partially Implemented",$W47="Implemented",$W47="Optimized"),OR($Z47="Reviewed",$Z47="Validated"),OR($AB47="Pass with Exceptions",$AB47="Pass")),"Partially Compliant","Not Compliant"))))</x:f>
        <x:v>Not Compliant</x:v>
      </x:c>
      <x:c r="AJ47" s="42" t="str">
        <x:f>IF($T47="No","Not Applicable",IF(AND($AG47="Meets CSA Level",$AH47="Compliant",$AI47="Compliant"),"CSA AISMM; NIST AI RMF; ISO/IEC 42001",IF(AND($AG47="Meets CSA Level",$AH47="Compliant"),"CSA AISMM; NIST AI RMF",IF(AND($AG47="Meets CSA Level",$AI47="Compliant"),"CSA AISMM; ISO/IEC 42001",IF(AND($AH47="Compliant",$AI47="Compliant"),"NIST AI RMF; ISO/IEC 42001",IF($AG47="Meets CSA Level","CSA AISMM",IF($AH47="Compliant","NIST AI RMF",IF($AI47="Compliant","ISO/IEC 42001","No mapped framework fully compliant"))))))))</x:f>
        <x:v>No mapped framework fully compliant</x:v>
      </x:c>
      <x:c r="AK47" s="42" t="str"/>
      <x:c r="AL47" s="46" t="str"/>
      <x:c r="AM47" s="42" t="str"/>
      <x:c r="AN47" s="42" t="str">
        <x:v>CSA AISMM uploaded workbook; NIST AI RMF Playbook uploaded workbook; ISO/IEC 42001 checklist uploaded PDF; official CSA/NIST/ISO web sources listed on Sources sheet</x:v>
      </x:c>
    </x:row>
    <x:row r="48" ht="90" customHeight="1">
      <x:c r="A48" s="42" t="str">
        <x:v>Infrastructure</x:v>
      </x:c>
      <x:c r="B48" s="42" t="str">
        <x:v>INF-04.2</x:v>
      </x:c>
      <x:c r="C48" s="42" t="n">
        <x:v>4</x:v>
      </x:c>
      <x:c r="D48" s="42" t="str">
        <x:v>INF</x:v>
      </x:c>
      <x:c r="E48" s="42" t="str">
        <x:v>IaC pipeline security gates for AI infrastructure deployments</x:v>
      </x:c>
      <x:c r="F48" s="42" t="str">
        <x:v>IaC changes targeting production AI infrastructure pass a required automated pipeline stage running policy-as-code checks (such as Checkov, OPA/Rego, or Kyverno) against the INF-03.1 baseline, with violating changes blocked at merge or apply time. Bypasses and exceptions are logged with a named owner and expiration.</x:v>
      </x:c>
      <x:c r="G48" s="42" t="str">
        <x:v>Automated</x:v>
      </x:c>
      <x:c r="H48" s="42" t="str">
        <x:v>Self-hosted (primary); PaaS and API/SaaS where the organization runs supporting infrastructure</x:v>
      </x:c>
      <x:c r="I48" s="42" t="str">
        <x:v>I&amp;S-01 (infrastructure and virtualization security policy), I&amp;S-04 (OS hardening and base controls), TVM-05 (external library vulnerabilities for IaC), DCS-05 (asset classification)</x:v>
      </x:c>
      <x:c r="J48" s="42" t="str">
        <x:v>MAP 2.3; MAP 4.1; MANAGE 2.3; MANAGE 4.1</x:v>
      </x:c>
      <x:c r="K48" s="42" t="str">
        <x:v>MAP 2.3: - Identify and document experiment design and statistical techniques that are valid for testing complex socio-technical systems like AI, which involve human factors, emergent properties, and dynamic context(s) of use. - Develop and apply TEVV protocols for models, system and its subcomponents, deployment, and operation. - Demonstrate and document that AI system performance and validation metrics are interpretable and unambiguous for downstream decision making tasks, and take socio-technical factors such as context of use into consideration. - Identify and document assumptions, techniques, and metrics used for testing and evaluation throughout the AI lifecycle including experimental design techniques for data collection, selection, and management practices in accordance with data governance policies established in GOVERN.… MAP 4.1: - Review audit reports, testing results, product roadmaps, warranties, terms of service, end user license agreements, contracts, and other documentation related to third-party entities to assist in value assessment and risk management activities. - Review third-party software release schedules and software change management plans (hotfixes, patches, updates, forward- and backward- compatibility guarantees) for irregularities that may contribute to AI system risks. - Inventory third-party material (hardware, open-source software, foundation models, open source data, proprietary software, proprietary data, etc.) required for system implementation and maintenance. - Review redundancies related to third-party technology and personnel to assess potential risks due to lack of adequate support. MANAGE 2.3: - Protocols, resources, and metrics are in place for continual monitoring of AI systems’ performance, trustworthiness, and alignment with contextual norms and values - Establish and regularly review treatment and response plans for incidents, negative impacts, or outcomes. - Establish and maintain procedures to regularly monitor system components for drift, decontextualization, or other AI system behavior factors, - Establish and maintain procedures for capturing feedback about negative impacts. - Verify contingency processes to handle any negative impacts associated with mission-critical AI systems, and to deactivate systems. - Enable preventive and post-hoc exploration of AI system limitations by relevant AI actor groups. - Decommission systems that exceed risk tolerances. MANAGE 4.1: - Establish and maintain procedures to monitor AI system performance for risks and negative and positive impacts associated with trustworthiness characteristics. - Perform post-deployment TEVV tasks to evaluate AI system validity and reliability, bias and fairness, privacy, and security and resilience. - Evaluate AI system trustworthiness in conditions similar to deployment context of use, and prior to deployment. - Establish and implement red-teaming exercises at a prescribed cadence, and evaluate their efficacy.…</x:v>
      </x:c>
      <x:c r="L48" s="42" t="str">
        <x:v>Derived by CSA domain/theme</x:v>
      </x:c>
      <x:c r="M48" s="42" t="str">
        <x:v>Annex A.2; Annex A.4</x:v>
      </x:c>
      <x:c r="N48" s="42" t="str">
        <x:v>Annex A.2 – Policies related to AI: Document and approve AI policy, include responsible AI principles and continual improvement, review policy regularly, and align it to other relevant organizational policies. Annex A.4 – Resources for AI systems: Maintain a register of AI resources including data, tools, systems, people, tooling, compute resources, and relevant operational/environmental impacts.</x:v>
      </x:c>
      <x:c r="O48" s="42" t="str">
        <x:v>Derived by control theme/domain</x:v>
      </x:c>
      <x:c r="P48" s="42" t="str">
        <x:v>Use this row as a control objective to assess current state, define target maturity, collect evidence, and remediate gaps.</x:v>
      </x:c>
      <x:c r="Q48" s="42" t="str">
        <x:v>NIST SSDF PO.3, CIS Benchmarks, OpenSSF Scorecard</x:v>
      </x:c>
      <x:c r="R48" s="42" t="str">
        <x:v>Architecture diagrams; cloud/security baseline; network segmentation; encryption configuration; key management evidence; vulnerability scans; hardening standards; backup/DR test results.</x:v>
      </x:c>
      <x:c r="S48" s="42" t="str">
        <x:v>Inspect infrastructure baseline; sample cloud resources and endpoints; verify encryption, logging, segmentation, vulnerability remediation, backup, and recovery testing evidence.</x:v>
      </x:c>
      <x:c r="T48" s="42" t="str">
        <x:v>Yes</x:v>
      </x:c>
      <x:c r="U48" s="42" t="str"/>
      <x:c r="V48" s="42" t="str"/>
      <x:c r="W48" s="42" t="str">
        <x:v>Not Assessed</x:v>
      </x:c>
      <x:c r="X48" s="44" t="n">
        <x:v>0</x:v>
      </x:c>
      <x:c r="Y48" s="44" t="n">
        <x:v>4</x:v>
      </x:c>
      <x:c r="Z48" s="42" t="str">
        <x:v>Not Provided</x:v>
      </x:c>
      <x:c r="AA48" s="42" t="str"/>
      <x:c r="AB48" s="42" t="str">
        <x:v>Not Tested</x:v>
      </x:c>
      <x:c r="AC48" s="46" t="str"/>
      <x:c r="AD48" s="42" t="str"/>
      <x:c r="AE48" s="42" t="str">
        <x:v>Not Assessed</x:v>
      </x:c>
      <x:c r="AF48" s="42" t="n">
        <x:f>IF($T48="No","",MAX(0,$Y48-$X48))</x:f>
        <x:v>4</x:v>
      </x:c>
      <x:c r="AG48" s="42" t="str">
        <x:f>IF($T48="No","Not Applicable",IF($X48&gt;=$C48,"Meets CSA Level","Gap to CSA Level"))</x:f>
        <x:v>Gap to CSA Level</x:v>
      </x:c>
      <x:c r="AH48" s="42" t="str">
        <x:f>IF($T48="No","Not Applicable",IF($J48="","Not Mapped",IF(AND(OR($W48="Implemented",$W48="Optimized"),$Z48="Validated",$AB48="Pass"),"Compliant",IF(AND(OR($W48="Partially Implemented",$W48="Implemented",$W48="Optimized"),OR($Z48="Reviewed",$Z48="Validated"),OR($AB48="Pass with Exceptions",$AB48="Pass")),"Partially Compliant","Not Compliant"))))</x:f>
        <x:v>Not Compliant</x:v>
      </x:c>
      <x:c r="AI48" s="42" t="str">
        <x:f>IF($T48="No","Not Applicable",IF($M48="","Not Mapped",IF(AND(OR($W48="Implemented",$W48="Optimized"),$Z48="Validated",$AB48="Pass"),"Compliant",IF(AND(OR($W48="Partially Implemented",$W48="Implemented",$W48="Optimized"),OR($Z48="Reviewed",$Z48="Validated"),OR($AB48="Pass with Exceptions",$AB48="Pass")),"Partially Compliant","Not Compliant"))))</x:f>
        <x:v>Not Compliant</x:v>
      </x:c>
      <x:c r="AJ48" s="42" t="str">
        <x:f>IF($T48="No","Not Applicable",IF(AND($AG48="Meets CSA Level",$AH48="Compliant",$AI48="Compliant"),"CSA AISMM; NIST AI RMF; ISO/IEC 42001",IF(AND($AG48="Meets CSA Level",$AH48="Compliant"),"CSA AISMM; NIST AI RMF",IF(AND($AG48="Meets CSA Level",$AI48="Compliant"),"CSA AISMM; ISO/IEC 42001",IF(AND($AH48="Compliant",$AI48="Compliant"),"NIST AI RMF; ISO/IEC 42001",IF($AG48="Meets CSA Level","CSA AISMM",IF($AH48="Compliant","NIST AI RMF",IF($AI48="Compliant","ISO/IEC 42001","No mapped framework fully compliant"))))))))</x:f>
        <x:v>No mapped framework fully compliant</x:v>
      </x:c>
      <x:c r="AK48" s="42" t="str"/>
      <x:c r="AL48" s="46" t="str"/>
      <x:c r="AM48" s="42" t="str"/>
      <x:c r="AN48" s="42" t="str">
        <x:v>CSA AISMM uploaded workbook; NIST AI RMF Playbook uploaded workbook; ISO/IEC 42001 checklist uploaded PDF; official CSA/NIST/ISO web sources listed on Sources sheet</x:v>
      </x:c>
    </x:row>
    <x:row r="49" ht="90" customHeight="1">
      <x:c r="A49" s="42" t="str">
        <x:v>Infrastructure</x:v>
      </x:c>
      <x:c r="B49" s="42" t="str">
        <x:v>INF-04.3</x:v>
      </x:c>
      <x:c r="C49" s="42" t="n">
        <x:v>4</x:v>
      </x:c>
      <x:c r="D49" s="42" t="str">
        <x:v>INF</x:v>
      </x:c>
      <x:c r="E49" s="42" t="str">
        <x:v>Resilience of AI-specific stateful components</x:v>
      </x:c>
      <x:c r="F49" s="42" t="str">
        <x:v>The organization maintains backup-and-restore capability for AI-specific stateful components it operates such as self-operated vector stores and embedding indices, fine-tuned and self-hosted model artifacts, system prompts and agent configurations, RAG source caches, and the approved-model registry, with recorded RPO/RTO per component class and a restore drill exercised against each class annually.</x:v>
      </x:c>
      <x:c r="G49" s="42" t="str">
        <x:v>Either</x:v>
      </x:c>
      <x:c r="H49" s="42" t="str">
        <x:v>All (scope set by which AI-specific stateful components the organization operates)</x:v>
      </x:c>
      <x:c r="I49" s="42" t="str">
        <x:v>BCR-08 (backup), BCR-06 (business continuity exercises), BCR-11 (equipment redundancy), BCR-04 (business continuity planning)</x:v>
      </x:c>
      <x:c r="J49" s="42" t="str">
        <x:v>MANAGE 4</x:v>
      </x:c>
      <x:c r="K49" s="42" t="str">
        <x:v>MANAGE 4: Parent AI RMF category/function referenced; use associated subcategory rows for testable control language.</x:v>
      </x:c>
      <x:c r="L49" s="42" t="str">
        <x:v>Direct from AISMM external reference</x:v>
      </x:c>
      <x:c r="M49" s="42" t="str">
        <x:v>Annex A.4; Annex A.6; Annex A.9</x:v>
      </x:c>
      <x:c r="N49" s="42" t="str">
        <x:v>Annex A.4 – Resources for AI systems: Maintain a register of AI resources including data, tools, systems, people, tooling, compute resources, and relevant operational/environmental impacts. Annex A.6 – AI system life cycle: Define responsible development objectives, specify verification and validation, maintain technical documentation, and record/maintain event logs during system use. Annex A.9 – Use of AI systems: Define responsible AI use processes, ethical/appropriate-use objectives, intended-purpose usage boundaries, and monitoring/remediation for misuse or unintended consequences.</x:v>
      </x:c>
      <x:c r="O49" s="42" t="str">
        <x:v>Derived by control theme/domain</x:v>
      </x:c>
      <x:c r="P49" s="42" t="str">
        <x:v>Use this row as a control objective to assess current state, define target maturity, collect evidence, and remediate gaps.</x:v>
      </x:c>
      <x:c r="Q49" s="42" t="str">
        <x:v>NIST AI RMF MANAGE-4, ISO 22301</x:v>
      </x:c>
      <x:c r="R49" s="42" t="str">
        <x:v>Architecture diagrams; cloud/security baseline; network segmentation; encryption configuration; key management evidence; vulnerability scans; hardening standards; backup/DR test results.</x:v>
      </x:c>
      <x:c r="S49" s="42" t="str">
        <x:v>Inspect infrastructure baseline; sample cloud resources and endpoints; verify encryption, logging, segmentation, vulnerability remediation, backup, and recovery testing evidence.</x:v>
      </x:c>
      <x:c r="T49" s="42" t="str">
        <x:v>Yes</x:v>
      </x:c>
      <x:c r="U49" s="42" t="str"/>
      <x:c r="V49" s="42" t="str"/>
      <x:c r="W49" s="42" t="str">
        <x:v>Not Assessed</x:v>
      </x:c>
      <x:c r="X49" s="44" t="n">
        <x:v>0</x:v>
      </x:c>
      <x:c r="Y49" s="44" t="n">
        <x:v>4</x:v>
      </x:c>
      <x:c r="Z49" s="42" t="str">
        <x:v>Not Provided</x:v>
      </x:c>
      <x:c r="AA49" s="42" t="str"/>
      <x:c r="AB49" s="42" t="str">
        <x:v>Not Tested</x:v>
      </x:c>
      <x:c r="AC49" s="46" t="str"/>
      <x:c r="AD49" s="42" t="str"/>
      <x:c r="AE49" s="42" t="str">
        <x:v>Not Assessed</x:v>
      </x:c>
      <x:c r="AF49" s="42" t="n">
        <x:f>IF($T49="No","",MAX(0,$Y49-$X49))</x:f>
        <x:v>4</x:v>
      </x:c>
      <x:c r="AG49" s="42" t="str">
        <x:f>IF($T49="No","Not Applicable",IF($X49&gt;=$C49,"Meets CSA Level","Gap to CSA Level"))</x:f>
        <x:v>Gap to CSA Level</x:v>
      </x:c>
      <x:c r="AH49" s="42" t="str">
        <x:f>IF($T49="No","Not Applicable",IF($J49="","Not Mapped",IF(AND(OR($W49="Implemented",$W49="Optimized"),$Z49="Validated",$AB49="Pass"),"Compliant",IF(AND(OR($W49="Partially Implemented",$W49="Implemented",$W49="Optimized"),OR($Z49="Reviewed",$Z49="Validated"),OR($AB49="Pass with Exceptions",$AB49="Pass")),"Partially Compliant","Not Compliant"))))</x:f>
        <x:v>Not Compliant</x:v>
      </x:c>
      <x:c r="AI49" s="42" t="str">
        <x:f>IF($T49="No","Not Applicable",IF($M49="","Not Mapped",IF(AND(OR($W49="Implemented",$W49="Optimized"),$Z49="Validated",$AB49="Pass"),"Compliant",IF(AND(OR($W49="Partially Implemented",$W49="Implemented",$W49="Optimized"),OR($Z49="Reviewed",$Z49="Validated"),OR($AB49="Pass with Exceptions",$AB49="Pass")),"Partially Compliant","Not Compliant"))))</x:f>
        <x:v>Not Compliant</x:v>
      </x:c>
      <x:c r="AJ49" s="42" t="str">
        <x:f>IF($T49="No","Not Applicable",IF(AND($AG49="Meets CSA Level",$AH49="Compliant",$AI49="Compliant"),"CSA AISMM; NIST AI RMF; ISO/IEC 42001",IF(AND($AG49="Meets CSA Level",$AH49="Compliant"),"CSA AISMM; NIST AI RMF",IF(AND($AG49="Meets CSA Level",$AI49="Compliant"),"CSA AISMM; ISO/IEC 42001",IF(AND($AH49="Compliant",$AI49="Compliant"),"NIST AI RMF; ISO/IEC 42001",IF($AG49="Meets CSA Level","CSA AISMM",IF($AH49="Compliant","NIST AI RMF",IF($AI49="Compliant","ISO/IEC 42001","No mapped framework fully compliant"))))))))</x:f>
        <x:v>No mapped framework fully compliant</x:v>
      </x:c>
      <x:c r="AK49" s="42" t="str"/>
      <x:c r="AL49" s="46" t="str"/>
      <x:c r="AM49" s="42" t="str"/>
      <x:c r="AN49" s="42" t="str">
        <x:v>CSA AISMM uploaded workbook; NIST AI RMF Playbook uploaded workbook; ISO/IEC 42001 checklist uploaded PDF; official CSA/NIST/ISO web sources listed on Sources sheet</x:v>
      </x:c>
    </x:row>
    <x:row r="50" ht="90" customHeight="1">
      <x:c r="A50" s="42" t="str">
        <x:v>Infrastructure</x:v>
      </x:c>
      <x:c r="B50" s="42" t="str">
        <x:v>INF-04.4</x:v>
      </x:c>
      <x:c r="C50" s="42" t="n">
        <x:v>4</x:v>
      </x:c>
      <x:c r="D50" s="42" t="str">
        <x:v>INF</x:v>
      </x:c>
      <x:c r="E50" s="42" t="str">
        <x:v>Initial zero trust enforcement on a named AI infrastructure plane</x:v>
      </x:c>
      <x:c r="F50" s="42" t="str">
        <x:v>A named production AI infrastructure access plane, such as model-serving management, training-cluster admin, or the orchestrator/agent-framework control plane, is gated by zero trust access. Legacy network-only paths to that plane are inventoried with named owners and a retirement plan.</x:v>
      </x:c>
      <x:c r="G50" s="42" t="str">
        <x:v>Automated</x:v>
      </x:c>
      <x:c r="H50" s="42" t="str">
        <x:v>Self-hosted (primary); orchestrator, agent-framework, and RAG-hosting infrastructure for all deployment types where the organization operates them</x:v>
      </x:c>
      <x:c r="I50" s="42" t="str">
        <x:v>I&amp;S-03 (network security), I&amp;S-06 (segmentation and segregation), DCS-08 (equipment identification)</x:v>
      </x:c>
      <x:c r="J50" s="42" t="str">
        <x:v>MAP 2.3; MAP 4.1; MANAGE 2.3; MANAGE 4.1</x:v>
      </x:c>
      <x:c r="K50" s="42" t="str">
        <x:v>MAP 2.3: - Identify and document experiment design and statistical techniques that are valid for testing complex socio-technical systems like AI, which involve human factors, emergent properties, and dynamic context(s) of use. - Develop and apply TEVV protocols for models, system and its subcomponents, deployment, and operation. - Demonstrate and document that AI system performance and validation metrics are interpretable and unambiguous for downstream decision making tasks, and take socio-technical factors such as context of use into consideration. - Identify and document assumptions, techniques, and metrics used for testing and evaluation throughout the AI lifecycle including experimental design techniques for data collection, selection, and management practices in accordance with data governance policies established in GOVERN.… MAP 4.1: - Review audit reports, testing results, product roadmaps, warranties, terms of service, end user license agreements, contracts, and other documentation related to third-party entities to assist in value assessment and risk management activities. - Review third-party software release schedules and software change management plans (hotfixes, patches, updates, forward- and backward- compatibility guarantees) for irregularities that may contribute to AI system risks. - Inventory third-party material (hardware, open-source software, foundation models, open source data, proprietary software, proprietary data, etc.) required for system implementation and maintenance. - Review redundancies related to third-party technology and personnel to assess potential risks due to lack of adequate support. MANAGE 2.3: - Protocols, resources, and metrics are in place for continual monitoring of AI systems’ performance, trustworthiness, and alignment with contextual norms and values - Establish and regularly review treatment and response plans for incidents, negative impacts, or outcomes. - Establish and maintain procedures to regularly monitor system components for drift, decontextualization, or other AI system behavior factors, - Establish and maintain procedures for capturing feedback about negative impacts. - Verify contingency processes to handle any negative impacts associated with mission-critical AI systems, and to deactivate systems. - Enable preventive and post-hoc exploration of AI system limitations by relevant AI actor groups. - Decommission systems that exceed risk tolerances. MANAGE 4.1: - Establish and maintain procedures to monitor AI system performance for risks and negative and positive impacts associated with trustworthiness characteristics. - Perform post-deployment TEVV tasks to evaluate AI system validity and reliability, bias and fairness, privacy, and security and resilience. - Evaluate AI system trustworthiness in conditions similar to deployment context of use, and prior to deployment. - Establish and implement red-teaming exercises at a prescribed cadence, and evaluate their efficacy.…</x:v>
      </x:c>
      <x:c r="L50" s="42" t="str">
        <x:v>Derived by CSA domain/theme</x:v>
      </x:c>
      <x:c r="M50" s="42" t="str">
        <x:v>Annex A.3; Annex A.4; Annex A.6</x:v>
      </x:c>
      <x:c r="N50" s="42" t="str">
        <x:v>Annex A.3 – Internal organization: Define AI roles and responsibilities; provide reporting and confidential escalation paths; investigate and resolve AI-related concerns. Annex A.4 – Resources for AI systems: Maintain a register of AI resources including data, tools, systems, people, tooling, compute resources, and relevant operational/environmental impacts. Annex A.6 – AI system life cycle: Define responsible development objectives, specify verification and validation, maintain technical documentation, and record/maintain event logs during system use.</x:v>
      </x:c>
      <x:c r="O50" s="42" t="str">
        <x:v>Derived by control theme/domain</x:v>
      </x:c>
      <x:c r="P50" s="42" t="str">
        <x:v>Use this row as a control objective to assess current state, define target maturity, collect evidence, and remediate gaps.</x:v>
      </x:c>
      <x:c r="Q50" s="42" t="str">
        <x:v>NIST SP 800-207 (Zero Trust Architecture), CISA Zero Trust Maturity Model</x:v>
      </x:c>
      <x:c r="R50" s="42" t="str">
        <x:v>Architecture diagrams; cloud/security baseline; network segmentation; encryption configuration; key management evidence; vulnerability scans; hardening standards; backup/DR test results.</x:v>
      </x:c>
      <x:c r="S50" s="42" t="str">
        <x:v>Inspect infrastructure baseline; sample cloud resources and endpoints; verify encryption, logging, segmentation, vulnerability remediation, backup, and recovery testing evidence.</x:v>
      </x:c>
      <x:c r="T50" s="42" t="str">
        <x:v>Yes</x:v>
      </x:c>
      <x:c r="U50" s="42" t="str"/>
      <x:c r="V50" s="42" t="str"/>
      <x:c r="W50" s="42" t="str">
        <x:v>Not Assessed</x:v>
      </x:c>
      <x:c r="X50" s="44" t="n">
        <x:v>0</x:v>
      </x:c>
      <x:c r="Y50" s="44" t="n">
        <x:v>4</x:v>
      </x:c>
      <x:c r="Z50" s="42" t="str">
        <x:v>Not Provided</x:v>
      </x:c>
      <x:c r="AA50" s="42" t="str"/>
      <x:c r="AB50" s="42" t="str">
        <x:v>Not Tested</x:v>
      </x:c>
      <x:c r="AC50" s="46" t="str"/>
      <x:c r="AD50" s="42" t="str"/>
      <x:c r="AE50" s="42" t="str">
        <x:v>Not Assessed</x:v>
      </x:c>
      <x:c r="AF50" s="42" t="n">
        <x:f>IF($T50="No","",MAX(0,$Y50-$X50))</x:f>
        <x:v>4</x:v>
      </x:c>
      <x:c r="AG50" s="42" t="str">
        <x:f>IF($T50="No","Not Applicable",IF($X50&gt;=$C50,"Meets CSA Level","Gap to CSA Level"))</x:f>
        <x:v>Gap to CSA Level</x:v>
      </x:c>
      <x:c r="AH50" s="42" t="str">
        <x:f>IF($T50="No","Not Applicable",IF($J50="","Not Mapped",IF(AND(OR($W50="Implemented",$W50="Optimized"),$Z50="Validated",$AB50="Pass"),"Compliant",IF(AND(OR($W50="Partially Implemented",$W50="Implemented",$W50="Optimized"),OR($Z50="Reviewed",$Z50="Validated"),OR($AB50="Pass with Exceptions",$AB50="Pass")),"Partially Compliant","Not Compliant"))))</x:f>
        <x:v>Not Compliant</x:v>
      </x:c>
      <x:c r="AI50" s="42" t="str">
        <x:f>IF($T50="No","Not Applicable",IF($M50="","Not Mapped",IF(AND(OR($W50="Implemented",$W50="Optimized"),$Z50="Validated",$AB50="Pass"),"Compliant",IF(AND(OR($W50="Partially Implemented",$W50="Implemented",$W50="Optimized"),OR($Z50="Reviewed",$Z50="Validated"),OR($AB50="Pass with Exceptions",$AB50="Pass")),"Partially Compliant","Not Compliant"))))</x:f>
        <x:v>Not Compliant</x:v>
      </x:c>
      <x:c r="AJ50" s="42" t="str">
        <x:f>IF($T50="No","Not Applicable",IF(AND($AG50="Meets CSA Level",$AH50="Compliant",$AI50="Compliant"),"CSA AISMM; NIST AI RMF; ISO/IEC 42001",IF(AND($AG50="Meets CSA Level",$AH50="Compliant"),"CSA AISMM; NIST AI RMF",IF(AND($AG50="Meets CSA Level",$AI50="Compliant"),"CSA AISMM; ISO/IEC 42001",IF(AND($AH50="Compliant",$AI50="Compliant"),"NIST AI RMF; ISO/IEC 42001",IF($AG50="Meets CSA Level","CSA AISMM",IF($AH50="Compliant","NIST AI RMF",IF($AI50="Compliant","ISO/IEC 42001","No mapped framework fully compliant"))))))))</x:f>
        <x:v>No mapped framework fully compliant</x:v>
      </x:c>
      <x:c r="AK50" s="42" t="str"/>
      <x:c r="AL50" s="46" t="str"/>
      <x:c r="AM50" s="42" t="str"/>
      <x:c r="AN50" s="42" t="str">
        <x:v>CSA AISMM uploaded workbook; NIST AI RMF Playbook uploaded workbook; ISO/IEC 42001 checklist uploaded PDF; official CSA/NIST/ISO web sources listed on Sources sheet</x:v>
      </x:c>
    </x:row>
    <x:row r="51" ht="90" customHeight="1">
      <x:c r="A51" s="42" t="str">
        <x:v>Infrastructure</x:v>
      </x:c>
      <x:c r="B51" s="42" t="str">
        <x:v>INF-05.1</x:v>
      </x:c>
      <x:c r="C51" s="42" t="n">
        <x:v>5</x:v>
      </x:c>
      <x:c r="D51" s="42" t="str">
        <x:v>INF</x:v>
      </x:c>
      <x:c r="E51" s="42" t="str">
        <x:v>Zero trust enforcement extended to all AI infrastructure planes</x:v>
      </x:c>
      <x:c r="F51" s="42" t="str">
        <x:v>Administrative and developer access to all AI infrastructure planes (training clusters, inference management, model-serving runtimes, orchestrator and agent-framework control planes, and self-operated vector-store consoles) is gated by zero trust access. Legacy paths such as VPN-only access, shared admin credentials, and long-lived access keys are retired. Service-to-service access consumes the IAM-owned workload-identity pattern (SPIFFE/SPIRE or service-mesh mTLS).</x:v>
      </x:c>
      <x:c r="G51" s="42" t="str">
        <x:v>Automated</x:v>
      </x:c>
      <x:c r="H51" s="42" t="str">
        <x:v>Self-hosted (primary); orchestrator, agent-framework, and RAG-hosting infrastructure for all deployment types</x:v>
      </x:c>
      <x:c r="I51" s="42" t="str">
        <x:v>I&amp;S-03 (network security), I&amp;S-06 (segmentation and segregation), I&amp;S-09 (network defense), DCS-08 (equipment identification)</x:v>
      </x:c>
      <x:c r="J51" s="42" t="str">
        <x:v>MAP 2.3; MAP 4.1; MANAGE 2.3; MANAGE 4.1</x:v>
      </x:c>
      <x:c r="K51" s="42" t="str">
        <x:v>MAP 2.3: - Identify and document experiment design and statistical techniques that are valid for testing complex socio-technical systems like AI, which involve human factors, emergent properties, and dynamic context(s) of use. - Develop and apply TEVV protocols for models, system and its subcomponents, deployment, and operation. - Demonstrate and document that AI system performance and validation metrics are interpretable and unambiguous for downstream decision making tasks, and take socio-technical factors such as context of use into consideration. - Identify and document assumptions, techniques, and metrics used for testing and evaluation throughout the AI lifecycle including experimental design techniques for data collection, selection, and management practices in accordance with data governance policies established in GOVERN.… MAP 4.1: - Review audit reports, testing results, product roadmaps, warranties, terms of service, end user license agreements, contracts, and other documentation related to third-party entities to assist in value assessment and risk management activities. - Review third-party software release schedules and software change management plans (hotfixes, patches, updates, forward- and backward- compatibility guarantees) for irregularities that may contribute to AI system risks. - Inventory third-party material (hardware, open-source software, foundation models, open source data, proprietary software, proprietary data, etc.) required for system implementation and maintenance. - Review redundancies related to third-party technology and personnel to assess potential risks due to lack of adequate support. MANAGE 2.3: - Protocols, resources, and metrics are in place for continual monitoring of AI systems’ performance, trustworthiness, and alignment with contextual norms and values - Establish and regularly review treatment and response plans for incidents, negative impacts, or outcomes. - Establish and maintain procedures to regularly monitor system components for drift, decontextualization, or other AI system behavior factors, - Establish and maintain procedures for capturing feedback about negative impacts. - Verify contingency processes to handle any negative impacts associated with mission-critical AI systems, and to deactivate systems. - Enable preventive and post-hoc exploration of AI system limitations by relevant AI actor groups. - Decommission systems that exceed risk tolerances. MANAGE 4.1: - Establish and maintain procedures to monitor AI system performance for risks and negative and positive impacts associated with trustworthiness characteristics. - Perform post-deployment TEVV tasks to evaluate AI system validity and reliability, bias and fairness, privacy, and security and resilience. - Evaluate AI system trustworthiness in conditions similar to deployment context of use, and prior to deployment. - Establish and implement red-teaming exercises at a prescribed cadence, and evaluate their efficacy.…</x:v>
      </x:c>
      <x:c r="L51" s="42" t="str">
        <x:v>Derived by CSA domain/theme</x:v>
      </x:c>
      <x:c r="M51" s="42" t="str">
        <x:v>Annex A.3; Annex A.4; Annex A.6</x:v>
      </x:c>
      <x:c r="N51" s="42" t="str">
        <x:v>Annex A.3 – Internal organization: Define AI roles and responsibilities; provide reporting and confidential escalation paths; investigate and resolve AI-related concerns. Annex A.4 – Resources for AI systems: Maintain a register of AI resources including data, tools, systems, people, tooling, compute resources, and relevant operational/environmental impacts. Annex A.6 – AI system life cycle: Define responsible development objectives, specify verification and validation, maintain technical documentation, and record/maintain event logs during system use.</x:v>
      </x:c>
      <x:c r="O51" s="42" t="str">
        <x:v>Derived by control theme/domain</x:v>
      </x:c>
      <x:c r="P51" s="42" t="str">
        <x:v>Use this row as a control objective to assess current state, define target maturity, collect evidence, and remediate gaps.</x:v>
      </x:c>
      <x:c r="Q51" s="42" t="str">
        <x:v>NIST SP 800-207 (Zero Trust Architecture), CISA Zero Trust Maturity Model</x:v>
      </x:c>
      <x:c r="R51" s="42" t="str">
        <x:v>Architecture diagrams; cloud/security baseline; network segmentation; encryption configuration; key management evidence; vulnerability scans; hardening standards; backup/DR test results.</x:v>
      </x:c>
      <x:c r="S51" s="42" t="str">
        <x:v>Inspect infrastructure baseline; sample cloud resources and endpoints; verify encryption, logging, segmentation, vulnerability remediation, backup, and recovery testing evidence.</x:v>
      </x:c>
      <x:c r="T51" s="42" t="str">
        <x:v>Yes</x:v>
      </x:c>
      <x:c r="U51" s="42" t="str"/>
      <x:c r="V51" s="42" t="str"/>
      <x:c r="W51" s="42" t="str">
        <x:v>Not Assessed</x:v>
      </x:c>
      <x:c r="X51" s="44" t="n">
        <x:v>0</x:v>
      </x:c>
      <x:c r="Y51" s="44" t="n">
        <x:v>5</x:v>
      </x:c>
      <x:c r="Z51" s="42" t="str">
        <x:v>Not Provided</x:v>
      </x:c>
      <x:c r="AA51" s="42" t="str"/>
      <x:c r="AB51" s="42" t="str">
        <x:v>Not Tested</x:v>
      </x:c>
      <x:c r="AC51" s="46" t="str"/>
      <x:c r="AD51" s="42" t="str"/>
      <x:c r="AE51" s="42" t="str">
        <x:v>Not Assessed</x:v>
      </x:c>
      <x:c r="AF51" s="42" t="n">
        <x:f>IF($T51="No","",MAX(0,$Y51-$X51))</x:f>
        <x:v>5</x:v>
      </x:c>
      <x:c r="AG51" s="42" t="str">
        <x:f>IF($T51="No","Not Applicable",IF($X51&gt;=$C51,"Meets CSA Level","Gap to CSA Level"))</x:f>
        <x:v>Gap to CSA Level</x:v>
      </x:c>
      <x:c r="AH51" s="42" t="str">
        <x:f>IF($T51="No","Not Applicable",IF($J51="","Not Mapped",IF(AND(OR($W51="Implemented",$W51="Optimized"),$Z51="Validated",$AB51="Pass"),"Compliant",IF(AND(OR($W51="Partially Implemented",$W51="Implemented",$W51="Optimized"),OR($Z51="Reviewed",$Z51="Validated"),OR($AB51="Pass with Exceptions",$AB51="Pass")),"Partially Compliant","Not Compliant"))))</x:f>
        <x:v>Not Compliant</x:v>
      </x:c>
      <x:c r="AI51" s="42" t="str">
        <x:f>IF($T51="No","Not Applicable",IF($M51="","Not Mapped",IF(AND(OR($W51="Implemented",$W51="Optimized"),$Z51="Validated",$AB51="Pass"),"Compliant",IF(AND(OR($W51="Partially Implemented",$W51="Implemented",$W51="Optimized"),OR($Z51="Reviewed",$Z51="Validated"),OR($AB51="Pass with Exceptions",$AB51="Pass")),"Partially Compliant","Not Compliant"))))</x:f>
        <x:v>Not Compliant</x:v>
      </x:c>
      <x:c r="AJ51" s="42" t="str">
        <x:f>IF($T51="No","Not Applicable",IF(AND($AG51="Meets CSA Level",$AH51="Compliant",$AI51="Compliant"),"CSA AISMM; NIST AI RMF; ISO/IEC 42001",IF(AND($AG51="Meets CSA Level",$AH51="Compliant"),"CSA AISMM; NIST AI RMF",IF(AND($AG51="Meets CSA Level",$AI51="Compliant"),"CSA AISMM; ISO/IEC 42001",IF(AND($AH51="Compliant",$AI51="Compliant"),"NIST AI RMF; ISO/IEC 42001",IF($AG51="Meets CSA Level","CSA AISMM",IF($AH51="Compliant","NIST AI RMF",IF($AI51="Compliant","ISO/IEC 42001","No mapped framework fully compliant"))))))))</x:f>
        <x:v>No mapped framework fully compliant</x:v>
      </x:c>
      <x:c r="AK51" s="42" t="str"/>
      <x:c r="AL51" s="46" t="str"/>
      <x:c r="AM51" s="42" t="str"/>
      <x:c r="AN51" s="42" t="str">
        <x:v>CSA AISMM uploaded workbook; NIST AI RMF Playbook uploaded workbook; ISO/IEC 42001 checklist uploaded PDF; official CSA/NIST/ISO web sources listed on Sources sheet</x:v>
      </x:c>
    </x:row>
    <x:row r="52" ht="90" customHeight="1">
      <x:c r="A52" s="42" t="str">
        <x:v>Infrastructure</x:v>
      </x:c>
      <x:c r="B52" s="42" t="str">
        <x:v>INF-05.2</x:v>
      </x:c>
      <x:c r="C52" s="42" t="n">
        <x:v>5</x:v>
      </x:c>
      <x:c r="D52" s="42" t="str">
        <x:v>INF</x:v>
      </x:c>
      <x:c r="E52" s="42" t="str">
        <x:v>Immutable infrastructure and confidential computing for high-sensitivity AI workloads</x:v>
      </x:c>
      <x:c r="F52" s="42" t="str">
        <x:v>Production AI inference and training hosts run under an immutable-infrastructure pattern: configuration changes happen via image rebuild rather than in-place mutation, and hosts that exceed the baseline's age-since-last-rebuild limit are redeployed. Confidential computing is an available option for workloads classified high-sensitivity under the enterprise data-classification scheme (such as Nitro Enclaves or Confidential VMs) with attestation verified before workload admission.</x:v>
      </x:c>
      <x:c r="G52" s="42" t="str">
        <x:v>Automated</x:v>
      </x:c>
      <x:c r="H52" s="42" t="str">
        <x:v>Self-hosted (primary for confidential computing); all deployment types where the organization operates supporting infrastructure (for immutable infrastructure)</x:v>
      </x:c>
      <x:c r="I52" s="42" t="str">
        <x:v>I&amp;S-04 (OS hardening and base controls), I&amp;S-06 (segmentation and segregation), DCS-05 (asset classification), BCR-03 (business continuity strategy)</x:v>
      </x:c>
      <x:c r="J52" s="42" t="str">
        <x:v>MAP 2.3; MAP 4.1; MANAGE 2.3; MANAGE 4.1</x:v>
      </x:c>
      <x:c r="K52" s="42" t="str">
        <x:v>MAP 2.3: - Identify and document experiment design and statistical techniques that are valid for testing complex socio-technical systems like AI, which involve human factors, emergent properties, and dynamic context(s) of use. - Develop and apply TEVV protocols for models, system and its subcomponents, deployment, and operation. - Demonstrate and document that AI system performance and validation metrics are interpretable and unambiguous for downstream decision making tasks, and take socio-technical factors such as context of use into consideration. - Identify and document assumptions, techniques, and metrics used for testing and evaluation throughout the AI lifecycle including experimental design techniques for data collection, selection, and management practices in accordance with data governance policies established in GOVERN.… MAP 4.1: - Review audit reports, testing results, product roadmaps, warranties, terms of service, end user license agreements, contracts, and other documentation related to third-party entities to assist in value assessment and risk management activities. - Review third-party software release schedules and software change management plans (hotfixes, patches, updates, forward- and backward- compatibility guarantees) for irregularities that may contribute to AI system risks. - Inventory third-party material (hardware, open-source software, foundation models, open source data, proprietary software, proprietary data, etc.) required for system implementation and maintenance. - Review redundancies related to third-party technology and personnel to assess potential risks due to lack of adequate support. MANAGE 2.3: - Protocols, resources, and metrics are in place for continual monitoring of AI systems’ performance, trustworthiness, and alignment with contextual norms and values - Establish and regularly review treatment and response plans for incidents, negative impacts, or outcomes. - Establish and maintain procedures to regularly monitor system components for drift, decontextualization, or other AI system behavior factors, - Establish and maintain procedures for capturing feedback about negative impacts. - Verify contingency processes to handle any negative impacts associated with mission-critical AI systems, and to deactivate systems. - Enable preventive and post-hoc exploration of AI system limitations by relevant AI actor groups. - Decommission systems that exceed risk tolerances. MANAGE 4.1: - Establish and maintain procedures to monitor AI system performance for risks and negative and positive impacts associated with trustworthiness characteristics. - Perform post-deployment TEVV tasks to evaluate AI system validity and reliability, bias and fairness, privacy, and security and resilience. - Evaluate AI system trustworthiness in conditions similar to deployment context of use, and prior to deployment. - Establish and implement red-teaming exercises at a prescribed cadence, and evaluate their efficacy.…</x:v>
      </x:c>
      <x:c r="L52" s="42" t="str">
        <x:v>Derived by CSA domain/theme</x:v>
      </x:c>
      <x:c r="M52" s="42" t="str">
        <x:v>Annex A.2; Annex A.3; Annex A.4; Annex A.7; Annex A.8</x:v>
      </x:c>
      <x:c r="N52" s="42" t="str">
        <x:v>Annex A.2 – Policies related to AI: Document and approve AI policy, include responsible AI principles and continual improvement, review policy regularly, and align it to other relevant organizational policies. Annex A.3 – Internal organization: Define AI roles and responsibilities; provide reporting and confidential escalation paths; investigate and resolve AI-related concerns. Annex A.4 – Resources for AI systems: Maintain a register of AI resources including data, tools, systems, people, tooling, compute resources, and relevant operational/environmental impacts. Annex A.7 – Data for AI systems: Maintain documented AI data management, identify sources and provenance, record intended use, define data quality requirements, and document/justify preparation methods. Annex A.8 – Information for interested parties: Provide necessary documentation to users and interested parties; define incident reporting/escalation, incident communication, and stakeholder information requirements.</x:v>
      </x:c>
      <x:c r="O52" s="42" t="str">
        <x:v>Derived by control theme/domain</x:v>
      </x:c>
      <x:c r="P52" s="42" t="str">
        <x:v>Use this row as a control objective to assess current state, define target maturity, collect evidence, and remediate gaps.</x:v>
      </x:c>
      <x:c r="Q52" s="42" t="str">
        <x:v>Confidential Computing Consortium reference architectures, NIST SP 800-190, Google Confidential VMs / AWS Nitro Enclaves / Azure Confidential Computing documentation</x:v>
      </x:c>
      <x:c r="R52" s="42" t="str">
        <x:v>Architecture diagrams; cloud/security baseline; network segmentation; encryption configuration; key management evidence; vulnerability scans; hardening standards; backup/DR test results.</x:v>
      </x:c>
      <x:c r="S52" s="42" t="str">
        <x:v>Inspect infrastructure baseline; sample cloud resources and endpoints; verify encryption, logging, segmentation, vulnerability remediation, backup, and recovery testing evidence.</x:v>
      </x:c>
      <x:c r="T52" s="42" t="str">
        <x:v>Yes</x:v>
      </x:c>
      <x:c r="U52" s="42" t="str"/>
      <x:c r="V52" s="42" t="str"/>
      <x:c r="W52" s="42" t="str">
        <x:v>Not Assessed</x:v>
      </x:c>
      <x:c r="X52" s="44" t="n">
        <x:v>0</x:v>
      </x:c>
      <x:c r="Y52" s="44" t="n">
        <x:v>5</x:v>
      </x:c>
      <x:c r="Z52" s="42" t="str">
        <x:v>Not Provided</x:v>
      </x:c>
      <x:c r="AA52" s="42" t="str"/>
      <x:c r="AB52" s="42" t="str">
        <x:v>Not Tested</x:v>
      </x:c>
      <x:c r="AC52" s="46" t="str"/>
      <x:c r="AD52" s="42" t="str"/>
      <x:c r="AE52" s="42" t="str">
        <x:v>Not Assessed</x:v>
      </x:c>
      <x:c r="AF52" s="42" t="n">
        <x:f>IF($T52="No","",MAX(0,$Y52-$X52))</x:f>
        <x:v>5</x:v>
      </x:c>
      <x:c r="AG52" s="42" t="str">
        <x:f>IF($T52="No","Not Applicable",IF($X52&gt;=$C52,"Meets CSA Level","Gap to CSA Level"))</x:f>
        <x:v>Gap to CSA Level</x:v>
      </x:c>
      <x:c r="AH52" s="42" t="str">
        <x:f>IF($T52="No","Not Applicable",IF($J52="","Not Mapped",IF(AND(OR($W52="Implemented",$W52="Optimized"),$Z52="Validated",$AB52="Pass"),"Compliant",IF(AND(OR($W52="Partially Implemented",$W52="Implemented",$W52="Optimized"),OR($Z52="Reviewed",$Z52="Validated"),OR($AB52="Pass with Exceptions",$AB52="Pass")),"Partially Compliant","Not Compliant"))))</x:f>
        <x:v>Not Compliant</x:v>
      </x:c>
      <x:c r="AI52" s="42" t="str">
        <x:f>IF($T52="No","Not Applicable",IF($M52="","Not Mapped",IF(AND(OR($W52="Implemented",$W52="Optimized"),$Z52="Validated",$AB52="Pass"),"Compliant",IF(AND(OR($W52="Partially Implemented",$W52="Implemented",$W52="Optimized"),OR($Z52="Reviewed",$Z52="Validated"),OR($AB52="Pass with Exceptions",$AB52="Pass")),"Partially Compliant","Not Compliant"))))</x:f>
        <x:v>Not Compliant</x:v>
      </x:c>
      <x:c r="AJ52" s="42" t="str">
        <x:f>IF($T52="No","Not Applicable",IF(AND($AG52="Meets CSA Level",$AH52="Compliant",$AI52="Compliant"),"CSA AISMM; NIST AI RMF; ISO/IEC 42001",IF(AND($AG52="Meets CSA Level",$AH52="Compliant"),"CSA AISMM; NIST AI RMF",IF(AND($AG52="Meets CSA Level",$AI52="Compliant"),"CSA AISMM; ISO/IEC 42001",IF(AND($AH52="Compliant",$AI52="Compliant"),"NIST AI RMF; ISO/IEC 42001",IF($AG52="Meets CSA Level","CSA AISMM",IF($AH52="Compliant","NIST AI RMF",IF($AI52="Compliant","ISO/IEC 42001","No mapped framework fully compliant"))))))))</x:f>
        <x:v>No mapped framework fully compliant</x:v>
      </x:c>
      <x:c r="AK52" s="42" t="str"/>
      <x:c r="AL52" s="46" t="str"/>
      <x:c r="AM52" s="42" t="str"/>
      <x:c r="AN52" s="42" t="str">
        <x:v>CSA AISMM uploaded workbook; NIST AI RMF Playbook uploaded workbook; ISO/IEC 42001 checklist uploaded PDF; official CSA/NIST/ISO web sources listed on Sources sheet</x:v>
      </x:c>
    </x:row>
    <x:row r="53" ht="90" customHeight="1">
      <x:c r="A53" s="42" t="str">
        <x:v>Model Security</x:v>
      </x:c>
      <x:c r="B53" s="42" t="str">
        <x:v>MOD-02.1</x:v>
      </x:c>
      <x:c r="C53" s="42" t="n">
        <x:v>2</x:v>
      </x:c>
      <x:c r="D53" s="42" t="str">
        <x:v>MOD</x:v>
      </x:c>
      <x:c r="E53" s="42" t="str">
        <x:v>Model inventory with pre-deployment risk review</x:v>
      </x:c>
      <x:c r="F53" s="42" t="str">
        <x:v>An inventory of production models is maintained across PaaS, API/SaaS, and self-hosted deployments, with major deployments carrying a dated pre-deployment risk review. The inventory reflects current production usage at a documented refresh cadence.</x:v>
      </x:c>
      <x:c r="G53" s="42" t="str">
        <x:v>Manual</x:v>
      </x:c>
      <x:c r="H53" s="42" t="str">
        <x:v>All</x:v>
      </x:c>
      <x:c r="I53" s="42" t="str">
        <x:v>MDS-12 (open model risk assessment), MDS-04 (model documentation requirements)</x:v>
      </x:c>
      <x:c r="J53" s="42" t="str">
        <x:v>MAP 1</x:v>
      </x:c>
      <x:c r="K53" s="42" t="str">
        <x:v>MAP 1: Parent AI RMF category/function referenced; use associated subcategory rows for testable control language.</x:v>
      </x:c>
      <x:c r="L53" s="42" t="str">
        <x:v>Direct from AISMM external reference</x:v>
      </x:c>
      <x:c r="M53" s="42" t="str">
        <x:v>Annex A.4; Annex A.6; Annex A.10</x:v>
      </x:c>
      <x:c r="N53" s="42" t="str">
        <x:v>Annex A.4 – Resources for AI systems: Maintain a register of AI resources including data, tools, systems, people, tooling, compute resources, and relevant operational/environmental impacts. Annex A.6 – AI system life cycle: Define responsible development objectives, specify verification and validation, maintain technical documentation, and record/maintain event logs during system use. Annex A.10 – Third-party and customer relationships: Define lifecycle responsibilities with third parties, manage AI suppliers, capture customer expectations, and review third-party roles through ongoing governance.</x:v>
      </x:c>
      <x:c r="O53" s="42" t="str">
        <x:v>Derived by control theme/domain</x:v>
      </x:c>
      <x:c r="P53" s="42" t="str">
        <x:v>Maintain authoritative AI inventory; link assets to owners, use cases, providers, data classes, and risk tiers.</x:v>
      </x:c>
      <x:c r="Q53" s="42" t="str">
        <x:v>OWASP LLM03:2025 Supply Chain, NIST AI RMF MAP-1, MITRE ATLAS (Model Supply Chain)</x:v>
      </x:c>
      <x:c r="R53" s="42" t="str">
        <x:v>Model documentation; model cards; evaluation results; bias/fairness testing; robustness and red-team reports; model version history; tuning/benchmark records; approval for model changes.</x:v>
      </x:c>
      <x:c r="S53" s="42" t="str">
        <x:v>Review sample model evidence; compare evaluation results to acceptance thresholds; verify versioning, change approvals, and monitoring handoff before production release.</x:v>
      </x:c>
      <x:c r="T53" s="42" t="str">
        <x:v>Yes</x:v>
      </x:c>
      <x:c r="U53" s="42" t="str"/>
      <x:c r="V53" s="42" t="str"/>
      <x:c r="W53" s="42" t="str">
        <x:v>Not Assessed</x:v>
      </x:c>
      <x:c r="X53" s="44" t="n">
        <x:v>0</x:v>
      </x:c>
      <x:c r="Y53" s="44" t="n">
        <x:v>2</x:v>
      </x:c>
      <x:c r="Z53" s="42" t="str">
        <x:v>Not Provided</x:v>
      </x:c>
      <x:c r="AA53" s="42" t="str"/>
      <x:c r="AB53" s="42" t="str">
        <x:v>Not Tested</x:v>
      </x:c>
      <x:c r="AC53" s="46" t="str"/>
      <x:c r="AD53" s="42" t="str"/>
      <x:c r="AE53" s="42" t="str">
        <x:v>Not Assessed</x:v>
      </x:c>
      <x:c r="AF53" s="42" t="n">
        <x:f>IF($T53="No","",MAX(0,$Y53-$X53))</x:f>
        <x:v>2</x:v>
      </x:c>
      <x:c r="AG53" s="42" t="str">
        <x:f>IF($T53="No","Not Applicable",IF($X53&gt;=$C53,"Meets CSA Level","Gap to CSA Level"))</x:f>
        <x:v>Gap to CSA Level</x:v>
      </x:c>
      <x:c r="AH53" s="42" t="str">
        <x:f>IF($T53="No","Not Applicable",IF($J53="","Not Mapped",IF(AND(OR($W53="Implemented",$W53="Optimized"),$Z53="Validated",$AB53="Pass"),"Compliant",IF(AND(OR($W53="Partially Implemented",$W53="Implemented",$W53="Optimized"),OR($Z53="Reviewed",$Z53="Validated"),OR($AB53="Pass with Exceptions",$AB53="Pass")),"Partially Compliant","Not Compliant"))))</x:f>
        <x:v>Not Compliant</x:v>
      </x:c>
      <x:c r="AI53" s="42" t="str">
        <x:f>IF($T53="No","Not Applicable",IF($M53="","Not Mapped",IF(AND(OR($W53="Implemented",$W53="Optimized"),$Z53="Validated",$AB53="Pass"),"Compliant",IF(AND(OR($W53="Partially Implemented",$W53="Implemented",$W53="Optimized"),OR($Z53="Reviewed",$Z53="Validated"),OR($AB53="Pass with Exceptions",$AB53="Pass")),"Partially Compliant","Not Compliant"))))</x:f>
        <x:v>Not Compliant</x:v>
      </x:c>
      <x:c r="AJ53" s="42" t="str">
        <x:f>IF($T53="No","Not Applicable",IF(AND($AG53="Meets CSA Level",$AH53="Compliant",$AI53="Compliant"),"CSA AISMM; NIST AI RMF; ISO/IEC 42001",IF(AND($AG53="Meets CSA Level",$AH53="Compliant"),"CSA AISMM; NIST AI RMF",IF(AND($AG53="Meets CSA Level",$AI53="Compliant"),"CSA AISMM; ISO/IEC 42001",IF(AND($AH53="Compliant",$AI53="Compliant"),"NIST AI RMF; ISO/IEC 42001",IF($AG53="Meets CSA Level","CSA AISMM",IF($AH53="Compliant","NIST AI RMF",IF($AI53="Compliant","ISO/IEC 42001","No mapped framework fully compliant"))))))))</x:f>
        <x:v>No mapped framework fully compliant</x:v>
      </x:c>
      <x:c r="AK53" s="42" t="str"/>
      <x:c r="AL53" s="46" t="str"/>
      <x:c r="AM53" s="42" t="str"/>
      <x:c r="AN53" s="42" t="str">
        <x:v>CSA AISMM uploaded workbook; NIST AI RMF Playbook uploaded workbook; ISO/IEC 42001 checklist uploaded PDF; official CSA/NIST/ISO web sources listed on Sources sheet</x:v>
      </x:c>
    </x:row>
    <x:row r="54" ht="90" customHeight="1">
      <x:c r="A54" s="42" t="str">
        <x:v>Model Security</x:v>
      </x:c>
      <x:c r="B54" s="42" t="str">
        <x:v>MOD-02.2</x:v>
      </x:c>
      <x:c r="C54" s="42" t="n">
        <x:v>2</x:v>
      </x:c>
      <x:c r="D54" s="42" t="str">
        <x:v>MOD</x:v>
      </x:c>
      <x:c r="E54" s="42" t="str">
        <x:v>Model safety review for high-criticality deployments</x:v>
      </x:c>
      <x:c r="F54" s="42" t="str">
        <x:v>Every high-criticality production deployment in the MOD-02.1 inventory has a documented pre-production model-safety review sourced from the model's published safety characteristics. Reviews are scoped per unique model and deployment-type combination, not per individual deployment.</x:v>
      </x:c>
      <x:c r="G54" s="42" t="str">
        <x:v>Manual</x:v>
      </x:c>
      <x:c r="H54" s="42" t="str">
        <x:v>All</x:v>
      </x:c>
      <x:c r="I54" s="42" t="str">
        <x:v>MDS-04 (model documentation requirements)</x:v>
      </x:c>
      <x:c r="J54" s="42" t="str">
        <x:v>MAP 1.1; MEASURE 2.4; MEASURE 2.6; MANAGE 2.3; MANAGE 4.1</x:v>
      </x:c>
      <x:c r="K54" s="42" t="str">
        <x:v>MAP 1.1: - Maintain awareness of industry, technical, and applicable legal standards. - Examine trustworthiness of AI system design and consider, non-AI solutions - Consider intended AI system design tasks along with unanticipated purposes in collaboration with human factors and socio-technical domain experts. - Define and document the task, purpose, minimum functionality, and benefits of the AI system to inform considerations about whether the utility of the project or its lack of. - Identify whether there are non-AI or non-technology alternatives that will lead to more trustworthy outcomes. - Examine how changes in system performance affect downstream events such as decision-making (e.g: changes in an AI model objective function create what types of impacts in how many candidates do/do not get a job interview).… MEASURE 2.4: - Monitor and document how metrics and performance indicators observed in production differ from the same metrics collected during pre-deployment testing. When differences are observed, consider error propagation and feedback loop risks. - Utilize hypothesis testing or human domain expertise to measure monitored distribution differences in new input or output data relative to test environments - Monitor for anomalies using approaches such as control limits, confidence intervals, integrity constraints and ML algorithms. When anomalies are observed, consider error propagation and feedback loop risks. - Verify alerts are in place for when distributions in new input data or generated predictions observed in production differ from pre-deployment test outcomes, or when anomalies are detected.… MEASURE 2.6: - Thoroughly measure system performance in development and deployment contexts, and under stress conditions. - Employ test data assessments and simulations before proceeding to production testing. Track multiple performance quality and error metrics. - Stress-test system performance under likely scenarios (e.g., concept drift, high load) and beyond known limitations, in consultation with domain experts. - Test the system under conditions similar to those related to past known incidents or near-misses and measure system performance and safety characteristics - Apply chaos engineering approaches to test systems in extreme conditions and gauge unexpected responses. - Document the range of conditions under which the system has been tested and demonstrated to fail safely. - Measure and monitor system performance in real-time to enable rapid response when AI system incidents are detected.… MANAGE 2.3: - Protocols, resources, and metrics are in place for continual monitoring of AI systems’ performance, trustworthiness, and alignment with contextual norms and values - Establish and regularly review treatment and response plans for incidents, negative impacts, or outcomes. - Establish and maintain procedures to regularly monitor system components for drift, decontextualization, or other AI system behavior factors,…</x:v>
      </x:c>
      <x:c r="L54" s="42" t="str">
        <x:v>Derived by CSA domain/theme</x:v>
      </x:c>
      <x:c r="M54" s="42" t="str">
        <x:v>Annex A.4; Annex A.6; Annex A.10</x:v>
      </x:c>
      <x:c r="N54" s="42" t="str">
        <x:v>Annex A.4 – Resources for AI systems: Maintain a register of AI resources including data, tools, systems, people, tooling, compute resources, and relevant operational/environmental impacts. Annex A.6 – AI system life cycle: Define responsible development objectives, specify verification and validation, maintain technical documentation, and record/maintain event logs during system use. Annex A.10 – Third-party and customer relationships: Define lifecycle responsibilities with third parties, manage AI suppliers, capture customer expectations, and review third-party roles through ongoing governance.</x:v>
      </x:c>
      <x:c r="O54" s="42" t="str">
        <x:v>Derived by control theme/domain</x:v>
      </x:c>
      <x:c r="P54" s="42" t="str">
        <x:v>Use this row as a control objective to assess current state, define target maturity, collect evidence, and remediate gaps.</x:v>
      </x:c>
      <x:c r="Q54" s="42" t="str">
        <x:v>Provider model cards / system cards (Anthropic model cards, OpenAI system cards, Google AI Principles evaluations)</x:v>
      </x:c>
      <x:c r="R54" s="42" t="str">
        <x:v>Model documentation; model cards; evaluation results; bias/fairness testing; robustness and red-team reports; model version history; tuning/benchmark records; approval for model changes.</x:v>
      </x:c>
      <x:c r="S54" s="42" t="str">
        <x:v>Review sample model evidence; compare evaluation results to acceptance thresholds; verify versioning, change approvals, and monitoring handoff before production release.</x:v>
      </x:c>
      <x:c r="T54" s="42" t="str">
        <x:v>Yes</x:v>
      </x:c>
      <x:c r="U54" s="42" t="str"/>
      <x:c r="V54" s="42" t="str"/>
      <x:c r="W54" s="42" t="str">
        <x:v>Not Assessed</x:v>
      </x:c>
      <x:c r="X54" s="44" t="n">
        <x:v>0</x:v>
      </x:c>
      <x:c r="Y54" s="44" t="n">
        <x:v>2</x:v>
      </x:c>
      <x:c r="Z54" s="42" t="str">
        <x:v>Not Provided</x:v>
      </x:c>
      <x:c r="AA54" s="42" t="str"/>
      <x:c r="AB54" s="42" t="str">
        <x:v>Not Tested</x:v>
      </x:c>
      <x:c r="AC54" s="46" t="str"/>
      <x:c r="AD54" s="42" t="str"/>
      <x:c r="AE54" s="42" t="str">
        <x:v>Not Assessed</x:v>
      </x:c>
      <x:c r="AF54" s="42" t="n">
        <x:f>IF($T54="No","",MAX(0,$Y54-$X54))</x:f>
        <x:v>2</x:v>
      </x:c>
      <x:c r="AG54" s="42" t="str">
        <x:f>IF($T54="No","Not Applicable",IF($X54&gt;=$C54,"Meets CSA Level","Gap to CSA Level"))</x:f>
        <x:v>Gap to CSA Level</x:v>
      </x:c>
      <x:c r="AH54" s="42" t="str">
        <x:f>IF($T54="No","Not Applicable",IF($J54="","Not Mapped",IF(AND(OR($W54="Implemented",$W54="Optimized"),$Z54="Validated",$AB54="Pass"),"Compliant",IF(AND(OR($W54="Partially Implemented",$W54="Implemented",$W54="Optimized"),OR($Z54="Reviewed",$Z54="Validated"),OR($AB54="Pass with Exceptions",$AB54="Pass")),"Partially Compliant","Not Compliant"))))</x:f>
        <x:v>Not Compliant</x:v>
      </x:c>
      <x:c r="AI54" s="42" t="str">
        <x:f>IF($T54="No","Not Applicable",IF($M54="","Not Mapped",IF(AND(OR($W54="Implemented",$W54="Optimized"),$Z54="Validated",$AB54="Pass"),"Compliant",IF(AND(OR($W54="Partially Implemented",$W54="Implemented",$W54="Optimized"),OR($Z54="Reviewed",$Z54="Validated"),OR($AB54="Pass with Exceptions",$AB54="Pass")),"Partially Compliant","Not Compliant"))))</x:f>
        <x:v>Not Compliant</x:v>
      </x:c>
      <x:c r="AJ54" s="42" t="str">
        <x:f>IF($T54="No","Not Applicable",IF(AND($AG54="Meets CSA Level",$AH54="Compliant",$AI54="Compliant"),"CSA AISMM; NIST AI RMF; ISO/IEC 42001",IF(AND($AG54="Meets CSA Level",$AH54="Compliant"),"CSA AISMM; NIST AI RMF",IF(AND($AG54="Meets CSA Level",$AI54="Compliant"),"CSA AISMM; ISO/IEC 42001",IF(AND($AH54="Compliant",$AI54="Compliant"),"NIST AI RMF; ISO/IEC 42001",IF($AG54="Meets CSA Level","CSA AISMM",IF($AH54="Compliant","NIST AI RMF",IF($AI54="Compliant","ISO/IEC 42001","No mapped framework fully compliant"))))))))</x:f>
        <x:v>No mapped framework fully compliant</x:v>
      </x:c>
      <x:c r="AK54" s="42" t="str"/>
      <x:c r="AL54" s="46" t="str"/>
      <x:c r="AM54" s="42" t="str"/>
      <x:c r="AN54" s="42" t="str">
        <x:v>CSA AISMM uploaded workbook; NIST AI RMF Playbook uploaded workbook; ISO/IEC 42001 checklist uploaded PDF; official CSA/NIST/ISO web sources listed on Sources sheet</x:v>
      </x:c>
    </x:row>
    <x:row r="55" ht="90" customHeight="1">
      <x:c r="A55" s="42" t="str">
        <x:v>Model Security</x:v>
      </x:c>
      <x:c r="B55" s="42" t="str">
        <x:v>MOD-03.1</x:v>
      </x:c>
      <x:c r="C55" s="42" t="n">
        <x:v>3</x:v>
      </x:c>
      <x:c r="D55" s="42" t="str">
        <x:v>MOD</x:v>
      </x:c>
      <x:c r="E55" s="42" t="str">
        <x:v>Model approval includes documented safety evaluation of the model</x:v>
      </x:c>
      <x:c r="F55" s="42" t="str">
        <x:v>Every approved-model registry entry carries a safety evaluation applied under written criteria, signed off by a named approval authority before the model enters the registry. The evaluation is re-performed when a new model version is added.</x:v>
      </x:c>
      <x:c r="G55" s="42" t="str">
        <x:v>Manual</x:v>
      </x:c>
      <x:c r="H55" s="42" t="str">
        <x:v>All</x:v>
      </x:c>
      <x:c r="I55" s="42" t="str">
        <x:v>MDS-03 (model documentation), MDS-04 (model documentation requirements), MDS-06 (adversarial attack analysis), MDS-12 (open model risk assessment — for open/third-party models)</x:v>
      </x:c>
      <x:c r="J55" s="42" t="str">
        <x:v>MAP 1.1; MEASURE 2.4; MEASURE 2.6; MANAGE 2.3; MANAGE 4.1</x:v>
      </x:c>
      <x:c r="K55" s="42" t="str">
        <x:v>MAP 1.1: - Maintain awareness of industry, technical, and applicable legal standards. - Examine trustworthiness of AI system design and consider, non-AI solutions - Consider intended AI system design tasks along with unanticipated purposes in collaboration with human factors and socio-technical domain experts. - Define and document the task, purpose, minimum functionality, and benefits of the AI system to inform considerations about whether the utility of the project or its lack of. - Identify whether there are non-AI or non-technology alternatives that will lead to more trustworthy outcomes. - Examine how changes in system performance affect downstream events such as decision-making (e.g: changes in an AI model objective function create what types of impacts in how many candidates do/do not get a job interview).… MEASURE 2.4: - Monitor and document how metrics and performance indicators observed in production differ from the same metrics collected during pre-deployment testing. When differences are observed, consider error propagation and feedback loop risks. - Utilize hypothesis testing or human domain expertise to measure monitored distribution differences in new input or output data relative to test environments - Monitor for anomalies using approaches such as control limits, confidence intervals, integrity constraints and ML algorithms. When anomalies are observed, consider error propagation and feedback loop risks. - Verify alerts are in place for when distributions in new input data or generated predictions observed in production differ from pre-deployment test outcomes, or when anomalies are detected.… MEASURE 2.6: - Thoroughly measure system performance in development and deployment contexts, and under stress conditions. - Employ test data assessments and simulations before proceeding to production testing. Track multiple performance quality and error metrics. - Stress-test system performance under likely scenarios (e.g., concept drift, high load) and beyond known limitations, in consultation with domain experts. - Test the system under conditions similar to those related to past known incidents or near-misses and measure system performance and safety characteristics - Apply chaos engineering approaches to test systems in extreme conditions and gauge unexpected responses. - Document the range of conditions under which the system has been tested and demonstrated to fail safely. - Measure and monitor system performance in real-time to enable rapid response when AI system incidents are detected.… MANAGE 2.3: - Protocols, resources, and metrics are in place for continual monitoring of AI systems’ performance, trustworthiness, and alignment with contextual norms and values - Establish and regularly review treatment and response plans for incidents, negative impacts, or outcomes. - Establish and maintain procedures to regularly monitor system components for drift, decontextualization, or other AI system behavior factors,…</x:v>
      </x:c>
      <x:c r="L55" s="42" t="str">
        <x:v>Derived by CSA domain/theme</x:v>
      </x:c>
      <x:c r="M55" s="42" t="str">
        <x:v>Annex A.3; Annex A.4; Annex A.6; Annex A.7; Annex A.8; Annex A.10</x:v>
      </x:c>
      <x:c r="N55" s="42" t="str">
        <x:v>Annex A.3 – Internal organization: Define AI roles and responsibilities; provide reporting and confidential escalation paths; investigate and resolve AI-related concerns. Annex A.4 – Resources for AI systems: Maintain a register of AI resources including data, tools, systems, people, tooling, compute resources, and relevant operational/environmental impacts. Annex A.6 – AI system life cycle: Define responsible development objectives, specify verification and validation, maintain technical documentation, and record/maintain event logs during system use. Annex A.7 – Data for AI systems: Maintain documented AI data management, identify sources and provenance, record intended use, define data quality requirements, and document/justify preparation methods. Annex A.8 – Information for interested parties: Provide necessary documentation to users and interested parties; define incident reporting/escalation, incident communication, and stakeholder information requirements. Annex A.10 – Third-party and customer relationships: Define lifecycle responsibilities with third parties, manage AI suppliers, capture customer expectations, and review third-party roles through ongoing governance.</x:v>
      </x:c>
      <x:c r="O55" s="42" t="str">
        <x:v>Derived by control theme/domain</x:v>
      </x:c>
      <x:c r="P55" s="42" t="str">
        <x:v>Use this row as a control objective to assess current state, define target maturity, collect evidence, and remediate gaps.</x:v>
      </x:c>
      <x:c r="Q55" s="42" t="str">
        <x:v>NIST AI RMF Map function; OWASP LLM04:2025 Data and Model Poisoning; model provider safety documentation (Anthropic model cards, OpenAI system cards, Google AI Principles evaluations)</x:v>
      </x:c>
      <x:c r="R55" s="42" t="str">
        <x:v>Model documentation; model cards; evaluation results; bias/fairness testing; robustness and red-team reports; model version history; tuning/benchmark records; approval for model changes.</x:v>
      </x:c>
      <x:c r="S55" s="42" t="str">
        <x:v>Review sample model evidence; compare evaluation results to acceptance thresholds; verify versioning, change approvals, and monitoring handoff before production release.</x:v>
      </x:c>
      <x:c r="T55" s="42" t="str">
        <x:v>Yes</x:v>
      </x:c>
      <x:c r="U55" s="42" t="str"/>
      <x:c r="V55" s="42" t="str"/>
      <x:c r="W55" s="42" t="str">
        <x:v>Not Assessed</x:v>
      </x:c>
      <x:c r="X55" s="44" t="n">
        <x:v>0</x:v>
      </x:c>
      <x:c r="Y55" s="44" t="n">
        <x:v>3</x:v>
      </x:c>
      <x:c r="Z55" s="42" t="str">
        <x:v>Not Provided</x:v>
      </x:c>
      <x:c r="AA55" s="42" t="str"/>
      <x:c r="AB55" s="42" t="str">
        <x:v>Not Tested</x:v>
      </x:c>
      <x:c r="AC55" s="46" t="str"/>
      <x:c r="AD55" s="42" t="str"/>
      <x:c r="AE55" s="42" t="str">
        <x:v>Not Assessed</x:v>
      </x:c>
      <x:c r="AF55" s="42" t="n">
        <x:f>IF($T55="No","",MAX(0,$Y55-$X55))</x:f>
        <x:v>3</x:v>
      </x:c>
      <x:c r="AG55" s="42" t="str">
        <x:f>IF($T55="No","Not Applicable",IF($X55&gt;=$C55,"Meets CSA Level","Gap to CSA Level"))</x:f>
        <x:v>Gap to CSA Level</x:v>
      </x:c>
      <x:c r="AH55" s="42" t="str">
        <x:f>IF($T55="No","Not Applicable",IF($J55="","Not Mapped",IF(AND(OR($W55="Implemented",$W55="Optimized"),$Z55="Validated",$AB55="Pass"),"Compliant",IF(AND(OR($W55="Partially Implemented",$W55="Implemented",$W55="Optimized"),OR($Z55="Reviewed",$Z55="Validated"),OR($AB55="Pass with Exceptions",$AB55="Pass")),"Partially Compliant","Not Compliant"))))</x:f>
        <x:v>Not Compliant</x:v>
      </x:c>
      <x:c r="AI55" s="42" t="str">
        <x:f>IF($T55="No","Not Applicable",IF($M55="","Not Mapped",IF(AND(OR($W55="Implemented",$W55="Optimized"),$Z55="Validated",$AB55="Pass"),"Compliant",IF(AND(OR($W55="Partially Implemented",$W55="Implemented",$W55="Optimized"),OR($Z55="Reviewed",$Z55="Validated"),OR($AB55="Pass with Exceptions",$AB55="Pass")),"Partially Compliant","Not Compliant"))))</x:f>
        <x:v>Not Compliant</x:v>
      </x:c>
      <x:c r="AJ55" s="42" t="str">
        <x:f>IF($T55="No","Not Applicable",IF(AND($AG55="Meets CSA Level",$AH55="Compliant",$AI55="Compliant"),"CSA AISMM; NIST AI RMF; ISO/IEC 42001",IF(AND($AG55="Meets CSA Level",$AH55="Compliant"),"CSA AISMM; NIST AI RMF",IF(AND($AG55="Meets CSA Level",$AI55="Compliant"),"CSA AISMM; ISO/IEC 42001",IF(AND($AH55="Compliant",$AI55="Compliant"),"NIST AI RMF; ISO/IEC 42001",IF($AG55="Meets CSA Level","CSA AISMM",IF($AH55="Compliant","NIST AI RMF",IF($AI55="Compliant","ISO/IEC 42001","No mapped framework fully compliant"))))))))</x:f>
        <x:v>No mapped framework fully compliant</x:v>
      </x:c>
      <x:c r="AK55" s="42" t="str"/>
      <x:c r="AL55" s="46" t="str"/>
      <x:c r="AM55" s="42" t="str"/>
      <x:c r="AN55" s="42" t="str">
        <x:v>CSA AISMM uploaded workbook; NIST AI RMF Playbook uploaded workbook; ISO/IEC 42001 checklist uploaded PDF; official CSA/NIST/ISO web sources listed on Sources sheet</x:v>
      </x:c>
    </x:row>
    <x:row r="56" ht="90" customHeight="1">
      <x:c r="A56" s="42" t="str">
        <x:v>Model Security</x:v>
      </x:c>
      <x:c r="B56" s="42" t="str">
        <x:v>MOD-03.2</x:v>
      </x:c>
      <x:c r="C56" s="42" t="n">
        <x:v>3</x:v>
      </x:c>
      <x:c r="D56" s="42" t="str">
        <x:v>MOD</x:v>
      </x:c>
      <x:c r="E56" s="42" t="str">
        <x:v>Approved models and pinned versions in production</x:v>
      </x:c>
      <x:c r="F56" s="42" t="str">
        <x:v>Production AI workloads invoke only registry-approved models pinned to a specific version. Floating aliases such as "latest" are prohibited in production, exceptions are documented and time-bounded, and rollback to the prior approved version has been exercised.</x:v>
      </x:c>
      <x:c r="G56" s="42" t="str">
        <x:v>Automated</x:v>
      </x:c>
      <x:c r="H56" s="42" t="str">
        <x:v>All</x:v>
      </x:c>
      <x:c r="I56" s="42" t="str">
        <x:v>MDS-12 (open model risk assessment — registry entries), MDS-09 (model signing / ownership verification — cross-reference for self-hosted version identity)</x:v>
      </x:c>
      <x:c r="J56" s="42" t="str">
        <x:v>MAP 1.1; MEASURE 2.4; MEASURE 2.6; MANAGE 2.3; MANAGE 4.1</x:v>
      </x:c>
      <x:c r="K56" s="42" t="str">
        <x:v>MAP 1.1: - Maintain awareness of industry, technical, and applicable legal standards. - Examine trustworthiness of AI system design and consider, non-AI solutions - Consider intended AI system design tasks along with unanticipated purposes in collaboration with human factors and socio-technical domain experts. - Define and document the task, purpose, minimum functionality, and benefits of the AI system to inform considerations about whether the utility of the project or its lack of. - Identify whether there are non-AI or non-technology alternatives that will lead to more trustworthy outcomes. - Examine how changes in system performance affect downstream events such as decision-making (e.g: changes in an AI model objective function create what types of impacts in how many candidates do/do not get a job interview).… MEASURE 2.4: - Monitor and document how metrics and performance indicators observed in production differ from the same metrics collected during pre-deployment testing. When differences are observed, consider error propagation and feedback loop risks. - Utilize hypothesis testing or human domain expertise to measure monitored distribution differences in new input or output data relative to test environments - Monitor for anomalies using approaches such as control limits, confidence intervals, integrity constraints and ML algorithms. When anomalies are observed, consider error propagation and feedback loop risks. - Verify alerts are in place for when distributions in new input data or generated predictions observed in production differ from pre-deployment test outcomes, or when anomalies are detected.… MEASURE 2.6: - Thoroughly measure system performance in development and deployment contexts, and under stress conditions. - Employ test data assessments and simulations before proceeding to production testing. Track multiple performance quality and error metrics. - Stress-test system performance under likely scenarios (e.g., concept drift, high load) and beyond known limitations, in consultation with domain experts. - Test the system under conditions similar to those related to past known incidents or near-misses and measure system performance and safety characteristics - Apply chaos engineering approaches to test systems in extreme conditions and gauge unexpected responses. - Document the range of conditions under which the system has been tested and demonstrated to fail safely. - Measure and monitor system performance in real-time to enable rapid response when AI system incidents are detected.… MANAGE 2.3: - Protocols, resources, and metrics are in place for continual monitoring of AI systems’ performance, trustworthiness, and alignment with contextual norms and values - Establish and regularly review treatment and response plans for incidents, negative impacts, or outcomes. - Establish and maintain procedures to regularly monitor system components for drift, decontextualization, or other AI system behavior factors,…</x:v>
      </x:c>
      <x:c r="L56" s="42" t="str">
        <x:v>Derived by CSA domain/theme</x:v>
      </x:c>
      <x:c r="M56" s="42" t="str">
        <x:v>Annex A.4; Annex A.6; Annex A.10</x:v>
      </x:c>
      <x:c r="N56" s="42" t="str">
        <x:v>Annex A.4 – Resources for AI systems: Maintain a register of AI resources including data, tools, systems, people, tooling, compute resources, and relevant operational/environmental impacts. Annex A.6 – AI system life cycle: Define responsible development objectives, specify verification and validation, maintain technical documentation, and record/maintain event logs during system use. Annex A.10 – Third-party and customer relationships: Define lifecycle responsibilities with third parties, manage AI suppliers, capture customer expectations, and review third-party roles through ongoing governance.</x:v>
      </x:c>
      <x:c r="O56" s="42" t="str">
        <x:v>Derived by control theme/domain</x:v>
      </x:c>
      <x:c r="P56" s="42" t="str">
        <x:v>Use this row as a control objective to assess current state, define target maturity, collect evidence, and remediate gaps.</x:v>
      </x:c>
      <x:c r="Q56" s="42" t="str">
        <x:v>NIST AI RMF Govern function; OWASP LLM03:2025 Supply Chain Vulnerabilities</x:v>
      </x:c>
      <x:c r="R56" s="42" t="str">
        <x:v>Model documentation; model cards; evaluation results; bias/fairness testing; robustness and red-team reports; model version history; tuning/benchmark records; approval for model changes.</x:v>
      </x:c>
      <x:c r="S56" s="42" t="str">
        <x:v>Review sample model evidence; compare evaluation results to acceptance thresholds; verify versioning, change approvals, and monitoring handoff before production release.</x:v>
      </x:c>
      <x:c r="T56" s="42" t="str">
        <x:v>Yes</x:v>
      </x:c>
      <x:c r="U56" s="42" t="str"/>
      <x:c r="V56" s="42" t="str"/>
      <x:c r="W56" s="42" t="str">
        <x:v>Not Assessed</x:v>
      </x:c>
      <x:c r="X56" s="44" t="n">
        <x:v>0</x:v>
      </x:c>
      <x:c r="Y56" s="44" t="n">
        <x:v>3</x:v>
      </x:c>
      <x:c r="Z56" s="42" t="str">
        <x:v>Not Provided</x:v>
      </x:c>
      <x:c r="AA56" s="42" t="str"/>
      <x:c r="AB56" s="42" t="str">
        <x:v>Not Tested</x:v>
      </x:c>
      <x:c r="AC56" s="46" t="str"/>
      <x:c r="AD56" s="42" t="str"/>
      <x:c r="AE56" s="42" t="str">
        <x:v>Not Assessed</x:v>
      </x:c>
      <x:c r="AF56" s="42" t="n">
        <x:f>IF($T56="No","",MAX(0,$Y56-$X56))</x:f>
        <x:v>3</x:v>
      </x:c>
      <x:c r="AG56" s="42" t="str">
        <x:f>IF($T56="No","Not Applicable",IF($X56&gt;=$C56,"Meets CSA Level","Gap to CSA Level"))</x:f>
        <x:v>Gap to CSA Level</x:v>
      </x:c>
      <x:c r="AH56" s="42" t="str">
        <x:f>IF($T56="No","Not Applicable",IF($J56="","Not Mapped",IF(AND(OR($W56="Implemented",$W56="Optimized"),$Z56="Validated",$AB56="Pass"),"Compliant",IF(AND(OR($W56="Partially Implemented",$W56="Implemented",$W56="Optimized"),OR($Z56="Reviewed",$Z56="Validated"),OR($AB56="Pass with Exceptions",$AB56="Pass")),"Partially Compliant","Not Compliant"))))</x:f>
        <x:v>Not Compliant</x:v>
      </x:c>
      <x:c r="AI56" s="42" t="str">
        <x:f>IF($T56="No","Not Applicable",IF($M56="","Not Mapped",IF(AND(OR($W56="Implemented",$W56="Optimized"),$Z56="Validated",$AB56="Pass"),"Compliant",IF(AND(OR($W56="Partially Implemented",$W56="Implemented",$W56="Optimized"),OR($Z56="Reviewed",$Z56="Validated"),OR($AB56="Pass with Exceptions",$AB56="Pass")),"Partially Compliant","Not Compliant"))))</x:f>
        <x:v>Not Compliant</x:v>
      </x:c>
      <x:c r="AJ56" s="42" t="str">
        <x:f>IF($T56="No","Not Applicable",IF(AND($AG56="Meets CSA Level",$AH56="Compliant",$AI56="Compliant"),"CSA AISMM; NIST AI RMF; ISO/IEC 42001",IF(AND($AG56="Meets CSA Level",$AH56="Compliant"),"CSA AISMM; NIST AI RMF",IF(AND($AG56="Meets CSA Level",$AI56="Compliant"),"CSA AISMM; ISO/IEC 42001",IF(AND($AH56="Compliant",$AI56="Compliant"),"NIST AI RMF; ISO/IEC 42001",IF($AG56="Meets CSA Level","CSA AISMM",IF($AH56="Compliant","NIST AI RMF",IF($AI56="Compliant","ISO/IEC 42001","No mapped framework fully compliant"))))))))</x:f>
        <x:v>No mapped framework fully compliant</x:v>
      </x:c>
      <x:c r="AK56" s="42" t="str"/>
      <x:c r="AL56" s="46" t="str"/>
      <x:c r="AM56" s="42" t="str"/>
      <x:c r="AN56" s="42" t="str">
        <x:v>CSA AISMM uploaded workbook; NIST AI RMF Playbook uploaded workbook; ISO/IEC 42001 checklist uploaded PDF; official CSA/NIST/ISO web sources listed on Sources sheet</x:v>
      </x:c>
    </x:row>
    <x:row r="57" ht="90" customHeight="1">
      <x:c r="A57" s="42" t="str">
        <x:v>Model Security</x:v>
      </x:c>
      <x:c r="B57" s="42" t="str">
        <x:v>MOD-03.3</x:v>
      </x:c>
      <x:c r="C57" s="42" t="n">
        <x:v>3</x:v>
      </x:c>
      <x:c r="D57" s="42" t="str">
        <x:v>MOD</x:v>
      </x:c>
      <x:c r="E57" s="42" t="str">
        <x:v>Baseline production monitoring of model behavior</x:v>
      </x:c>
      <x:c r="F57" s="42" t="str">
        <x:v>Each production model deployment in the MOD-02.1 inventory reports at least one model-behavior metric beyond request counts and latency, with a named deployment owner who reviews it on a recorded cadence.</x:v>
      </x:c>
      <x:c r="G57" s="42" t="str">
        <x:v>Automated</x:v>
      </x:c>
      <x:c r="H57" s="42" t="str">
        <x:v>All</x:v>
      </x:c>
      <x:c r="I57" s="42" t="str">
        <x:v>MDS-10 (model continuous monitoring)</x:v>
      </x:c>
      <x:c r="J57" s="42" t="str">
        <x:v>MEASURE 2.6; MEASURE 2</x:v>
      </x:c>
      <x:c r="K57" s="42" t="str">
        <x:v>MEASURE 2.6: - Thoroughly measure system performance in development and deployment contexts, and under stress conditions. - Employ test data assessments and simulations before proceeding to production testing. Track multiple performance quality and error metrics. - Stress-test system performance under likely scenarios (e.g., concept drift, high load) and beyond known limitations, in consultation with domain experts. - Test the system under conditions similar to those related to past known incidents or near-misses and measure system performance and safety characteristics - Apply chaos engineering approaches to test systems in extreme conditions and gauge unexpected responses. - Document the range of conditions under which the system has been tested and demonstrated to fail safely. - Measure and monitor system performance in real-time to enable rapid response when AI system incidents are detected.…</x:v>
      </x:c>
      <x:c r="L57" s="42" t="str">
        <x:v>Direct from AISMM external reference</x:v>
      </x:c>
      <x:c r="M57" s="42" t="str">
        <x:v>Annex A.4; Annex A.6; Annex A.8</x:v>
      </x:c>
      <x:c r="N57" s="42" t="str">
        <x:v>Annex A.4 – Resources for AI systems: Maintain a register of AI resources including data, tools, systems, people, tooling, compute resources, and relevant operational/environmental impacts. Annex A.6 – AI system life cycle: Define responsible development objectives, specify verification and validation, maintain technical documentation, and record/maintain event logs during system use. Annex A.8 – Information for interested parties: Provide necessary documentation to users and interested parties; define incident reporting/escalation, incident communication, and stakeholder information requirements.</x:v>
      </x:c>
      <x:c r="O57" s="42" t="str">
        <x:v>Derived by control theme/domain</x:v>
      </x:c>
      <x:c r="P57" s="42" t="str">
        <x:v>Define log schema, retention, access controls, alerting, and incident triage integration.</x:v>
      </x:c>
      <x:c r="Q57" s="42" t="str">
        <x:v>NIST AI RMF MEASURE-2.6, OWASP LLM09:2025 Misinformation (hallucination baseline)</x:v>
      </x:c>
      <x:c r="R57" s="42" t="str">
        <x:v>Model documentation; model cards; evaluation results; bias/fairness testing; robustness and red-team reports; model version history; tuning/benchmark records; approval for model changes.</x:v>
      </x:c>
      <x:c r="S57" s="42" t="str">
        <x:v>Review sample model evidence; compare evaluation results to acceptance thresholds; verify versioning, change approvals, and monitoring handoff before production release.</x:v>
      </x:c>
      <x:c r="T57" s="42" t="str">
        <x:v>Yes</x:v>
      </x:c>
      <x:c r="U57" s="42" t="str"/>
      <x:c r="V57" s="42" t="str"/>
      <x:c r="W57" s="42" t="str">
        <x:v>Not Assessed</x:v>
      </x:c>
      <x:c r="X57" s="44" t="n">
        <x:v>0</x:v>
      </x:c>
      <x:c r="Y57" s="44" t="n">
        <x:v>3</x:v>
      </x:c>
      <x:c r="Z57" s="42" t="str">
        <x:v>Not Provided</x:v>
      </x:c>
      <x:c r="AA57" s="42" t="str"/>
      <x:c r="AB57" s="42" t="str">
        <x:v>Not Tested</x:v>
      </x:c>
      <x:c r="AC57" s="46" t="str"/>
      <x:c r="AD57" s="42" t="str"/>
      <x:c r="AE57" s="42" t="str">
        <x:v>Not Assessed</x:v>
      </x:c>
      <x:c r="AF57" s="42" t="n">
        <x:f>IF($T57="No","",MAX(0,$Y57-$X57))</x:f>
        <x:v>3</x:v>
      </x:c>
      <x:c r="AG57" s="42" t="str">
        <x:f>IF($T57="No","Not Applicable",IF($X57&gt;=$C57,"Meets CSA Level","Gap to CSA Level"))</x:f>
        <x:v>Gap to CSA Level</x:v>
      </x:c>
      <x:c r="AH57" s="42" t="str">
        <x:f>IF($T57="No","Not Applicable",IF($J57="","Not Mapped",IF(AND(OR($W57="Implemented",$W57="Optimized"),$Z57="Validated",$AB57="Pass"),"Compliant",IF(AND(OR($W57="Partially Implemented",$W57="Implemented",$W57="Optimized"),OR($Z57="Reviewed",$Z57="Validated"),OR($AB57="Pass with Exceptions",$AB57="Pass")),"Partially Compliant","Not Compliant"))))</x:f>
        <x:v>Not Compliant</x:v>
      </x:c>
      <x:c r="AI57" s="42" t="str">
        <x:f>IF($T57="No","Not Applicable",IF($M57="","Not Mapped",IF(AND(OR($W57="Implemented",$W57="Optimized"),$Z57="Validated",$AB57="Pass"),"Compliant",IF(AND(OR($W57="Partially Implemented",$W57="Implemented",$W57="Optimized"),OR($Z57="Reviewed",$Z57="Validated"),OR($AB57="Pass with Exceptions",$AB57="Pass")),"Partially Compliant","Not Compliant"))))</x:f>
        <x:v>Not Compliant</x:v>
      </x:c>
      <x:c r="AJ57" s="42" t="str">
        <x:f>IF($T57="No","Not Applicable",IF(AND($AG57="Meets CSA Level",$AH57="Compliant",$AI57="Compliant"),"CSA AISMM; NIST AI RMF; ISO/IEC 42001",IF(AND($AG57="Meets CSA Level",$AH57="Compliant"),"CSA AISMM; NIST AI RMF",IF(AND($AG57="Meets CSA Level",$AI57="Compliant"),"CSA AISMM; ISO/IEC 42001",IF(AND($AH57="Compliant",$AI57="Compliant"),"NIST AI RMF; ISO/IEC 42001",IF($AG57="Meets CSA Level","CSA AISMM",IF($AH57="Compliant","NIST AI RMF",IF($AI57="Compliant","ISO/IEC 42001","No mapped framework fully compliant"))))))))</x:f>
        <x:v>No mapped framework fully compliant</x:v>
      </x:c>
      <x:c r="AK57" s="42" t="str"/>
      <x:c r="AL57" s="46" t="str"/>
      <x:c r="AM57" s="42" t="str"/>
      <x:c r="AN57" s="42" t="str">
        <x:v>CSA AISMM uploaded workbook; NIST AI RMF Playbook uploaded workbook; ISO/IEC 42001 checklist uploaded PDF; official CSA/NIST/ISO web sources listed on Sources sheet</x:v>
      </x:c>
    </x:row>
    <x:row r="58" ht="90" customHeight="1">
      <x:c r="A58" s="42" t="str">
        <x:v>Model Security</x:v>
      </x:c>
      <x:c r="B58" s="42" t="str">
        <x:v>MOD-04.1</x:v>
      </x:c>
      <x:c r="C58" s="42" t="n">
        <x:v>4</x:v>
      </x:c>
      <x:c r="D58" s="42" t="str">
        <x:v>MOD</x:v>
      </x:c>
      <x:c r="E58" s="42" t="str">
        <x:v>Signing, load-time verification, and provenance attestation for self-hosted models</x:v>
      </x:c>
      <x:c r="F58" s="42" t="str">
        <x:v>Every self-hosted model in production is cryptographically signed at build time and carries a provenance attestation. The serving runtime verifies signatures at load against approved signer identities and fails closed on unsigned or invalid artifacts, enforced by a policy gate rather than operator discipline.</x:v>
      </x:c>
      <x:c r="G58" s="42" t="str">
        <x:v>Automated</x:v>
      </x:c>
      <x:c r="H58" s="42" t="str">
        <x:v>Self-hosted only (PaaS and API/SaaS model integrity is provider-owned)</x:v>
      </x:c>
      <x:c r="I58" s="42" t="str">
        <x:v>MDS-09 (model signing / ownership verification), MDS-08 (model integrity checks), MDS-02 (artifact scanning)</x:v>
      </x:c>
      <x:c r="J58" s="42" t="str">
        <x:v>MAP 1.1; MEASURE 2.4; MEASURE 2.6; MANAGE 2.3; MANAGE 4.1</x:v>
      </x:c>
      <x:c r="K58" s="42" t="str">
        <x:v>MAP 1.1: - Maintain awareness of industry, technical, and applicable legal standards. - Examine trustworthiness of AI system design and consider, non-AI solutions - Consider intended AI system design tasks along with unanticipated purposes in collaboration with human factors and socio-technical domain experts. - Define and document the task, purpose, minimum functionality, and benefits of the AI system to inform considerations about whether the utility of the project or its lack of. - Identify whether there are non-AI or non-technology alternatives that will lead to more trustworthy outcomes. - Examine how changes in system performance affect downstream events such as decision-making (e.g: changes in an AI model objective function create what types of impacts in how many candidates do/do not get a job interview).… MEASURE 2.4: - Monitor and document how metrics and performance indicators observed in production differ from the same metrics collected during pre-deployment testing. When differences are observed, consider error propagation and feedback loop risks. - Utilize hypothesis testing or human domain expertise to measure monitored distribution differences in new input or output data relative to test environments - Monitor for anomalies using approaches such as control limits, confidence intervals, integrity constraints and ML algorithms. When anomalies are observed, consider error propagation and feedback loop risks. - Verify alerts are in place for when distributions in new input data or generated predictions observed in production differ from pre-deployment test outcomes, or when anomalies are detected.… MEASURE 2.6: - Thoroughly measure system performance in development and deployment contexts, and under stress conditions. - Employ test data assessments and simulations before proceeding to production testing. Track multiple performance quality and error metrics. - Stress-test system performance under likely scenarios (e.g., concept drift, high load) and beyond known limitations, in consultation with domain experts. - Test the system under conditions similar to those related to past known incidents or near-misses and measure system performance and safety characteristics - Apply chaos engineering approaches to test systems in extreme conditions and gauge unexpected responses. - Document the range of conditions under which the system has been tested and demonstrated to fail safely. - Measure and monitor system performance in real-time to enable rapid response when AI system incidents are detected.… MANAGE 2.3: - Protocols, resources, and metrics are in place for continual monitoring of AI systems’ performance, trustworthiness, and alignment with contextual norms and values - Establish and regularly review treatment and response plans for incidents, negative impacts, or outcomes. - Establish and maintain procedures to regularly monitor system components for drift, decontextualization, or other AI system behavior factors,…</x:v>
      </x:c>
      <x:c r="L58" s="42" t="str">
        <x:v>Derived by CSA domain/theme</x:v>
      </x:c>
      <x:c r="M58" s="42" t="str">
        <x:v>Annex A.2; Annex A.6; Annex A.7; Annex A.8; Annex A.10</x:v>
      </x:c>
      <x:c r="N58" s="42" t="str">
        <x:v>Annex A.2 – Policies related to AI: Document and approve AI policy, include responsible AI principles and continual improvement, review policy regularly, and align it to other relevant organizational policies. Annex A.6 – AI system life cycle: Define responsible development objectives, specify verification and validation, maintain technical documentation, and record/maintain event logs during system use. Annex A.7 – Data for AI systems: Maintain documented AI data management, identify sources and provenance, record intended use, define data quality requirements, and document/justify preparation methods. Annex A.8 – Information for interested parties: Provide necessary documentation to users and interested parties; define incident reporting/escalation, incident communication, and stakeholder information requirements. Annex A.10 – Third-party and customer relationships: Define lifecycle responsibilities with third parties, manage AI suppliers, capture customer expectations, and review third-party roles through ongoing governance.</x:v>
      </x:c>
      <x:c r="O58" s="42" t="str">
        <x:v>Derived by control theme/domain</x:v>
      </x:c>
      <x:c r="P58" s="42" t="str">
        <x:v>Use this row as a control objective to assess current state, define target maturity, collect evidence, and remediate gaps.</x:v>
      </x:c>
      <x:c r="Q58" s="42" t="str">
        <x:v>OpenSSF Model Signing (OMS) / sigstore model-transparency, in-toto attestation, OWASP LLM03:2025 Supply Chain (lack of provenance)</x:v>
      </x:c>
      <x:c r="R58" s="42" t="str">
        <x:v>Model documentation; model cards; evaluation results; bias/fairness testing; robustness and red-team reports; model version history; tuning/benchmark records; approval for model changes.</x:v>
      </x:c>
      <x:c r="S58" s="42" t="str">
        <x:v>Review sample model evidence; compare evaluation results to acceptance thresholds; verify versioning, change approvals, and monitoring handoff before production release.</x:v>
      </x:c>
      <x:c r="T58" s="42" t="str">
        <x:v>Yes</x:v>
      </x:c>
      <x:c r="U58" s="42" t="str"/>
      <x:c r="V58" s="42" t="str"/>
      <x:c r="W58" s="42" t="str">
        <x:v>Not Assessed</x:v>
      </x:c>
      <x:c r="X58" s="44" t="n">
        <x:v>0</x:v>
      </x:c>
      <x:c r="Y58" s="44" t="n">
        <x:v>4</x:v>
      </x:c>
      <x:c r="Z58" s="42" t="str">
        <x:v>Not Provided</x:v>
      </x:c>
      <x:c r="AA58" s="42" t="str"/>
      <x:c r="AB58" s="42" t="str">
        <x:v>Not Tested</x:v>
      </x:c>
      <x:c r="AC58" s="46" t="str"/>
      <x:c r="AD58" s="42" t="str"/>
      <x:c r="AE58" s="42" t="str">
        <x:v>Not Assessed</x:v>
      </x:c>
      <x:c r="AF58" s="42" t="n">
        <x:f>IF($T58="No","",MAX(0,$Y58-$X58))</x:f>
        <x:v>4</x:v>
      </x:c>
      <x:c r="AG58" s="42" t="str">
        <x:f>IF($T58="No","Not Applicable",IF($X58&gt;=$C58,"Meets CSA Level","Gap to CSA Level"))</x:f>
        <x:v>Gap to CSA Level</x:v>
      </x:c>
      <x:c r="AH58" s="42" t="str">
        <x:f>IF($T58="No","Not Applicable",IF($J58="","Not Mapped",IF(AND(OR($W58="Implemented",$W58="Optimized"),$Z58="Validated",$AB58="Pass"),"Compliant",IF(AND(OR($W58="Partially Implemented",$W58="Implemented",$W58="Optimized"),OR($Z58="Reviewed",$Z58="Validated"),OR($AB58="Pass with Exceptions",$AB58="Pass")),"Partially Compliant","Not Compliant"))))</x:f>
        <x:v>Not Compliant</x:v>
      </x:c>
      <x:c r="AI58" s="42" t="str">
        <x:f>IF($T58="No","Not Applicable",IF($M58="","Not Mapped",IF(AND(OR($W58="Implemented",$W58="Optimized"),$Z58="Validated",$AB58="Pass"),"Compliant",IF(AND(OR($W58="Partially Implemented",$W58="Implemented",$W58="Optimized"),OR($Z58="Reviewed",$Z58="Validated"),OR($AB58="Pass with Exceptions",$AB58="Pass")),"Partially Compliant","Not Compliant"))))</x:f>
        <x:v>Not Compliant</x:v>
      </x:c>
      <x:c r="AJ58" s="42" t="str">
        <x:f>IF($T58="No","Not Applicable",IF(AND($AG58="Meets CSA Level",$AH58="Compliant",$AI58="Compliant"),"CSA AISMM; NIST AI RMF; ISO/IEC 42001",IF(AND($AG58="Meets CSA Level",$AH58="Compliant"),"CSA AISMM; NIST AI RMF",IF(AND($AG58="Meets CSA Level",$AI58="Compliant"),"CSA AISMM; ISO/IEC 42001",IF(AND($AH58="Compliant",$AI58="Compliant"),"NIST AI RMF; ISO/IEC 42001",IF($AG58="Meets CSA Level","CSA AISMM",IF($AH58="Compliant","NIST AI RMF",IF($AI58="Compliant","ISO/IEC 42001","No mapped framework fully compliant"))))))))</x:f>
        <x:v>No mapped framework fully compliant</x:v>
      </x:c>
      <x:c r="AK58" s="42" t="str"/>
      <x:c r="AL58" s="46" t="str"/>
      <x:c r="AM58" s="42" t="str"/>
      <x:c r="AN58" s="42" t="str">
        <x:v>CSA AISMM uploaded workbook; NIST AI RMF Playbook uploaded workbook; ISO/IEC 42001 checklist uploaded PDF; official CSA/NIST/ISO web sources listed on Sources sheet</x:v>
      </x:c>
    </x:row>
    <x:row r="59" ht="90" customHeight="1">
      <x:c r="A59" s="42" t="str">
        <x:v>Model Security</x:v>
      </x:c>
      <x:c r="B59" s="42" t="str">
        <x:v>MOD-04.2</x:v>
      </x:c>
      <x:c r="C59" s="42" t="n">
        <x:v>4</x:v>
      </x:c>
      <x:c r="D59" s="42" t="str">
        <x:v>MOD</x:v>
      </x:c>
      <x:c r="E59" s="42" t="str">
        <x:v>Adversarial and bias testing at the model layer</x:v>
      </x:c>
      <x:c r="F59" s="42" t="str">
        <x:v>Approved models in production are tested for adversarial robustness or bias and harm at the model layer with documented thresholds. Findings are severity-rated and tracked to remediation or accepted risk under a named owner.</x:v>
      </x:c>
      <x:c r="G59" s="42" t="str">
        <x:v>Either</x:v>
      </x:c>
      <x:c r="H59" s="42" t="str">
        <x:v>All (testing is performed against the model at its inference API — base-model behavior — not against the deployed application stack; for self-hosted and fine-tuned models, testing can additionally reach model weights)</x:v>
      </x:c>
      <x:c r="I59" s="42" t="str">
        <x:v>MDS-06 (adversarial attack analysis), MDS-07 (robustness / model hardening)</x:v>
      </x:c>
      <x:c r="J59" s="42" t="str">
        <x:v>MEASURE 2.7; MEASURE 2</x:v>
      </x:c>
      <x:c r="K59" s="42" t="str">
        <x:v>MEASURE 2.7: - Establish and track AI system security tests and metrics (e.g., red-teaming activities, frequency and rate of anomalous events, system down-time, incident response times, time-to-bypass, etc.). - Use red-team exercises to actively test the system under adversarial or stress conditions, measure system response, assess failure modes or determine if system can return to normal function after an unexpected adverse event. - Document red-team exercise results as part of continuous improvement efforts, including the range of security test conditions and results. - Use red-teaming exercises to evaluate potential mismatches between claimed and actual system performance. - Use countermeasures (e.g, authentication, throttling, differential privacy, robust ML approaches) to increase the range of security conditions under which the system is able to return to normal function.…</x:v>
      </x:c>
      <x:c r="L59" s="42" t="str">
        <x:v>Direct from AISMM external reference</x:v>
      </x:c>
      <x:c r="M59" s="42" t="str">
        <x:v>Annex A.5; Annex A.6</x:v>
      </x:c>
      <x:c r="N59" s="42" t="str">
        <x:v>Annex A.5 – Assessing impacts of AI systems: Perform documented, repeatable impact assessments on individuals, groups, or society; update after significant changes; feed findings into design, controls, and stakeholder communication. Annex A.6 – AI system life cycle: Define responsible development objectives, specify verification and validation, maintain technical documentation, and record/maintain event logs during system use.</x:v>
      </x:c>
      <x:c r="O59" s="42" t="str">
        <x:v>Derived by control theme/domain</x:v>
      </x:c>
      <x:c r="P59" s="42" t="str">
        <x:v>Use this row as a control objective to assess current state, define target maturity, collect evidence, and remediate gaps.</x:v>
      </x:c>
      <x:c r="Q59" s="42" t="str">
        <x:v>NIST AI RMF MEASURE-2.7, OWASP LLM09:2025 Misinformation, MITRE ATLAS</x:v>
      </x:c>
      <x:c r="R59" s="42" t="str">
        <x:v>Model documentation; model cards; evaluation results; bias/fairness testing; robustness and red-team reports; model version history; tuning/benchmark records; approval for model changes.</x:v>
      </x:c>
      <x:c r="S59" s="42" t="str">
        <x:v>Review sample model evidence; compare evaluation results to acceptance thresholds; verify versioning, change approvals, and monitoring handoff before production release.</x:v>
      </x:c>
      <x:c r="T59" s="42" t="str">
        <x:v>Yes</x:v>
      </x:c>
      <x:c r="U59" s="42" t="str"/>
      <x:c r="V59" s="42" t="str"/>
      <x:c r="W59" s="42" t="str">
        <x:v>Not Assessed</x:v>
      </x:c>
      <x:c r="X59" s="44" t="n">
        <x:v>0</x:v>
      </x:c>
      <x:c r="Y59" s="44" t="n">
        <x:v>4</x:v>
      </x:c>
      <x:c r="Z59" s="42" t="str">
        <x:v>Not Provided</x:v>
      </x:c>
      <x:c r="AA59" s="42" t="str"/>
      <x:c r="AB59" s="42" t="str">
        <x:v>Not Tested</x:v>
      </x:c>
      <x:c r="AC59" s="46" t="str"/>
      <x:c r="AD59" s="42" t="str"/>
      <x:c r="AE59" s="42" t="str">
        <x:v>Not Assessed</x:v>
      </x:c>
      <x:c r="AF59" s="42" t="n">
        <x:f>IF($T59="No","",MAX(0,$Y59-$X59))</x:f>
        <x:v>4</x:v>
      </x:c>
      <x:c r="AG59" s="42" t="str">
        <x:f>IF($T59="No","Not Applicable",IF($X59&gt;=$C59,"Meets CSA Level","Gap to CSA Level"))</x:f>
        <x:v>Gap to CSA Level</x:v>
      </x:c>
      <x:c r="AH59" s="42" t="str">
        <x:f>IF($T59="No","Not Applicable",IF($J59="","Not Mapped",IF(AND(OR($W59="Implemented",$W59="Optimized"),$Z59="Validated",$AB59="Pass"),"Compliant",IF(AND(OR($W59="Partially Implemented",$W59="Implemented",$W59="Optimized"),OR($Z59="Reviewed",$Z59="Validated"),OR($AB59="Pass with Exceptions",$AB59="Pass")),"Partially Compliant","Not Compliant"))))</x:f>
        <x:v>Not Compliant</x:v>
      </x:c>
      <x:c r="AI59" s="42" t="str">
        <x:f>IF($T59="No","Not Applicable",IF($M59="","Not Mapped",IF(AND(OR($W59="Implemented",$W59="Optimized"),$Z59="Validated",$AB59="Pass"),"Compliant",IF(AND(OR($W59="Partially Implemented",$W59="Implemented",$W59="Optimized"),OR($Z59="Reviewed",$Z59="Validated"),OR($AB59="Pass with Exceptions",$AB59="Pass")),"Partially Compliant","Not Compliant"))))</x:f>
        <x:v>Not Compliant</x:v>
      </x:c>
      <x:c r="AJ59" s="42" t="str">
        <x:f>IF($T59="No","Not Applicable",IF(AND($AG59="Meets CSA Level",$AH59="Compliant",$AI59="Compliant"),"CSA AISMM; NIST AI RMF; ISO/IEC 42001",IF(AND($AG59="Meets CSA Level",$AH59="Compliant"),"CSA AISMM; NIST AI RMF",IF(AND($AG59="Meets CSA Level",$AI59="Compliant"),"CSA AISMM; ISO/IEC 42001",IF(AND($AH59="Compliant",$AI59="Compliant"),"NIST AI RMF; ISO/IEC 42001",IF($AG59="Meets CSA Level","CSA AISMM",IF($AH59="Compliant","NIST AI RMF",IF($AI59="Compliant","ISO/IEC 42001","No mapped framework fully compliant"))))))))</x:f>
        <x:v>No mapped framework fully compliant</x:v>
      </x:c>
      <x:c r="AK59" s="42" t="str"/>
      <x:c r="AL59" s="46" t="str"/>
      <x:c r="AM59" s="42" t="str"/>
      <x:c r="AN59" s="42" t="str">
        <x:v>CSA AISMM uploaded workbook; NIST AI RMF Playbook uploaded workbook; ISO/IEC 42001 checklist uploaded PDF; official CSA/NIST/ISO web sources listed on Sources sheet</x:v>
      </x:c>
    </x:row>
    <x:row r="60" ht="90" customHeight="1">
      <x:c r="A60" s="42" t="str">
        <x:v>Model Security</x:v>
      </x:c>
      <x:c r="B60" s="42" t="str">
        <x:v>MOD-04.3</x:v>
      </x:c>
      <x:c r="C60" s="42" t="n">
        <x:v>4</x:v>
      </x:c>
      <x:c r="D60" s="42" t="str">
        <x:v>MOD</x:v>
      </x:c>
      <x:c r="E60" s="42" t="str">
        <x:v>Drift and model-behavior monitoring with routed alerts</x:v>
      </x:c>
      <x:c r="F60" s="42" t="str">
        <x:v>Production model deployments run drift or behavioral-change monitoring with documented thresholds. Alerts route to a named on-call queue, and investigated alerts produce a recorded action outcome.</x:v>
      </x:c>
      <x:c r="G60" s="42" t="str">
        <x:v>Automated</x:v>
      </x:c>
      <x:c r="H60" s="42" t="str">
        <x:v>All (PaaS and API/SaaS deployments implement drift detection against observable model outputs since the provider controls weights; self-hosted deployments can add weight-level or embedding-level drift signals)</x:v>
      </x:c>
      <x:c r="I60" s="42" t="str">
        <x:v>MDS-10 (model continuous monitoring), MDS-11 (model failure)</x:v>
      </x:c>
      <x:c r="J60" s="42" t="str">
        <x:v>MEASURE 2.8; MANAGE 4; MEASURE 2</x:v>
      </x:c>
      <x:c r="K60" s="42" t="str">
        <x:v>MEASURE 2.8: - Instrument the system for measurement and tracking, e.g., by maintaining histories, audit logs and other information that can be used by AI actors to review and evaluate possible sources of error, bias, or vulnerability. - Calibrate controls for users in close collaboration with experts in user interaction and user experience (UI/UX), human computer interaction (HCI), and/or human-AI teaming. - Test provided explanations for calibration with different audiences including operators, end users, decision makers and decision subjects (individuals for whom decisions are being made), and to enable recourse for consequential system decisions that affect end users or subjects. - Measure and document human oversight of AI systems: - Document the degree of oversight that is provided by specified AI actors regarding AI system output.…</x:v>
      </x:c>
      <x:c r="L60" s="42" t="str">
        <x:v>Direct from AISMM external reference</x:v>
      </x:c>
      <x:c r="M60" s="42" t="str">
        <x:v>Annex A.6</x:v>
      </x:c>
      <x:c r="N60" s="42" t="str">
        <x:v>Annex A.6 – AI system life cycle: Define responsible development objectives, specify verification and validation, maintain technical documentation, and record/maintain event logs during system use.</x:v>
      </x:c>
      <x:c r="O60" s="42" t="str">
        <x:v>Derived by control theme/domain</x:v>
      </x:c>
      <x:c r="P60" s="42" t="str">
        <x:v>Define log schema, retention, access controls, alerting, and incident triage integration.</x:v>
      </x:c>
      <x:c r="Q60" s="42" t="str">
        <x:v>NIST AI RMF MEASURE-2.8, NIST AI RMF MANAGE-4</x:v>
      </x:c>
      <x:c r="R60" s="42" t="str">
        <x:v>Model documentation; model cards; evaluation results; bias/fairness testing; robustness and red-team reports; model version history; tuning/benchmark records; approval for model changes.</x:v>
      </x:c>
      <x:c r="S60" s="42" t="str">
        <x:v>Review sample model evidence; compare evaluation results to acceptance thresholds; verify versioning, change approvals, and monitoring handoff before production release.</x:v>
      </x:c>
      <x:c r="T60" s="42" t="str">
        <x:v>Yes</x:v>
      </x:c>
      <x:c r="U60" s="42" t="str"/>
      <x:c r="V60" s="42" t="str"/>
      <x:c r="W60" s="42" t="str">
        <x:v>Not Assessed</x:v>
      </x:c>
      <x:c r="X60" s="44" t="n">
        <x:v>0</x:v>
      </x:c>
      <x:c r="Y60" s="44" t="n">
        <x:v>4</x:v>
      </x:c>
      <x:c r="Z60" s="42" t="str">
        <x:v>Not Provided</x:v>
      </x:c>
      <x:c r="AA60" s="42" t="str"/>
      <x:c r="AB60" s="42" t="str">
        <x:v>Not Tested</x:v>
      </x:c>
      <x:c r="AC60" s="46" t="str"/>
      <x:c r="AD60" s="42" t="str"/>
      <x:c r="AE60" s="42" t="str">
        <x:v>Not Assessed</x:v>
      </x:c>
      <x:c r="AF60" s="42" t="n">
        <x:f>IF($T60="No","",MAX(0,$Y60-$X60))</x:f>
        <x:v>4</x:v>
      </x:c>
      <x:c r="AG60" s="42" t="str">
        <x:f>IF($T60="No","Not Applicable",IF($X60&gt;=$C60,"Meets CSA Level","Gap to CSA Level"))</x:f>
        <x:v>Gap to CSA Level</x:v>
      </x:c>
      <x:c r="AH60" s="42" t="str">
        <x:f>IF($T60="No","Not Applicable",IF($J60="","Not Mapped",IF(AND(OR($W60="Implemented",$W60="Optimized"),$Z60="Validated",$AB60="Pass"),"Compliant",IF(AND(OR($W60="Partially Implemented",$W60="Implemented",$W60="Optimized"),OR($Z60="Reviewed",$Z60="Validated"),OR($AB60="Pass with Exceptions",$AB60="Pass")),"Partially Compliant","Not Compliant"))))</x:f>
        <x:v>Not Compliant</x:v>
      </x:c>
      <x:c r="AI60" s="42" t="str">
        <x:f>IF($T60="No","Not Applicable",IF($M60="","Not Mapped",IF(AND(OR($W60="Implemented",$W60="Optimized"),$Z60="Validated",$AB60="Pass"),"Compliant",IF(AND(OR($W60="Partially Implemented",$W60="Implemented",$W60="Optimized"),OR($Z60="Reviewed",$Z60="Validated"),OR($AB60="Pass with Exceptions",$AB60="Pass")),"Partially Compliant","Not Compliant"))))</x:f>
        <x:v>Not Compliant</x:v>
      </x:c>
      <x:c r="AJ60" s="42" t="str">
        <x:f>IF($T60="No","Not Applicable",IF(AND($AG60="Meets CSA Level",$AH60="Compliant",$AI60="Compliant"),"CSA AISMM; NIST AI RMF; ISO/IEC 42001",IF(AND($AG60="Meets CSA Level",$AH60="Compliant"),"CSA AISMM; NIST AI RMF",IF(AND($AG60="Meets CSA Level",$AI60="Compliant"),"CSA AISMM; ISO/IEC 42001",IF(AND($AH60="Compliant",$AI60="Compliant"),"NIST AI RMF; ISO/IEC 42001",IF($AG60="Meets CSA Level","CSA AISMM",IF($AH60="Compliant","NIST AI RMF",IF($AI60="Compliant","ISO/IEC 42001","No mapped framework fully compliant"))))))))</x:f>
        <x:v>No mapped framework fully compliant</x:v>
      </x:c>
      <x:c r="AK60" s="42" t="str"/>
      <x:c r="AL60" s="46" t="str"/>
      <x:c r="AM60" s="42" t="str"/>
      <x:c r="AN60" s="42" t="str">
        <x:v>CSA AISMM uploaded workbook; NIST AI RMF Playbook uploaded workbook; ISO/IEC 42001 checklist uploaded PDF; official CSA/NIST/ISO web sources listed on Sources sheet</x:v>
      </x:c>
    </x:row>
    <x:row r="61" ht="90" customHeight="1">
      <x:c r="A61" s="42" t="str">
        <x:v>Model Security</x:v>
      </x:c>
      <x:c r="B61" s="42" t="str">
        <x:v>MOD-05.1</x:v>
      </x:c>
      <x:c r="C61" s="42" t="n">
        <x:v>5</x:v>
      </x:c>
      <x:c r="D61" s="42" t="str">
        <x:v>MOD</x:v>
      </x:c>
      <x:c r="E61" s="42" t="str">
        <x:v>CI/CD gating on model registry and version updates</x:v>
      </x:c>
      <x:c r="F61" s="42" t="str">
        <x:v>Model registry changes pass an automated pipeline gate that runs the MOD-04.2 model-layer test suite against version-controlled thresholds, blocks regressions, and verifies MOD-04.1 signature and provenance for self-hosted promotions. Bypass requires a time-bounded exception with a named approver.</x:v>
      </x:c>
      <x:c r="G61" s="42" t="str">
        <x:v>Automated</x:v>
      </x:c>
      <x:c r="H61" s="42" t="str">
        <x:v>All (applies to PaaS/API model-version changes in the registry, self-hosted retrain or fine-tune releases, and any registry-level change to an approved model's accepted parameter bounds)</x:v>
      </x:c>
      <x:c r="I61" s="42" t="str">
        <x:v>MDS-06 (adversarial attack analysis), MDS-07 (robustness / model hardening), MDS-02 (artifact scanning)</x:v>
      </x:c>
      <x:c r="J61" s="42" t="str">
        <x:v>MEASURE 2.7; MEASURE 2</x:v>
      </x:c>
      <x:c r="K61" s="42" t="str">
        <x:v>MEASURE 2.7: - Establish and track AI system security tests and metrics (e.g., red-teaming activities, frequency and rate of anomalous events, system down-time, incident response times, time-to-bypass, etc.). - Use red-team exercises to actively test the system under adversarial or stress conditions, measure system response, assess failure modes or determine if system can return to normal function after an unexpected adverse event. - Document red-team exercise results as part of continuous improvement efforts, including the range of security test conditions and results. - Use red-teaming exercises to evaluate potential mismatches between claimed and actual system performance. - Use countermeasures (e.g, authentication, throttling, differential privacy, robust ML approaches) to increase the range of security conditions under which the system is able to return to normal function.…</x:v>
      </x:c>
      <x:c r="L61" s="42" t="str">
        <x:v>Direct from AISMM external reference</x:v>
      </x:c>
      <x:c r="M61" s="42" t="str">
        <x:v>Annex A.4; Annex A.6; Annex A.7</x:v>
      </x:c>
      <x:c r="N61" s="42" t="str">
        <x:v>Annex A.4 – Resources for AI systems: Maintain a register of AI resources including data, tools, systems, people, tooling, compute resources, and relevant operational/environmental impacts. Annex A.6 – AI system life cycle: Define responsible development objectives, specify verification and validation, maintain technical documentation, and record/maintain event logs during system use. Annex A.7 – Data for AI systems: Maintain documented AI data management, identify sources and provenance, record intended use, define data quality requirements, and document/justify preparation methods.</x:v>
      </x:c>
      <x:c r="O61" s="42" t="str">
        <x:v>Derived by control theme/domain</x:v>
      </x:c>
      <x:c r="P61" s="42" t="str">
        <x:v>Maintain authoritative AI inventory; link assets to owners, use cases, providers, data classes, and risk tiers.</x:v>
      </x:c>
      <x:c r="Q61" s="42" t="str">
        <x:v>NIST AI RMF MEASURE-2.7, OWASP LLM04:2025 Data and Model Poisoning</x:v>
      </x:c>
      <x:c r="R61" s="42" t="str">
        <x:v>Model documentation; model cards; evaluation results; bias/fairness testing; robustness and red-team reports; model version history; tuning/benchmark records; approval for model changes.</x:v>
      </x:c>
      <x:c r="S61" s="42" t="str">
        <x:v>Review sample model evidence; compare evaluation results to acceptance thresholds; verify versioning, change approvals, and monitoring handoff before production release.</x:v>
      </x:c>
      <x:c r="T61" s="42" t="str">
        <x:v>Yes</x:v>
      </x:c>
      <x:c r="U61" s="42" t="str"/>
      <x:c r="V61" s="42" t="str"/>
      <x:c r="W61" s="42" t="str">
        <x:v>Not Assessed</x:v>
      </x:c>
      <x:c r="X61" s="44" t="n">
        <x:v>0</x:v>
      </x:c>
      <x:c r="Y61" s="44" t="n">
        <x:v>5</x:v>
      </x:c>
      <x:c r="Z61" s="42" t="str">
        <x:v>Not Provided</x:v>
      </x:c>
      <x:c r="AA61" s="42" t="str"/>
      <x:c r="AB61" s="42" t="str">
        <x:v>Not Tested</x:v>
      </x:c>
      <x:c r="AC61" s="46" t="str"/>
      <x:c r="AD61" s="42" t="str"/>
      <x:c r="AE61" s="42" t="str">
        <x:v>Not Assessed</x:v>
      </x:c>
      <x:c r="AF61" s="42" t="n">
        <x:f>IF($T61="No","",MAX(0,$Y61-$X61))</x:f>
        <x:v>5</x:v>
      </x:c>
      <x:c r="AG61" s="42" t="str">
        <x:f>IF($T61="No","Not Applicable",IF($X61&gt;=$C61,"Meets CSA Level","Gap to CSA Level"))</x:f>
        <x:v>Gap to CSA Level</x:v>
      </x:c>
      <x:c r="AH61" s="42" t="str">
        <x:f>IF($T61="No","Not Applicable",IF($J61="","Not Mapped",IF(AND(OR($W61="Implemented",$W61="Optimized"),$Z61="Validated",$AB61="Pass"),"Compliant",IF(AND(OR($W61="Partially Implemented",$W61="Implemented",$W61="Optimized"),OR($Z61="Reviewed",$Z61="Validated"),OR($AB61="Pass with Exceptions",$AB61="Pass")),"Partially Compliant","Not Compliant"))))</x:f>
        <x:v>Not Compliant</x:v>
      </x:c>
      <x:c r="AI61" s="42" t="str">
        <x:f>IF($T61="No","Not Applicable",IF($M61="","Not Mapped",IF(AND(OR($W61="Implemented",$W61="Optimized"),$Z61="Validated",$AB61="Pass"),"Compliant",IF(AND(OR($W61="Partially Implemented",$W61="Implemented",$W61="Optimized"),OR($Z61="Reviewed",$Z61="Validated"),OR($AB61="Pass with Exceptions",$AB61="Pass")),"Partially Compliant","Not Compliant"))))</x:f>
        <x:v>Not Compliant</x:v>
      </x:c>
      <x:c r="AJ61" s="42" t="str">
        <x:f>IF($T61="No","Not Applicable",IF(AND($AG61="Meets CSA Level",$AH61="Compliant",$AI61="Compliant"),"CSA AISMM; NIST AI RMF; ISO/IEC 42001",IF(AND($AG61="Meets CSA Level",$AH61="Compliant"),"CSA AISMM; NIST AI RMF",IF(AND($AG61="Meets CSA Level",$AI61="Compliant"),"CSA AISMM; ISO/IEC 42001",IF(AND($AH61="Compliant",$AI61="Compliant"),"NIST AI RMF; ISO/IEC 42001",IF($AG61="Meets CSA Level","CSA AISMM",IF($AH61="Compliant","NIST AI RMF",IF($AI61="Compliant","ISO/IEC 42001","No mapped framework fully compliant"))))))))</x:f>
        <x:v>No mapped framework fully compliant</x:v>
      </x:c>
      <x:c r="AK61" s="42" t="str"/>
      <x:c r="AL61" s="46" t="str"/>
      <x:c r="AM61" s="42" t="str"/>
      <x:c r="AN61" s="42" t="str">
        <x:v>CSA AISMM uploaded workbook; NIST AI RMF Playbook uploaded workbook; ISO/IEC 42001 checklist uploaded PDF; official CSA/NIST/ISO web sources listed on Sources sheet</x:v>
      </x:c>
    </x:row>
    <x:row r="62" ht="90" customHeight="1">
      <x:c r="A62" s="42" t="str">
        <x:v>Model Security</x:v>
      </x:c>
      <x:c r="B62" s="42" t="str">
        <x:v>MOD-05.2</x:v>
      </x:c>
      <x:c r="C62" s="42" t="n">
        <x:v>5</x:v>
      </x:c>
      <x:c r="D62" s="42" t="str">
        <x:v>MOD</x:v>
      </x:c>
      <x:c r="E62" s="42" t="str">
        <x:v>Proactive response to provider and ecosystem changes</x:v>
      </x:c>
      <x:c r="F62" s="42" t="str">
        <x:v>Automated feeds detect provider-side model changes across every provider and open-model source in the inventory. Each detection opens a tracked item routed to the owning team, and production-affecting changes (such as deprecations or safety-behavior regressions) trigger a documented impact assessment within a defined SLA.</x:v>
      </x:c>
      <x:c r="G62" s="42" t="str">
        <x:v>Automated</x:v>
      </x:c>
      <x:c r="H62" s="42" t="str">
        <x:v>All (primary weight on PaaS and API/SaaS where the provider controls change cadence; self-hosted covered through open-model source monitoring)</x:v>
      </x:c>
      <x:c r="I62" s="42" t="str">
        <x:v>MDS-10 (model continuous monitoring — primary), MDS-11 (model failure), MDS-12 (open model risk assessment — reassessment of Hugging Face model-card changes against prior risk review)</x:v>
      </x:c>
      <x:c r="J62" s="42" t="str">
        <x:v>MANAGE 4.1; MANAGE 4</x:v>
      </x:c>
      <x:c r="K62" s="42" t="str">
        <x:v>MANAGE 4.1: - Establish and maintain procedures to monitor AI system performance for risks and negative and positive impacts associated with trustworthiness characteristics. - Perform post-deployment TEVV tasks to evaluate AI system validity and reliability, bias and fairness, privacy, and security and resilience. - Evaluate AI system trustworthiness in conditions similar to deployment context of use, and prior to deployment. - Establish and implement red-teaming exercises at a prescribed cadence, and evaluate their efficacy. - Establish procedures for tracking dataset modifications such as data deletion or rectification requests. - Establish mechanisms for regular communication and feedback between relevant AI actors and internal or external stakeholders to capture information about system performance, trustworthiness and impact.…</x:v>
      </x:c>
      <x:c r="L62" s="42" t="str">
        <x:v>Direct from AISMM external reference</x:v>
      </x:c>
      <x:c r="M62" s="42" t="str">
        <x:v>Annex A.4; Annex A.5; Annex A.6; Annex A.10</x:v>
      </x:c>
      <x:c r="N62" s="42" t="str">
        <x:v>Annex A.4 – Resources for AI systems: Maintain a register of AI resources including data, tools, systems, people, tooling, compute resources, and relevant operational/environmental impacts. Annex A.5 – Assessing impacts of AI systems: Perform documented, repeatable impact assessments on individuals, groups, or society; update after significant changes; feed findings into design, controls, and stakeholder communication. Annex A.6 – AI system life cycle: Define responsible development objectives, specify verification and validation, maintain technical documentation, and record/maintain event logs during system use. Annex A.10 – Third-party and customer relationships: Define lifecycle responsibilities with third parties, manage AI suppliers, capture customer expectations, and review third-party roles through ongoing governance.</x:v>
      </x:c>
      <x:c r="O62" s="42" t="str">
        <x:v>Derived by control theme/domain</x:v>
      </x:c>
      <x:c r="P62" s="42" t="str">
        <x:v>Tie provider/model/library onboarding to supplier risk, licensing, model/data provenance, and AI-BOM/SBOM records.</x:v>
      </x:c>
      <x:c r="Q62" s="42" t="str">
        <x:v>OWASP LLM03:2025 Supply Chain, NIST AI RMF MANAGE-4.1</x:v>
      </x:c>
      <x:c r="R62" s="42" t="str">
        <x:v>Model documentation; model cards; evaluation results; bias/fairness testing; robustness and red-team reports; model version history; tuning/benchmark records; approval for model changes.</x:v>
      </x:c>
      <x:c r="S62" s="42" t="str">
        <x:v>Review sample model evidence; compare evaluation results to acceptance thresholds; verify versioning, change approvals, and monitoring handoff before production release.</x:v>
      </x:c>
      <x:c r="T62" s="42" t="str">
        <x:v>Yes</x:v>
      </x:c>
      <x:c r="U62" s="42" t="str"/>
      <x:c r="V62" s="42" t="str"/>
      <x:c r="W62" s="42" t="str">
        <x:v>Not Assessed</x:v>
      </x:c>
      <x:c r="X62" s="44" t="n">
        <x:v>0</x:v>
      </x:c>
      <x:c r="Y62" s="44" t="n">
        <x:v>5</x:v>
      </x:c>
      <x:c r="Z62" s="42" t="str">
        <x:v>Not Provided</x:v>
      </x:c>
      <x:c r="AA62" s="42" t="str"/>
      <x:c r="AB62" s="42" t="str">
        <x:v>Not Tested</x:v>
      </x:c>
      <x:c r="AC62" s="46" t="str"/>
      <x:c r="AD62" s="42" t="str"/>
      <x:c r="AE62" s="42" t="str">
        <x:v>Not Assessed</x:v>
      </x:c>
      <x:c r="AF62" s="42" t="n">
        <x:f>IF($T62="No","",MAX(0,$Y62-$X62))</x:f>
        <x:v>5</x:v>
      </x:c>
      <x:c r="AG62" s="42" t="str">
        <x:f>IF($T62="No","Not Applicable",IF($X62&gt;=$C62,"Meets CSA Level","Gap to CSA Level"))</x:f>
        <x:v>Gap to CSA Level</x:v>
      </x:c>
      <x:c r="AH62" s="42" t="str">
        <x:f>IF($T62="No","Not Applicable",IF($J62="","Not Mapped",IF(AND(OR($W62="Implemented",$W62="Optimized"),$Z62="Validated",$AB62="Pass"),"Compliant",IF(AND(OR($W62="Partially Implemented",$W62="Implemented",$W62="Optimized"),OR($Z62="Reviewed",$Z62="Validated"),OR($AB62="Pass with Exceptions",$AB62="Pass")),"Partially Compliant","Not Compliant"))))</x:f>
        <x:v>Not Compliant</x:v>
      </x:c>
      <x:c r="AI62" s="42" t="str">
        <x:f>IF($T62="No","Not Applicable",IF($M62="","Not Mapped",IF(AND(OR($W62="Implemented",$W62="Optimized"),$Z62="Validated",$AB62="Pass"),"Compliant",IF(AND(OR($W62="Partially Implemented",$W62="Implemented",$W62="Optimized"),OR($Z62="Reviewed",$Z62="Validated"),OR($AB62="Pass with Exceptions",$AB62="Pass")),"Partially Compliant","Not Compliant"))))</x:f>
        <x:v>Not Compliant</x:v>
      </x:c>
      <x:c r="AJ62" s="42" t="str">
        <x:f>IF($T62="No","Not Applicable",IF(AND($AG62="Meets CSA Level",$AH62="Compliant",$AI62="Compliant"),"CSA AISMM; NIST AI RMF; ISO/IEC 42001",IF(AND($AG62="Meets CSA Level",$AH62="Compliant"),"CSA AISMM; NIST AI RMF",IF(AND($AG62="Meets CSA Level",$AI62="Compliant"),"CSA AISMM; ISO/IEC 42001",IF(AND($AH62="Compliant",$AI62="Compliant"),"NIST AI RMF; ISO/IEC 42001",IF($AG62="Meets CSA Level","CSA AISMM",IF($AH62="Compliant","NIST AI RMF",IF($AI62="Compliant","ISO/IEC 42001","No mapped framework fully compliant"))))))))</x:f>
        <x:v>No mapped framework fully compliant</x:v>
      </x:c>
      <x:c r="AK62" s="42" t="str"/>
      <x:c r="AL62" s="46" t="str"/>
      <x:c r="AM62" s="42" t="str"/>
      <x:c r="AN62" s="42" t="str">
        <x:v>CSA AISMM uploaded workbook; NIST AI RMF Playbook uploaded workbook; ISO/IEC 42001 checklist uploaded PDF; official CSA/NIST/ISO web sources listed on Sources sheet</x:v>
      </x:c>
    </x:row>
    <x:row r="63" ht="90" customHeight="1">
      <x:c r="A63" s="42" t="str">
        <x:v>App Security</x:v>
      </x:c>
      <x:c r="B63" s="42" t="str">
        <x:v>APP-02.1</x:v>
      </x:c>
      <x:c r="C63" s="42" t="n">
        <x:v>2</x:v>
      </x:c>
      <x:c r="D63" s="42" t="str">
        <x:v>APP</x:v>
      </x:c>
      <x:c r="E63" s="42" t="str">
        <x:v>AI application inventory with AI-specific risk fields</x:v>
      </x:c>
      <x:c r="F63" s="42" t="str">
        <x:v>An inventory of production AI-enabled applications is maintained with the model used and customer-facing or untrusted-content flags. Major applications carry a dated prompt-injection and output-handling risk assessment. The inventory reflects current production usage at a documented refresh cadence.</x:v>
      </x:c>
      <x:c r="G63" s="42" t="str">
        <x:v>Manual</x:v>
      </x:c>
      <x:c r="H63" s="42" t="str">
        <x:v>All</x:v>
      </x:c>
      <x:c r="I63" s="42" t="str">
        <x:v>AIS-02 (application security baseline requirements), AIS-08 (input validation), AIS-09 (output validation)</x:v>
      </x:c>
      <x:c r="J63" s="42" t="str">
        <x:v>MAP 1.1; MEASURE 2.6; MANAGE 2.3; MANAGE 4.1</x:v>
      </x:c>
      <x:c r="K63" s="42" t="str">
        <x:v>MAP 1.1: - Maintain awareness of industry, technical, and applicable legal standards. - Examine trustworthiness of AI system design and consider, non-AI solutions - Consider intended AI system design tasks along with unanticipated purposes in collaboration with human factors and socio-technical domain experts. - Define and document the task, purpose, minimum functionality, and benefits of the AI system to inform considerations about whether the utility of the project or its lack of. - Identify whether there are non-AI or non-technology alternatives that will lead to more trustworthy outcomes. - Examine how changes in system performance affect downstream events such as decision-making (e.g: changes in an AI model objective function create what types of impacts in how many candidates do/do not get a job interview).… MEASURE 2.6: - Thoroughly measure system performance in development and deployment contexts, and under stress conditions. - Employ test data assessments and simulations before proceeding to production testing. Track multiple performance quality and error metrics. - Stress-test system performance under likely scenarios (e.g., concept drift, high load) and beyond known limitations, in consultation with domain experts. - Test the system under conditions similar to those related to past known incidents or near-misses and measure system performance and safety characteristics - Apply chaos engineering approaches to test systems in extreme conditions and gauge unexpected responses. - Document the range of conditions under which the system has been tested and demonstrated to fail safely. - Measure and monitor system performance in real-time to enable rapid response when AI system incidents are detected.… MANAGE 2.3: - Protocols, resources, and metrics are in place for continual monitoring of AI systems’ performance, trustworthiness, and alignment with contextual norms and values - Establish and regularly review treatment and response plans for incidents, negative impacts, or outcomes. - Establish and maintain procedures to regularly monitor system components for drift, decontextualization, or other AI system behavior factors, - Establish and maintain procedures for capturing feedback about negative impacts. - Verify contingency processes to handle any negative impacts associated with mission-critical AI systems, and to deactivate systems. - Enable preventive and post-hoc exploration of AI system limitations by relevant AI actor groups. - Decommission systems that exceed risk tolerances. MANAGE 4.1: - Establish and maintain procedures to monitor AI system performance for risks and negative and positive impacts associated with trustworthiness characteristics. - Perform post-deployment TEVV tasks to evaluate AI system validity and reliability, bias and fairness, privacy, and security and resilience. - Evaluate AI system trustworthiness in conditions similar to deployment context of use, and prior to deployment.…</x:v>
      </x:c>
      <x:c r="L63" s="42" t="str">
        <x:v>Derived by CSA domain/theme</x:v>
      </x:c>
      <x:c r="M63" s="42" t="str">
        <x:v>Annex A.4; Annex A.5; Annex A.6; Annex A.8; Annex A.9; Annex A.10</x:v>
      </x:c>
      <x:c r="N63" s="42" t="str">
        <x:v>Annex A.4 – Resources for AI systems: Maintain a register of AI resources including data, tools, systems, people, tooling, compute resources, and relevant operational/environmental impacts. Annex A.5 – Assessing impacts of AI systems: Perform documented, repeatable impact assessments on individuals, groups, or society; update after significant changes; feed findings into design, controls, and stakeholder communication. Annex A.6 – AI system life cycle: Define responsible development objectives, specify verification and validation, maintain technical documentation, and record/maintain event logs during system use. Annex A.8 – Information for interested parties: Provide necessary documentation to users and interested parties; define incident reporting/escalation, incident communication, and stakeholder information requirements. Annex A.9 – Use of AI systems: Define responsible AI use processes, ethical/appropriate-use objectives, intended-purpose usage boundaries, and monitoring/remediation for misuse or unintended consequences. Annex A.10 – Third-party and customer relationships: Define lifecycle responsibilities with third parties, manage AI suppliers, capture customer expectations, and review third-party roles through ongoing governance.</x:v>
      </x:c>
      <x:c r="O63" s="42" t="str">
        <x:v>Derived by control theme/domain</x:v>
      </x:c>
      <x:c r="P63" s="42" t="str">
        <x:v>Maintain authoritative AI inventory; link assets to owners, use cases, providers, data classes, and risk tiers.</x:v>
      </x:c>
      <x:c r="Q63" s="42" t="str">
        <x:v>OWASP LLM01:2025 Prompt Injection, OWASP LLM05:2025 Improper Output Handling, OWASP LLM02:2025 Sensitive Information Disclosure</x:v>
      </x:c>
      <x:c r="R63" s="42" t="str">
        <x:v>Application architecture diagrams; prompt/control design; input/output filtering rules; access control configurations; API security tests; misuse/abuse case testing; production deployment approvals.</x:v>
      </x:c>
      <x:c r="S63" s="42" t="str">
        <x:v>Test a sample AI application path; verify controls are implemented for access, prompt injection, data leakage, output handling, logging, and production release approval.</x:v>
      </x:c>
      <x:c r="T63" s="42" t="str">
        <x:v>Yes</x:v>
      </x:c>
      <x:c r="U63" s="42" t="str"/>
      <x:c r="V63" s="42" t="str"/>
      <x:c r="W63" s="42" t="str">
        <x:v>Not Assessed</x:v>
      </x:c>
      <x:c r="X63" s="44" t="n">
        <x:v>0</x:v>
      </x:c>
      <x:c r="Y63" s="44" t="n">
        <x:v>2</x:v>
      </x:c>
      <x:c r="Z63" s="42" t="str">
        <x:v>Not Provided</x:v>
      </x:c>
      <x:c r="AA63" s="42" t="str"/>
      <x:c r="AB63" s="42" t="str">
        <x:v>Not Tested</x:v>
      </x:c>
      <x:c r="AC63" s="46" t="str"/>
      <x:c r="AD63" s="42" t="str"/>
      <x:c r="AE63" s="42" t="str">
        <x:v>Not Assessed</x:v>
      </x:c>
      <x:c r="AF63" s="42" t="n">
        <x:f>IF($T63="No","",MAX(0,$Y63-$X63))</x:f>
        <x:v>2</x:v>
      </x:c>
      <x:c r="AG63" s="42" t="str">
        <x:f>IF($T63="No","Not Applicable",IF($X63&gt;=$C63,"Meets CSA Level","Gap to CSA Level"))</x:f>
        <x:v>Gap to CSA Level</x:v>
      </x:c>
      <x:c r="AH63" s="42" t="str">
        <x:f>IF($T63="No","Not Applicable",IF($J63="","Not Mapped",IF(AND(OR($W63="Implemented",$W63="Optimized"),$Z63="Validated",$AB63="Pass"),"Compliant",IF(AND(OR($W63="Partially Implemented",$W63="Implemented",$W63="Optimized"),OR($Z63="Reviewed",$Z63="Validated"),OR($AB63="Pass with Exceptions",$AB63="Pass")),"Partially Compliant","Not Compliant"))))</x:f>
        <x:v>Not Compliant</x:v>
      </x:c>
      <x:c r="AI63" s="42" t="str">
        <x:f>IF($T63="No","Not Applicable",IF($M63="","Not Mapped",IF(AND(OR($W63="Implemented",$W63="Optimized"),$Z63="Validated",$AB63="Pass"),"Compliant",IF(AND(OR($W63="Partially Implemented",$W63="Implemented",$W63="Optimized"),OR($Z63="Reviewed",$Z63="Validated"),OR($AB63="Pass with Exceptions",$AB63="Pass")),"Partially Compliant","Not Compliant"))))</x:f>
        <x:v>Not Compliant</x:v>
      </x:c>
      <x:c r="AJ63" s="42" t="str">
        <x:f>IF($T63="No","Not Applicable",IF(AND($AG63="Meets CSA Level",$AH63="Compliant",$AI63="Compliant"),"CSA AISMM; NIST AI RMF; ISO/IEC 42001",IF(AND($AG63="Meets CSA Level",$AH63="Compliant"),"CSA AISMM; NIST AI RMF",IF(AND($AG63="Meets CSA Level",$AI63="Compliant"),"CSA AISMM; ISO/IEC 42001",IF(AND($AH63="Compliant",$AI63="Compliant"),"NIST AI RMF; ISO/IEC 42001",IF($AG63="Meets CSA Level","CSA AISMM",IF($AH63="Compliant","NIST AI RMF",IF($AI63="Compliant","ISO/IEC 42001","No mapped framework fully compliant"))))))))</x:f>
        <x:v>No mapped framework fully compliant</x:v>
      </x:c>
      <x:c r="AK63" s="42" t="str"/>
      <x:c r="AL63" s="46" t="str"/>
      <x:c r="AM63" s="42" t="str"/>
      <x:c r="AN63" s="42" t="str">
        <x:v>CSA AISMM uploaded workbook; NIST AI RMF Playbook uploaded workbook; ISO/IEC 42001 checklist uploaded PDF; official CSA/NIST/ISO web sources listed on Sources sheet</x:v>
      </x:c>
    </x:row>
    <x:row r="64" ht="90" customHeight="1">
      <x:c r="A64" s="42" t="str">
        <x:v>App Security</x:v>
      </x:c>
      <x:c r="B64" s="42" t="str">
        <x:v>APP-02.2</x:v>
      </x:c>
      <x:c r="C64" s="42" t="n">
        <x:v>2</x:v>
      </x:c>
      <x:c r="D64" s="42" t="str">
        <x:v>APP</x:v>
      </x:c>
      <x:c r="E64" s="42" t="str">
        <x:v>Guardrails and prompt separation on high-exposure applications</x:v>
      </x:c>
      <x:c r="F64" s="42" t="str">
        <x:v>Major AI applications (customer-facing or processing untrusted content) run behind a managed guardrail layer such as Bedrock Guardrails, Azure AI Content Safety, OpenAI moderation, or a self-hosted equivalent on input or output.</x:v>
      </x:c>
      <x:c r="G64" s="42" t="str">
        <x:v>Either</x:v>
      </x:c>
      <x:c r="H64" s="42" t="str">
        <x:v>All</x:v>
      </x:c>
      <x:c r="I64" s="42" t="str">
        <x:v>AIS-08 (input validation), AIS-09 (output validation), AIS-15 (prompt differentiation)</x:v>
      </x:c>
      <x:c r="J64" s="42" t="str">
        <x:v>MAP 1.1; MEASURE 2.6; MANAGE 2.3; MANAGE 4.1</x:v>
      </x:c>
      <x:c r="K64" s="42" t="str">
        <x:v>MAP 1.1: - Maintain awareness of industry, technical, and applicable legal standards. - Examine trustworthiness of AI system design and consider, non-AI solutions - Consider intended AI system design tasks along with unanticipated purposes in collaboration with human factors and socio-technical domain experts. - Define and document the task, purpose, minimum functionality, and benefits of the AI system to inform considerations about whether the utility of the project or its lack of. - Identify whether there are non-AI or non-technology alternatives that will lead to more trustworthy outcomes. - Examine how changes in system performance affect downstream events such as decision-making (e.g: changes in an AI model objective function create what types of impacts in how many candidates do/do not get a job interview).… MEASURE 2.6: - Thoroughly measure system performance in development and deployment contexts, and under stress conditions. - Employ test data assessments and simulations before proceeding to production testing. Track multiple performance quality and error metrics. - Stress-test system performance under likely scenarios (e.g., concept drift, high load) and beyond known limitations, in consultation with domain experts. - Test the system under conditions similar to those related to past known incidents or near-misses and measure system performance and safety characteristics - Apply chaos engineering approaches to test systems in extreme conditions and gauge unexpected responses. - Document the range of conditions under which the system has been tested and demonstrated to fail safely. - Measure and monitor system performance in real-time to enable rapid response when AI system incidents are detected.… MANAGE 2.3: - Protocols, resources, and metrics are in place for continual monitoring of AI systems’ performance, trustworthiness, and alignment with contextual norms and values - Establish and regularly review treatment and response plans for incidents, negative impacts, or outcomes. - Establish and maintain procedures to regularly monitor system components for drift, decontextualization, or other AI system behavior factors, - Establish and maintain procedures for capturing feedback about negative impacts. - Verify contingency processes to handle any negative impacts associated with mission-critical AI systems, and to deactivate systems. - Enable preventive and post-hoc exploration of AI system limitations by relevant AI actor groups. - Decommission systems that exceed risk tolerances. MANAGE 4.1: - Establish and maintain procedures to monitor AI system performance for risks and negative and positive impacts associated with trustworthiness characteristics. - Perform post-deployment TEVV tasks to evaluate AI system validity and reliability, bias and fairness, privacy, and security and resilience. - Evaluate AI system trustworthiness in conditions similar to deployment context of use, and prior to deployment.…</x:v>
      </x:c>
      <x:c r="L64" s="42" t="str">
        <x:v>Derived by CSA domain/theme</x:v>
      </x:c>
      <x:c r="M64" s="42" t="str">
        <x:v>Annex A.6; Annex A.8; Annex A.9; Annex A.10</x:v>
      </x:c>
      <x:c r="N64" s="42" t="str">
        <x:v>Annex A.6 – AI system life cycle: Define responsible development objectives, specify verification and validation, maintain technical documentation, and record/maintain event logs during system use. Annex A.8 – Information for interested parties: Provide necessary documentation to users and interested parties; define incident reporting/escalation, incident communication, and stakeholder information requirements. Annex A.9 – Use of AI systems: Define responsible AI use processes, ethical/appropriate-use objectives, intended-purpose usage boundaries, and monitoring/remediation for misuse or unintended consequences. Annex A.10 – Third-party and customer relationships: Define lifecycle responsibilities with third parties, manage AI suppliers, capture customer expectations, and review third-party roles through ongoing governance.</x:v>
      </x:c>
      <x:c r="O64" s="42" t="str">
        <x:v>Derived by control theme/domain</x:v>
      </x:c>
      <x:c r="P64" s="42" t="str">
        <x:v>Use this row as a control objective to assess current state, define target maturity, collect evidence, and remediate gaps.</x:v>
      </x:c>
      <x:c r="Q64" s="42" t="str">
        <x:v>OWASP LLM01:2025 Prompt Injection, OWASP LLM05:2025 Improper Output Handling</x:v>
      </x:c>
      <x:c r="R64" s="42" t="str">
        <x:v>Application architecture diagrams; prompt/control design; input/output filtering rules; access control configurations; API security tests; misuse/abuse case testing; production deployment approvals.</x:v>
      </x:c>
      <x:c r="S64" s="42" t="str">
        <x:v>Test a sample AI application path; verify controls are implemented for access, prompt injection, data leakage, output handling, logging, and production release approval.</x:v>
      </x:c>
      <x:c r="T64" s="42" t="str">
        <x:v>Yes</x:v>
      </x:c>
      <x:c r="U64" s="42" t="str"/>
      <x:c r="V64" s="42" t="str"/>
      <x:c r="W64" s="42" t="str">
        <x:v>Not Assessed</x:v>
      </x:c>
      <x:c r="X64" s="44" t="n">
        <x:v>0</x:v>
      </x:c>
      <x:c r="Y64" s="44" t="n">
        <x:v>2</x:v>
      </x:c>
      <x:c r="Z64" s="42" t="str">
        <x:v>Not Provided</x:v>
      </x:c>
      <x:c r="AA64" s="42" t="str"/>
      <x:c r="AB64" s="42" t="str">
        <x:v>Not Tested</x:v>
      </x:c>
      <x:c r="AC64" s="46" t="str"/>
      <x:c r="AD64" s="42" t="str"/>
      <x:c r="AE64" s="42" t="str">
        <x:v>Not Assessed</x:v>
      </x:c>
      <x:c r="AF64" s="42" t="n">
        <x:f>IF($T64="No","",MAX(0,$Y64-$X64))</x:f>
        <x:v>2</x:v>
      </x:c>
      <x:c r="AG64" s="42" t="str">
        <x:f>IF($T64="No","Not Applicable",IF($X64&gt;=$C64,"Meets CSA Level","Gap to CSA Level"))</x:f>
        <x:v>Gap to CSA Level</x:v>
      </x:c>
      <x:c r="AH64" s="42" t="str">
        <x:f>IF($T64="No","Not Applicable",IF($J64="","Not Mapped",IF(AND(OR($W64="Implemented",$W64="Optimized"),$Z64="Validated",$AB64="Pass"),"Compliant",IF(AND(OR($W64="Partially Implemented",$W64="Implemented",$W64="Optimized"),OR($Z64="Reviewed",$Z64="Validated"),OR($AB64="Pass with Exceptions",$AB64="Pass")),"Partially Compliant","Not Compliant"))))</x:f>
        <x:v>Not Compliant</x:v>
      </x:c>
      <x:c r="AI64" s="42" t="str">
        <x:f>IF($T64="No","Not Applicable",IF($M64="","Not Mapped",IF(AND(OR($W64="Implemented",$W64="Optimized"),$Z64="Validated",$AB64="Pass"),"Compliant",IF(AND(OR($W64="Partially Implemented",$W64="Implemented",$W64="Optimized"),OR($Z64="Reviewed",$Z64="Validated"),OR($AB64="Pass with Exceptions",$AB64="Pass")),"Partially Compliant","Not Compliant"))))</x:f>
        <x:v>Not Compliant</x:v>
      </x:c>
      <x:c r="AJ64" s="42" t="str">
        <x:f>IF($T64="No","Not Applicable",IF(AND($AG64="Meets CSA Level",$AH64="Compliant",$AI64="Compliant"),"CSA AISMM; NIST AI RMF; ISO/IEC 42001",IF(AND($AG64="Meets CSA Level",$AH64="Compliant"),"CSA AISMM; NIST AI RMF",IF(AND($AG64="Meets CSA Level",$AI64="Compliant"),"CSA AISMM; ISO/IEC 42001",IF(AND($AH64="Compliant",$AI64="Compliant"),"NIST AI RMF; ISO/IEC 42001",IF($AG64="Meets CSA Level","CSA AISMM",IF($AH64="Compliant","NIST AI RMF",IF($AI64="Compliant","ISO/IEC 42001","No mapped framework fully compliant"))))))))</x:f>
        <x:v>No mapped framework fully compliant</x:v>
      </x:c>
      <x:c r="AK64" s="42" t="str"/>
      <x:c r="AL64" s="46" t="str"/>
      <x:c r="AM64" s="42" t="str"/>
      <x:c r="AN64" s="42" t="str">
        <x:v>CSA AISMM uploaded workbook; NIST AI RMF Playbook uploaded workbook; ISO/IEC 42001 checklist uploaded PDF; official CSA/NIST/ISO web sources listed on Sources sheet</x:v>
      </x:c>
    </x:row>
    <x:row r="65" ht="90" customHeight="1">
      <x:c r="A65" s="42" t="str">
        <x:v>App Security</x:v>
      </x:c>
      <x:c r="B65" s="42" t="str">
        <x:v>APP-03.1</x:v>
      </x:c>
      <x:c r="C65" s="42" t="n">
        <x:v>3</x:v>
      </x:c>
      <x:c r="D65" s="42" t="str">
        <x:v>APP</x:v>
      </x:c>
      <x:c r="E65" s="42" t="str">
        <x:v>AI application security baseline with attested conformance</x:v>
      </x:c>
      <x:c r="F65" s="42" t="str">
        <x:v>A versioned AI application security baseline defines what secure looks like across deployment types, covering prompt separation, indirect-injection filtering, minimum guardrail configuration, output handling by destination, and AI API-endpoint hardening. Critical AI applications (customer-facing and processing untrusted content) record dated conformance to the baseline, with exceptions carrying a named approver and a time-bound expiration.</x:v>
      </x:c>
      <x:c r="G65" s="42" t="str">
        <x:v>Manual</x:v>
      </x:c>
      <x:c r="H65" s="42" t="str">
        <x:v>All</x:v>
      </x:c>
      <x:c r="I65" s="42" t="str">
        <x:v>AIS-02 (application security baseline requirements), AIS-03 (application security metrics), AIS-08 (input validation), AIS-09 (output validation), AIS-15 (prompt differentiation)</x:v>
      </x:c>
      <x:c r="J65" s="42" t="str">
        <x:v>GOVERN 1.4; GOVERN 1</x:v>
      </x:c>
      <x:c r="K65" s="42" t="str">
        <x:v>GOVERN 1.4: - Establish and regularly review documentation policies that, among others, address information related to: - AI actors contact informations - Business justification - Scope and usages - Expected and potential risks and impacts - Assumptions and limitations - Description and characterization of training data - Algorithmic methodology - Evaluated alternative approaches - Description of output data - Testing and validation results (including explanatory visualizations and information) - Down- and up-stream dependencies - Plans for deployment, monitoring, and change management - Stakeholder engagement plans - Verify documentation policies for AI systems are standardized across the organization and remain current. - Establish policies for a model documentation inventory system and regularly review its completeness, usability, and efficacy.…</x:v>
      </x:c>
      <x:c r="L65" s="42" t="str">
        <x:v>Direct from AISMM external reference</x:v>
      </x:c>
      <x:c r="M65" s="42" t="str">
        <x:v>Annex A.6; Annex A.8; Annex A.9; Annex A.10</x:v>
      </x:c>
      <x:c r="N65" s="42" t="str">
        <x:v>Annex A.6 – AI system life cycle: Define responsible development objectives, specify verification and validation, maintain technical documentation, and record/maintain event logs during system use. Annex A.8 – Information for interested parties: Provide necessary documentation to users and interested parties; define incident reporting/escalation, incident communication, and stakeholder information requirements. Annex A.9 – Use of AI systems: Define responsible AI use processes, ethical/appropriate-use objectives, intended-purpose usage boundaries, and monitoring/remediation for misuse or unintended consequences. Annex A.10 – Third-party and customer relationships: Define lifecycle responsibilities with third parties, manage AI suppliers, capture customer expectations, and review third-party roles through ongoing governance.</x:v>
      </x:c>
      <x:c r="O65" s="42" t="str">
        <x:v>Derived by control theme/domain</x:v>
      </x:c>
      <x:c r="P65" s="42" t="str">
        <x:v>Use this row as a control objective to assess current state, define target maturity, collect evidence, and remediate gaps.</x:v>
      </x:c>
      <x:c r="Q65" s="42" t="str">
        <x:v>OWASP LLM01:2025 Prompt Injection, OWASP LLM02:2025 Sensitive Information Disclosure, OWASP LLM05:2025 Improper Output Handling, NIST AI RMF GOVERN-1.4</x:v>
      </x:c>
      <x:c r="R65" s="42" t="str">
        <x:v>Application architecture diagrams; prompt/control design; input/output filtering rules; access control configurations; API security tests; misuse/abuse case testing; production deployment approvals.</x:v>
      </x:c>
      <x:c r="S65" s="42" t="str">
        <x:v>Test a sample AI application path; verify controls are implemented for access, prompt injection, data leakage, output handling, logging, and production release approval.</x:v>
      </x:c>
      <x:c r="T65" s="42" t="str">
        <x:v>Yes</x:v>
      </x:c>
      <x:c r="U65" s="42" t="str"/>
      <x:c r="V65" s="42" t="str"/>
      <x:c r="W65" s="42" t="str">
        <x:v>Not Assessed</x:v>
      </x:c>
      <x:c r="X65" s="44" t="n">
        <x:v>0</x:v>
      </x:c>
      <x:c r="Y65" s="44" t="n">
        <x:v>3</x:v>
      </x:c>
      <x:c r="Z65" s="42" t="str">
        <x:v>Not Provided</x:v>
      </x:c>
      <x:c r="AA65" s="42" t="str"/>
      <x:c r="AB65" s="42" t="str">
        <x:v>Not Tested</x:v>
      </x:c>
      <x:c r="AC65" s="46" t="str"/>
      <x:c r="AD65" s="42" t="str"/>
      <x:c r="AE65" s="42" t="str">
        <x:v>Not Assessed</x:v>
      </x:c>
      <x:c r="AF65" s="42" t="n">
        <x:f>IF($T65="No","",MAX(0,$Y65-$X65))</x:f>
        <x:v>3</x:v>
      </x:c>
      <x:c r="AG65" s="42" t="str">
        <x:f>IF($T65="No","Not Applicable",IF($X65&gt;=$C65,"Meets CSA Level","Gap to CSA Level"))</x:f>
        <x:v>Gap to CSA Level</x:v>
      </x:c>
      <x:c r="AH65" s="42" t="str">
        <x:f>IF($T65="No","Not Applicable",IF($J65="","Not Mapped",IF(AND(OR($W65="Implemented",$W65="Optimized"),$Z65="Validated",$AB65="Pass"),"Compliant",IF(AND(OR($W65="Partially Implemented",$W65="Implemented",$W65="Optimized"),OR($Z65="Reviewed",$Z65="Validated"),OR($AB65="Pass with Exceptions",$AB65="Pass")),"Partially Compliant","Not Compliant"))))</x:f>
        <x:v>Not Compliant</x:v>
      </x:c>
      <x:c r="AI65" s="42" t="str">
        <x:f>IF($T65="No","Not Applicable",IF($M65="","Not Mapped",IF(AND(OR($W65="Implemented",$W65="Optimized"),$Z65="Validated",$AB65="Pass"),"Compliant",IF(AND(OR($W65="Partially Implemented",$W65="Implemented",$W65="Optimized"),OR($Z65="Reviewed",$Z65="Validated"),OR($AB65="Pass with Exceptions",$AB65="Pass")),"Partially Compliant","Not Compliant"))))</x:f>
        <x:v>Not Compliant</x:v>
      </x:c>
      <x:c r="AJ65" s="42" t="str">
        <x:f>IF($T65="No","Not Applicable",IF(AND($AG65="Meets CSA Level",$AH65="Compliant",$AI65="Compliant"),"CSA AISMM; NIST AI RMF; ISO/IEC 42001",IF(AND($AG65="Meets CSA Level",$AH65="Compliant"),"CSA AISMM; NIST AI RMF",IF(AND($AG65="Meets CSA Level",$AI65="Compliant"),"CSA AISMM; ISO/IEC 42001",IF(AND($AH65="Compliant",$AI65="Compliant"),"NIST AI RMF; ISO/IEC 42001",IF($AG65="Meets CSA Level","CSA AISMM",IF($AH65="Compliant","NIST AI RMF",IF($AI65="Compliant","ISO/IEC 42001","No mapped framework fully compliant"))))))))</x:f>
        <x:v>No mapped framework fully compliant</x:v>
      </x:c>
      <x:c r="AK65" s="42" t="str"/>
      <x:c r="AL65" s="46" t="str"/>
      <x:c r="AM65" s="42" t="str"/>
      <x:c r="AN65" s="42" t="str">
        <x:v>CSA AISMM uploaded workbook; NIST AI RMF Playbook uploaded workbook; ISO/IEC 42001 checklist uploaded PDF; official CSA/NIST/ISO web sources listed on Sources sheet</x:v>
      </x:c>
    </x:row>
    <x:row r="66" ht="90" customHeight="1">
      <x:c r="A66" s="42" t="str">
        <x:v>App Security</x:v>
      </x:c>
      <x:c r="B66" s="42" t="str">
        <x:v>APP-03.2</x:v>
      </x:c>
      <x:c r="C66" s="42" t="n">
        <x:v>3</x:v>
      </x:c>
      <x:c r="D66" s="42" t="str">
        <x:v>APP</x:v>
      </x:c>
      <x:c r="E66" s="42" t="str">
        <x:v>Agent tool allowlist and application-facing MCP review</x:v>
      </x:c>
      <x:c r="F66" s="42" t="str">
        <x:v>Agentic production applications run inside a documented tool allowlist with deny-by-default. MCP servers used by these applications pass an application-facing security review before production deployment, with re-review on major version updates.</x:v>
      </x:c>
      <x:c r="G66" s="42" t="str">
        <x:v>Either</x:v>
      </x:c>
      <x:c r="H66" s="42" t="str">
        <x:v>All</x:v>
      </x:c>
      <x:c r="I66" s="42" t="str">
        <x:v>AIS-11 (agent security boundaries), AIS-13 (AI sandboxing), AIS-04 (secure SDLC)</x:v>
      </x:c>
      <x:c r="J66" s="42" t="str">
        <x:v>MAP 1.1; MEASURE 2.6; MANAGE 2.3; MANAGE 4.1</x:v>
      </x:c>
      <x:c r="K66" s="42" t="str">
        <x:v>MAP 1.1: - Maintain awareness of industry, technical, and applicable legal standards. - Examine trustworthiness of AI system design and consider, non-AI solutions - Consider intended AI system design tasks along with unanticipated purposes in collaboration with human factors and socio-technical domain experts. - Define and document the task, purpose, minimum functionality, and benefits of the AI system to inform considerations about whether the utility of the project or its lack of. - Identify whether there are non-AI or non-technology alternatives that will lead to more trustworthy outcomes. - Examine how changes in system performance affect downstream events such as decision-making (e.g: changes in an AI model objective function create what types of impacts in how many candidates do/do not get a job interview).… MEASURE 2.6: - Thoroughly measure system performance in development and deployment contexts, and under stress conditions. - Employ test data assessments and simulations before proceeding to production testing. Track multiple performance quality and error metrics. - Stress-test system performance under likely scenarios (e.g., concept drift, high load) and beyond known limitations, in consultation with domain experts. - Test the system under conditions similar to those related to past known incidents or near-misses and measure system performance and safety characteristics - Apply chaos engineering approaches to test systems in extreme conditions and gauge unexpected responses. - Document the range of conditions under which the system has been tested and demonstrated to fail safely. - Measure and monitor system performance in real-time to enable rapid response when AI system incidents are detected.… MANAGE 2.3: - Protocols, resources, and metrics are in place for continual monitoring of AI systems’ performance, trustworthiness, and alignment with contextual norms and values - Establish and regularly review treatment and response plans for incidents, negative impacts, or outcomes. - Establish and maintain procedures to regularly monitor system components for drift, decontextualization, or other AI system behavior factors, - Establish and maintain procedures for capturing feedback about negative impacts. - Verify contingency processes to handle any negative impacts associated with mission-critical AI systems, and to deactivate systems. - Enable preventive and post-hoc exploration of AI system limitations by relevant AI actor groups. - Decommission systems that exceed risk tolerances. MANAGE 4.1: - Establish and maintain procedures to monitor AI system performance for risks and negative and positive impacts associated with trustworthiness characteristics. - Perform post-deployment TEVV tasks to evaluate AI system validity and reliability, bias and fairness, privacy, and security and resilience. - Evaluate AI system trustworthiness in conditions similar to deployment context of use, and prior to deployment.…</x:v>
      </x:c>
      <x:c r="L66" s="42" t="str">
        <x:v>Derived by CSA domain/theme</x:v>
      </x:c>
      <x:c r="M66" s="42" t="str">
        <x:v>Annex A.6; Annex A.9; Annex A.10</x:v>
      </x:c>
      <x:c r="N66" s="42" t="str">
        <x:v>Annex A.6 – AI system life cycle: Define responsible development objectives, specify verification and validation, maintain technical documentation, and record/maintain event logs during system use. Annex A.9 – Use of AI systems: Define responsible AI use processes, ethical/appropriate-use objectives, intended-purpose usage boundaries, and monitoring/remediation for misuse or unintended consequences. Annex A.10 – Third-party and customer relationships: Define lifecycle responsibilities with third parties, manage AI suppliers, capture customer expectations, and review third-party roles through ongoing governance.</x:v>
      </x:c>
      <x:c r="O66" s="42" t="str">
        <x:v>Derived by control theme/domain</x:v>
      </x:c>
      <x:c r="P66" s="42" t="str">
        <x:v>Use this row as a control objective to assess current state, define target maturity, collect evidence, and remediate gaps.</x:v>
      </x:c>
      <x:c r="Q66" s="42" t="str">
        <x:v>OWASP LLM06:2025 Excessive Agency, OWASP Agentic Security Initiative ASI02 (Tool Misuse), ASI04 (Supply Chain Vulnerabilities), MCP Security Best Practices</x:v>
      </x:c>
      <x:c r="R66" s="42" t="str">
        <x:v>Application architecture diagrams; prompt/control design; input/output filtering rules; access control configurations; API security tests; misuse/abuse case testing; production deployment approvals.</x:v>
      </x:c>
      <x:c r="S66" s="42" t="str">
        <x:v>Test a sample AI application path; verify controls are implemented for access, prompt injection, data leakage, output handling, logging, and production release approval.</x:v>
      </x:c>
      <x:c r="T66" s="42" t="str">
        <x:v>Yes</x:v>
      </x:c>
      <x:c r="U66" s="42" t="str"/>
      <x:c r="V66" s="42" t="str"/>
      <x:c r="W66" s="42" t="str">
        <x:v>Not Assessed</x:v>
      </x:c>
      <x:c r="X66" s="44" t="n">
        <x:v>0</x:v>
      </x:c>
      <x:c r="Y66" s="44" t="n">
        <x:v>3</x:v>
      </x:c>
      <x:c r="Z66" s="42" t="str">
        <x:v>Not Provided</x:v>
      </x:c>
      <x:c r="AA66" s="42" t="str"/>
      <x:c r="AB66" s="42" t="str">
        <x:v>Not Tested</x:v>
      </x:c>
      <x:c r="AC66" s="46" t="str"/>
      <x:c r="AD66" s="42" t="str"/>
      <x:c r="AE66" s="42" t="str">
        <x:v>Not Assessed</x:v>
      </x:c>
      <x:c r="AF66" s="42" t="n">
        <x:f>IF($T66="No","",MAX(0,$Y66-$X66))</x:f>
        <x:v>3</x:v>
      </x:c>
      <x:c r="AG66" s="42" t="str">
        <x:f>IF($T66="No","Not Applicable",IF($X66&gt;=$C66,"Meets CSA Level","Gap to CSA Level"))</x:f>
        <x:v>Gap to CSA Level</x:v>
      </x:c>
      <x:c r="AH66" s="42" t="str">
        <x:f>IF($T66="No","Not Applicable",IF($J66="","Not Mapped",IF(AND(OR($W66="Implemented",$W66="Optimized"),$Z66="Validated",$AB66="Pass"),"Compliant",IF(AND(OR($W66="Partially Implemented",$W66="Implemented",$W66="Optimized"),OR($Z66="Reviewed",$Z66="Validated"),OR($AB66="Pass with Exceptions",$AB66="Pass")),"Partially Compliant","Not Compliant"))))</x:f>
        <x:v>Not Compliant</x:v>
      </x:c>
      <x:c r="AI66" s="42" t="str">
        <x:f>IF($T66="No","Not Applicable",IF($M66="","Not Mapped",IF(AND(OR($W66="Implemented",$W66="Optimized"),$Z66="Validated",$AB66="Pass"),"Compliant",IF(AND(OR($W66="Partially Implemented",$W66="Implemented",$W66="Optimized"),OR($Z66="Reviewed",$Z66="Validated"),OR($AB66="Pass with Exceptions",$AB66="Pass")),"Partially Compliant","Not Compliant"))))</x:f>
        <x:v>Not Compliant</x:v>
      </x:c>
      <x:c r="AJ66" s="42" t="str">
        <x:f>IF($T66="No","Not Applicable",IF(AND($AG66="Meets CSA Level",$AH66="Compliant",$AI66="Compliant"),"CSA AISMM; NIST AI RMF; ISO/IEC 42001",IF(AND($AG66="Meets CSA Level",$AH66="Compliant"),"CSA AISMM; NIST AI RMF",IF(AND($AG66="Meets CSA Level",$AI66="Compliant"),"CSA AISMM; ISO/IEC 42001",IF(AND($AH66="Compliant",$AI66="Compliant"),"NIST AI RMF; ISO/IEC 42001",IF($AG66="Meets CSA Level","CSA AISMM",IF($AH66="Compliant","NIST AI RMF",IF($AI66="Compliant","ISO/IEC 42001","No mapped framework fully compliant"))))))))</x:f>
        <x:v>No mapped framework fully compliant</x:v>
      </x:c>
      <x:c r="AK66" s="42" t="str"/>
      <x:c r="AL66" s="46" t="str"/>
      <x:c r="AM66" s="42" t="str"/>
      <x:c r="AN66" s="42" t="str">
        <x:v>CSA AISMM uploaded workbook; NIST AI RMF Playbook uploaded workbook; ISO/IEC 42001 checklist uploaded PDF; official CSA/NIST/ISO web sources listed on Sources sheet</x:v>
      </x:c>
    </x:row>
    <x:row r="67" ht="90" customHeight="1">
      <x:c r="A67" s="42" t="str">
        <x:v>App Security</x:v>
      </x:c>
      <x:c r="B67" s="42" t="str">
        <x:v>APP-03.3</x:v>
      </x:c>
      <x:c r="C67" s="42" t="n">
        <x:v>3</x:v>
      </x:c>
      <x:c r="D67" s="42" t="str">
        <x:v>APP</x:v>
      </x:c>
      <x:c r="E67" s="42" t="str">
        <x:v>Sandboxed runtimes for high-risk agent types</x:v>
      </x:c>
      <x:c r="F67" s="42" t="str">
        <x:v>Agents that execute code, automate developer workflows, or interact with untrusted environments run in sandboxed runtimes (containers, VMs, OS-level sandboxes, or hosted code-execution sandboxes). The sandbox boundary is documented per agent type.</x:v>
      </x:c>
      <x:c r="G67" s="42" t="str">
        <x:v>Either</x:v>
      </x:c>
      <x:c r="H67" s="42" t="str">
        <x:v>All</x:v>
      </x:c>
      <x:c r="I67" s="42" t="str">
        <x:v>AIS-13 (AI sandboxing), AIS-11 (agent security boundaries)</x:v>
      </x:c>
      <x:c r="J67" s="42" t="str">
        <x:v>MAP 1.1; MEASURE 2.6; MANAGE 2.3; MANAGE 4.1</x:v>
      </x:c>
      <x:c r="K67" s="42" t="str">
        <x:v>MAP 1.1: - Maintain awareness of industry, technical, and applicable legal standards. - Examine trustworthiness of AI system design and consider, non-AI solutions - Consider intended AI system design tasks along with unanticipated purposes in collaboration with human factors and socio-technical domain experts. - Define and document the task, purpose, minimum functionality, and benefits of the AI system to inform considerations about whether the utility of the project or its lack of. - Identify whether there are non-AI or non-technology alternatives that will lead to more trustworthy outcomes. - Examine how changes in system performance affect downstream events such as decision-making (e.g: changes in an AI model objective function create what types of impacts in how many candidates do/do not get a job interview).… MEASURE 2.6: - Thoroughly measure system performance in development and deployment contexts, and under stress conditions. - Employ test data assessments and simulations before proceeding to production testing. Track multiple performance quality and error metrics. - Stress-test system performance under likely scenarios (e.g., concept drift, high load) and beyond known limitations, in consultation with domain experts. - Test the system under conditions similar to those related to past known incidents or near-misses and measure system performance and safety characteristics - Apply chaos engineering approaches to test systems in extreme conditions and gauge unexpected responses. - Document the range of conditions under which the system has been tested and demonstrated to fail safely. - Measure and monitor system performance in real-time to enable rapid response when AI system incidents are detected.… MANAGE 2.3: - Protocols, resources, and metrics are in place for continual monitoring of AI systems’ performance, trustworthiness, and alignment with contextual norms and values - Establish and regularly review treatment and response plans for incidents, negative impacts, or outcomes. - Establish and maintain procedures to regularly monitor system components for drift, decontextualization, or other AI system behavior factors, - Establish and maintain procedures for capturing feedback about negative impacts. - Verify contingency processes to handle any negative impacts associated with mission-critical AI systems, and to deactivate systems. - Enable preventive and post-hoc exploration of AI system limitations by relevant AI actor groups. - Decommission systems that exceed risk tolerances. MANAGE 4.1: - Establish and maintain procedures to monitor AI system performance for risks and negative and positive impacts associated with trustworthiness characteristics. - Perform post-deployment TEVV tasks to evaluate AI system validity and reliability, bias and fairness, privacy, and security and resilience. - Evaluate AI system trustworthiness in conditions similar to deployment context of use, and prior to deployment.…</x:v>
      </x:c>
      <x:c r="L67" s="42" t="str">
        <x:v>Derived by CSA domain/theme</x:v>
      </x:c>
      <x:c r="M67" s="42" t="str">
        <x:v>Annex A.4; Annex A.6; Annex A.9</x:v>
      </x:c>
      <x:c r="N67" s="42" t="str">
        <x:v>Annex A.4 – Resources for AI systems: Maintain a register of AI resources including data, tools, systems, people, tooling, compute resources, and relevant operational/environmental impacts. Annex A.6 – AI system life cycle: Define responsible development objectives, specify verification and validation, maintain technical documentation, and record/maintain event logs during system use. Annex A.9 – Use of AI systems: Define responsible AI use processes, ethical/appropriate-use objectives, intended-purpose usage boundaries, and monitoring/remediation for misuse or unintended consequences.</x:v>
      </x:c>
      <x:c r="O67" s="42" t="str">
        <x:v>Derived by control theme/domain</x:v>
      </x:c>
      <x:c r="P67" s="42" t="str">
        <x:v>Use this row as a control objective to assess current state, define target maturity, collect evidence, and remediate gaps.</x:v>
      </x:c>
      <x:c r="Q67" s="42" t="str">
        <x:v>OWASP LLM06:2025 Excessive Agency, OWASP ASI02 (Tool Misuse)</x:v>
      </x:c>
      <x:c r="R67" s="42" t="str">
        <x:v>Application architecture diagrams; prompt/control design; input/output filtering rules; access control configurations; API security tests; misuse/abuse case testing; production deployment approvals.</x:v>
      </x:c>
      <x:c r="S67" s="42" t="str">
        <x:v>Test a sample AI application path; verify controls are implemented for access, prompt injection, data leakage, output handling, logging, and production release approval.</x:v>
      </x:c>
      <x:c r="T67" s="42" t="str">
        <x:v>Yes</x:v>
      </x:c>
      <x:c r="U67" s="42" t="str"/>
      <x:c r="V67" s="42" t="str"/>
      <x:c r="W67" s="42" t="str">
        <x:v>Not Assessed</x:v>
      </x:c>
      <x:c r="X67" s="44" t="n">
        <x:v>0</x:v>
      </x:c>
      <x:c r="Y67" s="44" t="n">
        <x:v>3</x:v>
      </x:c>
      <x:c r="Z67" s="42" t="str">
        <x:v>Not Provided</x:v>
      </x:c>
      <x:c r="AA67" s="42" t="str"/>
      <x:c r="AB67" s="42" t="str">
        <x:v>Not Tested</x:v>
      </x:c>
      <x:c r="AC67" s="46" t="str"/>
      <x:c r="AD67" s="42" t="str"/>
      <x:c r="AE67" s="42" t="str">
        <x:v>Not Assessed</x:v>
      </x:c>
      <x:c r="AF67" s="42" t="n">
        <x:f>IF($T67="No","",MAX(0,$Y67-$X67))</x:f>
        <x:v>3</x:v>
      </x:c>
      <x:c r="AG67" s="42" t="str">
        <x:f>IF($T67="No","Not Applicable",IF($X67&gt;=$C67,"Meets CSA Level","Gap to CSA Level"))</x:f>
        <x:v>Gap to CSA Level</x:v>
      </x:c>
      <x:c r="AH67" s="42" t="str">
        <x:f>IF($T67="No","Not Applicable",IF($J67="","Not Mapped",IF(AND(OR($W67="Implemented",$W67="Optimized"),$Z67="Validated",$AB67="Pass"),"Compliant",IF(AND(OR($W67="Partially Implemented",$W67="Implemented",$W67="Optimized"),OR($Z67="Reviewed",$Z67="Validated"),OR($AB67="Pass with Exceptions",$AB67="Pass")),"Partially Compliant","Not Compliant"))))</x:f>
        <x:v>Not Compliant</x:v>
      </x:c>
      <x:c r="AI67" s="42" t="str">
        <x:f>IF($T67="No","Not Applicable",IF($M67="","Not Mapped",IF(AND(OR($W67="Implemented",$W67="Optimized"),$Z67="Validated",$AB67="Pass"),"Compliant",IF(AND(OR($W67="Partially Implemented",$W67="Implemented",$W67="Optimized"),OR($Z67="Reviewed",$Z67="Validated"),OR($AB67="Pass with Exceptions",$AB67="Pass")),"Partially Compliant","Not Compliant"))))</x:f>
        <x:v>Not Compliant</x:v>
      </x:c>
      <x:c r="AJ67" s="42" t="str">
        <x:f>IF($T67="No","Not Applicable",IF(AND($AG67="Meets CSA Level",$AH67="Compliant",$AI67="Compliant"),"CSA AISMM; NIST AI RMF; ISO/IEC 42001",IF(AND($AG67="Meets CSA Level",$AH67="Compliant"),"CSA AISMM; NIST AI RMF",IF(AND($AG67="Meets CSA Level",$AI67="Compliant"),"CSA AISMM; ISO/IEC 42001",IF(AND($AH67="Compliant",$AI67="Compliant"),"NIST AI RMF; ISO/IEC 42001",IF($AG67="Meets CSA Level","CSA AISMM",IF($AH67="Compliant","NIST AI RMF",IF($AI67="Compliant","ISO/IEC 42001","No mapped framework fully compliant"))))))))</x:f>
        <x:v>No mapped framework fully compliant</x:v>
      </x:c>
      <x:c r="AK67" s="42" t="str"/>
      <x:c r="AL67" s="46" t="str"/>
      <x:c r="AM67" s="42" t="str"/>
      <x:c r="AN67" s="42" t="str">
        <x:v>CSA AISMM uploaded workbook; NIST AI RMF Playbook uploaded workbook; ISO/IEC 42001 checklist uploaded PDF; official CSA/NIST/ISO web sources listed on Sources sheet</x:v>
      </x:c>
    </x:row>
    <x:row r="68" ht="90" customHeight="1">
      <x:c r="A68" s="42" t="str">
        <x:v>App Security</x:v>
      </x:c>
      <x:c r="B68" s="42" t="str">
        <x:v>APP-04.1</x:v>
      </x:c>
      <x:c r="C68" s="42" t="n">
        <x:v>4</x:v>
      </x:c>
      <x:c r="D68" s="42" t="str">
        <x:v>APP</x:v>
      </x:c>
      <x:c r="E68" s="42" t="str">
        <x:v>Centralized AI gateway for production AI traffic</x:v>
      </x:c>
      <x:c r="F68" s="42" t="str">
        <x:v>Production AI applications route model calls, MCP server calls, and external tool calls through a centralized AI gateway (such as LiteLLM, Kong AI Gateway, or a self-hosted equivalent). The gateway applies guardrails, tool allowlists, and authentication policies, so applications cannot bypass these controls by calling endpoints directly.</x:v>
      </x:c>
      <x:c r="G68" s="42" t="str">
        <x:v>Automated</x:v>
      </x:c>
      <x:c r="H68" s="42" t="str">
        <x:v>All</x:v>
      </x:c>
      <x:c r="I68" s="42" t="str">
        <x:v>AIS-06 (secure application deployment), AIS-08 (input validation), AIS-09 (output validation), AIS-10 (API security), AIS-15 (prompt differentiation)</x:v>
      </x:c>
      <x:c r="J68" s="42" t="str">
        <x:v>MEASURE 2.6; MEASURE 2</x:v>
      </x:c>
      <x:c r="K68" s="42" t="str">
        <x:v>MEASURE 2.6: - Thoroughly measure system performance in development and deployment contexts, and under stress conditions. - Employ test data assessments and simulations before proceeding to production testing. Track multiple performance quality and error metrics. - Stress-test system performance under likely scenarios (e.g., concept drift, high load) and beyond known limitations, in consultation with domain experts. - Test the system under conditions similar to those related to past known incidents or near-misses and measure system performance and safety characteristics - Apply chaos engineering approaches to test systems in extreme conditions and gauge unexpected responses. - Document the range of conditions under which the system has been tested and demonstrated to fail safely. - Measure and monitor system performance in real-time to enable rapid response when AI system incidents are detected.…</x:v>
      </x:c>
      <x:c r="L68" s="42" t="str">
        <x:v>Direct from AISMM external reference</x:v>
      </x:c>
      <x:c r="M68" s="42" t="str">
        <x:v>Annex A.6; Annex A.9</x:v>
      </x:c>
      <x:c r="N68" s="42" t="str">
        <x:v>Annex A.6 – AI system life cycle: Define responsible development objectives, specify verification and validation, maintain technical documentation, and record/maintain event logs during system use. Annex A.9 – Use of AI systems: Define responsible AI use processes, ethical/appropriate-use objectives, intended-purpose usage boundaries, and monitoring/remediation for misuse or unintended consequences.</x:v>
      </x:c>
      <x:c r="O68" s="42" t="str">
        <x:v>Derived by control theme/domain</x:v>
      </x:c>
      <x:c r="P68" s="42" t="str">
        <x:v>Use this row as a control objective to assess current state, define target maturity, collect evidence, and remediate gaps.</x:v>
      </x:c>
      <x:c r="Q68" s="42" t="str">
        <x:v>OWASP LLM01:2025 Prompt Injection, OWASP LLM05:2025 Improper Output Handling, NIST AI RMF MEASURE-2.6</x:v>
      </x:c>
      <x:c r="R68" s="42" t="str">
        <x:v>Application architecture diagrams; prompt/control design; input/output filtering rules; access control configurations; API security tests; misuse/abuse case testing; production deployment approvals.</x:v>
      </x:c>
      <x:c r="S68" s="42" t="str">
        <x:v>Test a sample AI application path; verify controls are implemented for access, prompt injection, data leakage, output handling, logging, and production release approval.</x:v>
      </x:c>
      <x:c r="T68" s="42" t="str">
        <x:v>Yes</x:v>
      </x:c>
      <x:c r="U68" s="42" t="str"/>
      <x:c r="V68" s="42" t="str"/>
      <x:c r="W68" s="42" t="str">
        <x:v>Not Assessed</x:v>
      </x:c>
      <x:c r="X68" s="44" t="n">
        <x:v>0</x:v>
      </x:c>
      <x:c r="Y68" s="44" t="n">
        <x:v>4</x:v>
      </x:c>
      <x:c r="Z68" s="42" t="str">
        <x:v>Not Provided</x:v>
      </x:c>
      <x:c r="AA68" s="42" t="str"/>
      <x:c r="AB68" s="42" t="str">
        <x:v>Not Tested</x:v>
      </x:c>
      <x:c r="AC68" s="46" t="str"/>
      <x:c r="AD68" s="42" t="str"/>
      <x:c r="AE68" s="42" t="str">
        <x:v>Not Assessed</x:v>
      </x:c>
      <x:c r="AF68" s="42" t="n">
        <x:f>IF($T68="No","",MAX(0,$Y68-$X68))</x:f>
        <x:v>4</x:v>
      </x:c>
      <x:c r="AG68" s="42" t="str">
        <x:f>IF($T68="No","Not Applicable",IF($X68&gt;=$C68,"Meets CSA Level","Gap to CSA Level"))</x:f>
        <x:v>Gap to CSA Level</x:v>
      </x:c>
      <x:c r="AH68" s="42" t="str">
        <x:f>IF($T68="No","Not Applicable",IF($J68="","Not Mapped",IF(AND(OR($W68="Implemented",$W68="Optimized"),$Z68="Validated",$AB68="Pass"),"Compliant",IF(AND(OR($W68="Partially Implemented",$W68="Implemented",$W68="Optimized"),OR($Z68="Reviewed",$Z68="Validated"),OR($AB68="Pass with Exceptions",$AB68="Pass")),"Partially Compliant","Not Compliant"))))</x:f>
        <x:v>Not Compliant</x:v>
      </x:c>
      <x:c r="AI68" s="42" t="str">
        <x:f>IF($T68="No","Not Applicable",IF($M68="","Not Mapped",IF(AND(OR($W68="Implemented",$W68="Optimized"),$Z68="Validated",$AB68="Pass"),"Compliant",IF(AND(OR($W68="Partially Implemented",$W68="Implemented",$W68="Optimized"),OR($Z68="Reviewed",$Z68="Validated"),OR($AB68="Pass with Exceptions",$AB68="Pass")),"Partially Compliant","Not Compliant"))))</x:f>
        <x:v>Not Compliant</x:v>
      </x:c>
      <x:c r="AJ68" s="42" t="str">
        <x:f>IF($T68="No","Not Applicable",IF(AND($AG68="Meets CSA Level",$AH68="Compliant",$AI68="Compliant"),"CSA AISMM; NIST AI RMF; ISO/IEC 42001",IF(AND($AG68="Meets CSA Level",$AH68="Compliant"),"CSA AISMM; NIST AI RMF",IF(AND($AG68="Meets CSA Level",$AI68="Compliant"),"CSA AISMM; ISO/IEC 42001",IF(AND($AH68="Compliant",$AI68="Compliant"),"NIST AI RMF; ISO/IEC 42001",IF($AG68="Meets CSA Level","CSA AISMM",IF($AH68="Compliant","NIST AI RMF",IF($AI68="Compliant","ISO/IEC 42001","No mapped framework fully compliant"))))))))</x:f>
        <x:v>No mapped framework fully compliant</x:v>
      </x:c>
      <x:c r="AK68" s="42" t="str"/>
      <x:c r="AL68" s="46" t="str"/>
      <x:c r="AM68" s="42" t="str"/>
      <x:c r="AN68" s="42" t="str">
        <x:v>CSA AISMM uploaded workbook; NIST AI RMF Playbook uploaded workbook; ISO/IEC 42001 checklist uploaded PDF; official CSA/NIST/ISO web sources listed on Sources sheet</x:v>
      </x:c>
    </x:row>
    <x:row r="69" ht="90" customHeight="1">
      <x:c r="A69" s="42" t="str">
        <x:v>App Security</x:v>
      </x:c>
      <x:c r="B69" s="42" t="str">
        <x:v>APP-04.2</x:v>
      </x:c>
      <x:c r="C69" s="42" t="n">
        <x:v>4</x:v>
      </x:c>
      <x:c r="D69" s="42" t="str">
        <x:v>APP</x:v>
      </x:c>
      <x:c r="E69" s="42" t="str">
        <x:v>Deterministic boundaries on agent execution</x:v>
      </x:c>
      <x:c r="F69" s="42" t="str">
        <x:v>Agent execution operates under deterministic boundaries the agent's reasoning cannot override: sandboxed runtimes (containers, VMs, or OS-level sandboxes for desktop agents), bounded loop iterations, deny-by-default tool allowlists enforced by a centralized policy engine (such as OPA or Cedar), human-in-the-loop interrupts for high-risk actions, and limits on multi-agent interactions.</x:v>
      </x:c>
      <x:c r="G69" s="42" t="str">
        <x:v>Automated</x:v>
      </x:c>
      <x:c r="H69" s="42" t="str">
        <x:v>All</x:v>
      </x:c>
      <x:c r="I69" s="42" t="str">
        <x:v>AIS-11 (agent security boundaries), AIS-13 (AI sandboxing)</x:v>
      </x:c>
      <x:c r="J69" s="42" t="str">
        <x:v>MAP 1.1; MEASURE 2.6; MANAGE 2.3; MANAGE 4.1</x:v>
      </x:c>
      <x:c r="K69" s="42" t="str">
        <x:v>MAP 1.1: - Maintain awareness of industry, technical, and applicable legal standards. - Examine trustworthiness of AI system design and consider, non-AI solutions - Consider intended AI system design tasks along with unanticipated purposes in collaboration with human factors and socio-technical domain experts. - Define and document the task, purpose, minimum functionality, and benefits of the AI system to inform considerations about whether the utility of the project or its lack of. - Identify whether there are non-AI or non-technology alternatives that will lead to more trustworthy outcomes. - Examine how changes in system performance affect downstream events such as decision-making (e.g: changes in an AI model objective function create what types of impacts in how many candidates do/do not get a job interview).… MEASURE 2.6: - Thoroughly measure system performance in development and deployment contexts, and under stress conditions. - Employ test data assessments and simulations before proceeding to production testing. Track multiple performance quality and error metrics. - Stress-test system performance under likely scenarios (e.g., concept drift, high load) and beyond known limitations, in consultation with domain experts. - Test the system under conditions similar to those related to past known incidents or near-misses and measure system performance and safety characteristics - Apply chaos engineering approaches to test systems in extreme conditions and gauge unexpected responses. - Document the range of conditions under which the system has been tested and demonstrated to fail safely. - Measure and monitor system performance in real-time to enable rapid response when AI system incidents are detected.… MANAGE 2.3: - Protocols, resources, and metrics are in place for continual monitoring of AI systems’ performance, trustworthiness, and alignment with contextual norms and values - Establish and regularly review treatment and response plans for incidents, negative impacts, or outcomes. - Establish and maintain procedures to regularly monitor system components for drift, decontextualization, or other AI system behavior factors, - Establish and maintain procedures for capturing feedback about negative impacts. - Verify contingency processes to handle any negative impacts associated with mission-critical AI systems, and to deactivate systems. - Enable preventive and post-hoc exploration of AI system limitations by relevant AI actor groups. - Decommission systems that exceed risk tolerances. MANAGE 4.1: - Establish and maintain procedures to monitor AI system performance for risks and negative and positive impacts associated with trustworthiness characteristics. - Perform post-deployment TEVV tasks to evaluate AI system validity and reliability, bias and fairness, privacy, and security and resilience. - Evaluate AI system trustworthiness in conditions similar to deployment context of use, and prior to deployment.…</x:v>
      </x:c>
      <x:c r="L69" s="42" t="str">
        <x:v>Derived by CSA domain/theme</x:v>
      </x:c>
      <x:c r="M69" s="42" t="str">
        <x:v>Annex A.2; Annex A.6; Annex A.9</x:v>
      </x:c>
      <x:c r="N69" s="42" t="str">
        <x:v>Annex A.2 – Policies related to AI: Document and approve AI policy, include responsible AI principles and continual improvement, review policy regularly, and align it to other relevant organizational policies. Annex A.6 – AI system life cycle: Define responsible development objectives, specify verification and validation, maintain technical documentation, and record/maintain event logs during system use. Annex A.9 – Use of AI systems: Define responsible AI use processes, ethical/appropriate-use objectives, intended-purpose usage boundaries, and monitoring/remediation for misuse or unintended consequences.</x:v>
      </x:c>
      <x:c r="O69" s="42" t="str">
        <x:v>Derived by control theme/domain</x:v>
      </x:c>
      <x:c r="P69" s="42" t="str">
        <x:v>Use this row as a control objective to assess current state, define target maturity, collect evidence, and remediate gaps.</x:v>
      </x:c>
      <x:c r="Q69" s="42" t="str">
        <x:v>OWASP LLM06:2025 Excessive Agency, OWASP ASI01 (Agent Goal Hijack), ASI02 (Tool Misuse), ASI09 (Human-Agent Trust Exploitation)</x:v>
      </x:c>
      <x:c r="R69" s="42" t="str">
        <x:v>Application architecture diagrams; prompt/control design; input/output filtering rules; access control configurations; API security tests; misuse/abuse case testing; production deployment approvals.</x:v>
      </x:c>
      <x:c r="S69" s="42" t="str">
        <x:v>Test a sample AI application path; verify controls are implemented for access, prompt injection, data leakage, output handling, logging, and production release approval.</x:v>
      </x:c>
      <x:c r="T69" s="42" t="str">
        <x:v>Yes</x:v>
      </x:c>
      <x:c r="U69" s="42" t="str"/>
      <x:c r="V69" s="42" t="str"/>
      <x:c r="W69" s="42" t="str">
        <x:v>Not Assessed</x:v>
      </x:c>
      <x:c r="X69" s="44" t="n">
        <x:v>0</x:v>
      </x:c>
      <x:c r="Y69" s="44" t="n">
        <x:v>4</x:v>
      </x:c>
      <x:c r="Z69" s="42" t="str">
        <x:v>Not Provided</x:v>
      </x:c>
      <x:c r="AA69" s="42" t="str"/>
      <x:c r="AB69" s="42" t="str">
        <x:v>Not Tested</x:v>
      </x:c>
      <x:c r="AC69" s="46" t="str"/>
      <x:c r="AD69" s="42" t="str"/>
      <x:c r="AE69" s="42" t="str">
        <x:v>Not Assessed</x:v>
      </x:c>
      <x:c r="AF69" s="42" t="n">
        <x:f>IF($T69="No","",MAX(0,$Y69-$X69))</x:f>
        <x:v>4</x:v>
      </x:c>
      <x:c r="AG69" s="42" t="str">
        <x:f>IF($T69="No","Not Applicable",IF($X69&gt;=$C69,"Meets CSA Level","Gap to CSA Level"))</x:f>
        <x:v>Gap to CSA Level</x:v>
      </x:c>
      <x:c r="AH69" s="42" t="str">
        <x:f>IF($T69="No","Not Applicable",IF($J69="","Not Mapped",IF(AND(OR($W69="Implemented",$W69="Optimized"),$Z69="Validated",$AB69="Pass"),"Compliant",IF(AND(OR($W69="Partially Implemented",$W69="Implemented",$W69="Optimized"),OR($Z69="Reviewed",$Z69="Validated"),OR($AB69="Pass with Exceptions",$AB69="Pass")),"Partially Compliant","Not Compliant"))))</x:f>
        <x:v>Not Compliant</x:v>
      </x:c>
      <x:c r="AI69" s="42" t="str">
        <x:f>IF($T69="No","Not Applicable",IF($M69="","Not Mapped",IF(AND(OR($W69="Implemented",$W69="Optimized"),$Z69="Validated",$AB69="Pass"),"Compliant",IF(AND(OR($W69="Partially Implemented",$W69="Implemented",$W69="Optimized"),OR($Z69="Reviewed",$Z69="Validated"),OR($AB69="Pass with Exceptions",$AB69="Pass")),"Partially Compliant","Not Compliant"))))</x:f>
        <x:v>Not Compliant</x:v>
      </x:c>
      <x:c r="AJ69" s="42" t="str">
        <x:f>IF($T69="No","Not Applicable",IF(AND($AG69="Meets CSA Level",$AH69="Compliant",$AI69="Compliant"),"CSA AISMM; NIST AI RMF; ISO/IEC 42001",IF(AND($AG69="Meets CSA Level",$AH69="Compliant"),"CSA AISMM; NIST AI RMF",IF(AND($AG69="Meets CSA Level",$AI69="Compliant"),"CSA AISMM; ISO/IEC 42001",IF(AND($AH69="Compliant",$AI69="Compliant"),"NIST AI RMF; ISO/IEC 42001",IF($AG69="Meets CSA Level","CSA AISMM",IF($AH69="Compliant","NIST AI RMF",IF($AI69="Compliant","ISO/IEC 42001","No mapped framework fully compliant"))))))))</x:f>
        <x:v>No mapped framework fully compliant</x:v>
      </x:c>
      <x:c r="AK69" s="42" t="str"/>
      <x:c r="AL69" s="46" t="str"/>
      <x:c r="AM69" s="42" t="str"/>
      <x:c r="AN69" s="42" t="str">
        <x:v>CSA AISMM uploaded workbook; NIST AI RMF Playbook uploaded workbook; ISO/IEC 42001 checklist uploaded PDF; official CSA/NIST/ISO web sources listed on Sources sheet</x:v>
      </x:c>
    </x:row>
    <x:row r="70" ht="90" customHeight="1">
      <x:c r="A70" s="42" t="str">
        <x:v>App Security</x:v>
      </x:c>
      <x:c r="B70" s="42" t="str">
        <x:v>APP-04.3</x:v>
      </x:c>
      <x:c r="C70" s="42" t="n">
        <x:v>4</x:v>
      </x:c>
      <x:c r="D70" s="42" t="str">
        <x:v>APP</x:v>
      </x:c>
      <x:c r="E70" s="42" t="str">
        <x:v>App-stack adversarial testing with layer attribution</x:v>
      </x:c>
      <x:c r="F70" s="42" t="str">
        <x:v>Critical AI applications (customer-facing or processing untrusted content) run app-stack adversarial tests against the deployed system prompt, guardrails, and tool restrictions on a defined cadence. Findings are labelled app-stack-layer or model-layer so remediation routes to the right owner.</x:v>
      </x:c>
      <x:c r="G70" s="42" t="str">
        <x:v>Automated</x:v>
      </x:c>
      <x:c r="H70" s="42" t="str">
        <x:v>All</x:v>
      </x:c>
      <x:c r="I70" s="42" t="str">
        <x:v>AIS-05 (application security testing), AIS-07 (application vulnerability remediation)</x:v>
      </x:c>
      <x:c r="J70" s="42" t="str">
        <x:v>MEASURE 2.7; MEASURE 2</x:v>
      </x:c>
      <x:c r="K70" s="42" t="str">
        <x:v>MEASURE 2.7: - Establish and track AI system security tests and metrics (e.g., red-teaming activities, frequency and rate of anomalous events, system down-time, incident response times, time-to-bypass, etc.). - Use red-team exercises to actively test the system under adversarial or stress conditions, measure system response, assess failure modes or determine if system can return to normal function after an unexpected adverse event. - Document red-team exercise results as part of continuous improvement efforts, including the range of security test conditions and results. - Use red-teaming exercises to evaluate potential mismatches between claimed and actual system performance. - Use countermeasures (e.g, authentication, throttling, differential privacy, robust ML approaches) to increase the range of security conditions under which the system is able to return to normal function.…</x:v>
      </x:c>
      <x:c r="L70" s="42" t="str">
        <x:v>Direct from AISMM external reference</x:v>
      </x:c>
      <x:c r="M70" s="42" t="str">
        <x:v>Annex A.6; Annex A.8; Annex A.9; Annex A.10</x:v>
      </x:c>
      <x:c r="N70" s="42" t="str">
        <x:v>Annex A.6 – AI system life cycle: Define responsible development objectives, specify verification and validation, maintain technical documentation, and record/maintain event logs during system use. Annex A.8 – Information for interested parties: Provide necessary documentation to users and interested parties; define incident reporting/escalation, incident communication, and stakeholder information requirements. Annex A.9 – Use of AI systems: Define responsible AI use processes, ethical/appropriate-use objectives, intended-purpose usage boundaries, and monitoring/remediation for misuse or unintended consequences. Annex A.10 – Third-party and customer relationships: Define lifecycle responsibilities with third parties, manage AI suppliers, capture customer expectations, and review third-party roles through ongoing governance.</x:v>
      </x:c>
      <x:c r="O70" s="42" t="str">
        <x:v>Derived by control theme/domain</x:v>
      </x:c>
      <x:c r="P70" s="42" t="str">
        <x:v>Use this row as a control objective to assess current state, define target maturity, collect evidence, and remediate gaps.</x:v>
      </x:c>
      <x:c r="Q70" s="42" t="str">
        <x:v>OWASP LLM01:2025 Prompt Injection, OWASP ASI01 (Agent Goal Hijack), ASI02 (Tool Misuse), NIST AI RMF MEASURE-2.7</x:v>
      </x:c>
      <x:c r="R70" s="42" t="str">
        <x:v>Application architecture diagrams; prompt/control design; input/output filtering rules; access control configurations; API security tests; misuse/abuse case testing; production deployment approvals.</x:v>
      </x:c>
      <x:c r="S70" s="42" t="str">
        <x:v>Test a sample AI application path; verify controls are implemented for access, prompt injection, data leakage, output handling, logging, and production release approval.</x:v>
      </x:c>
      <x:c r="T70" s="42" t="str">
        <x:v>Yes</x:v>
      </x:c>
      <x:c r="U70" s="42" t="str"/>
      <x:c r="V70" s="42" t="str"/>
      <x:c r="W70" s="42" t="str">
        <x:v>Not Assessed</x:v>
      </x:c>
      <x:c r="X70" s="44" t="n">
        <x:v>0</x:v>
      </x:c>
      <x:c r="Y70" s="44" t="n">
        <x:v>4</x:v>
      </x:c>
      <x:c r="Z70" s="42" t="str">
        <x:v>Not Provided</x:v>
      </x:c>
      <x:c r="AA70" s="42" t="str"/>
      <x:c r="AB70" s="42" t="str">
        <x:v>Not Tested</x:v>
      </x:c>
      <x:c r="AC70" s="46" t="str"/>
      <x:c r="AD70" s="42" t="str"/>
      <x:c r="AE70" s="42" t="str">
        <x:v>Not Assessed</x:v>
      </x:c>
      <x:c r="AF70" s="42" t="n">
        <x:f>IF($T70="No","",MAX(0,$Y70-$X70))</x:f>
        <x:v>4</x:v>
      </x:c>
      <x:c r="AG70" s="42" t="str">
        <x:f>IF($T70="No","Not Applicable",IF($X70&gt;=$C70,"Meets CSA Level","Gap to CSA Level"))</x:f>
        <x:v>Gap to CSA Level</x:v>
      </x:c>
      <x:c r="AH70" s="42" t="str">
        <x:f>IF($T70="No","Not Applicable",IF($J70="","Not Mapped",IF(AND(OR($W70="Implemented",$W70="Optimized"),$Z70="Validated",$AB70="Pass"),"Compliant",IF(AND(OR($W70="Partially Implemented",$W70="Implemented",$W70="Optimized"),OR($Z70="Reviewed",$Z70="Validated"),OR($AB70="Pass with Exceptions",$AB70="Pass")),"Partially Compliant","Not Compliant"))))</x:f>
        <x:v>Not Compliant</x:v>
      </x:c>
      <x:c r="AI70" s="42" t="str">
        <x:f>IF($T70="No","Not Applicable",IF($M70="","Not Mapped",IF(AND(OR($W70="Implemented",$W70="Optimized"),$Z70="Validated",$AB70="Pass"),"Compliant",IF(AND(OR($W70="Partially Implemented",$W70="Implemented",$W70="Optimized"),OR($Z70="Reviewed",$Z70="Validated"),OR($AB70="Pass with Exceptions",$AB70="Pass")),"Partially Compliant","Not Compliant"))))</x:f>
        <x:v>Not Compliant</x:v>
      </x:c>
      <x:c r="AJ70" s="42" t="str">
        <x:f>IF($T70="No","Not Applicable",IF(AND($AG70="Meets CSA Level",$AH70="Compliant",$AI70="Compliant"),"CSA AISMM; NIST AI RMF; ISO/IEC 42001",IF(AND($AG70="Meets CSA Level",$AH70="Compliant"),"CSA AISMM; NIST AI RMF",IF(AND($AG70="Meets CSA Level",$AI70="Compliant"),"CSA AISMM; ISO/IEC 42001",IF(AND($AH70="Compliant",$AI70="Compliant"),"NIST AI RMF; ISO/IEC 42001",IF($AG70="Meets CSA Level","CSA AISMM",IF($AH70="Compliant","NIST AI RMF",IF($AI70="Compliant","ISO/IEC 42001","No mapped framework fully compliant"))))))))</x:f>
        <x:v>No mapped framework fully compliant</x:v>
      </x:c>
      <x:c r="AK70" s="42" t="str"/>
      <x:c r="AL70" s="46" t="str"/>
      <x:c r="AM70" s="42" t="str"/>
      <x:c r="AN70" s="42" t="str">
        <x:v>CSA AISMM uploaded workbook; NIST AI RMF Playbook uploaded workbook; ISO/IEC 42001 checklist uploaded PDF; official CSA/NIST/ISO web sources listed on Sources sheet</x:v>
      </x:c>
    </x:row>
    <x:row r="71" ht="90" customHeight="1">
      <x:c r="A71" s="42" t="str">
        <x:v>App Security</x:v>
      </x:c>
      <x:c r="B71" s="42" t="str">
        <x:v>APP-05.1</x:v>
      </x:c>
      <x:c r="C71" s="42" t="n">
        <x:v>5</x:v>
      </x:c>
      <x:c r="D71" s="42" t="str">
        <x:v>APP</x:v>
      </x:c>
      <x:c r="E71" s="42" t="str">
        <x:v>Guardrail and test-suite tuning loop on a defined SLA</x:v>
      </x:c>
      <x:c r="F71" s="42" t="str">
        <x:v>New attack patterns from telemetry, red-team findings, and external threat intel translate into updated guardrail configurations and updated adversarial test suites on a defined SLA, with version-controlled artifacts and a named owner.</x:v>
      </x:c>
      <x:c r="G71" s="42" t="str">
        <x:v>Automated</x:v>
      </x:c>
      <x:c r="H71" s="42" t="str">
        <x:v>All</x:v>
      </x:c>
      <x:c r="I71" s="42" t="str">
        <x:v>AIS-03 (application security metrics), AIS-07 (application vulnerability remediation), AIS-08 (input validation), AIS-09 (output validation)</x:v>
      </x:c>
      <x:c r="J71" s="42" t="str">
        <x:v>MANAGE 4</x:v>
      </x:c>
      <x:c r="K71" s="42" t="str">
        <x:v>MANAGE 4: Parent AI RMF category/function referenced; use associated subcategory rows for testable control language.</x:v>
      </x:c>
      <x:c r="L71" s="42" t="str">
        <x:v>Direct from AISMM external reference</x:v>
      </x:c>
      <x:c r="M71" s="42" t="str">
        <x:v>Annex A.6; Annex A.9</x:v>
      </x:c>
      <x:c r="N71" s="42" t="str">
        <x:v>Annex A.6 – AI system life cycle: Define responsible development objectives, specify verification and validation, maintain technical documentation, and record/maintain event logs during system use. Annex A.9 – Use of AI systems: Define responsible AI use processes, ethical/appropriate-use objectives, intended-purpose usage boundaries, and monitoring/remediation for misuse or unintended consequences.</x:v>
      </x:c>
      <x:c r="O71" s="42" t="str">
        <x:v>Derived by control theme/domain</x:v>
      </x:c>
      <x:c r="P71" s="42" t="str">
        <x:v>Use this row as a control objective to assess current state, define target maturity, collect evidence, and remediate gaps.</x:v>
      </x:c>
      <x:c r="Q71" s="42" t="str">
        <x:v>OWASP LLM01:2025 Prompt Injection, OWASP ASI01 (Agent Goal Hijack), NIST AI RMF MANAGE-4, MITRE ATLAS</x:v>
      </x:c>
      <x:c r="R71" s="42" t="str">
        <x:v>Application architecture diagrams; prompt/control design; input/output filtering rules; access control configurations; API security tests; misuse/abuse case testing; production deployment approvals.</x:v>
      </x:c>
      <x:c r="S71" s="42" t="str">
        <x:v>Test a sample AI application path; verify controls are implemented for access, prompt injection, data leakage, output handling, logging, and production release approval.</x:v>
      </x:c>
      <x:c r="T71" s="42" t="str">
        <x:v>Yes</x:v>
      </x:c>
      <x:c r="U71" s="42" t="str"/>
      <x:c r="V71" s="42" t="str"/>
      <x:c r="W71" s="42" t="str">
        <x:v>Not Assessed</x:v>
      </x:c>
      <x:c r="X71" s="44" t="n">
        <x:v>0</x:v>
      </x:c>
      <x:c r="Y71" s="44" t="n">
        <x:v>5</x:v>
      </x:c>
      <x:c r="Z71" s="42" t="str">
        <x:v>Not Provided</x:v>
      </x:c>
      <x:c r="AA71" s="42" t="str"/>
      <x:c r="AB71" s="42" t="str">
        <x:v>Not Tested</x:v>
      </x:c>
      <x:c r="AC71" s="46" t="str"/>
      <x:c r="AD71" s="42" t="str"/>
      <x:c r="AE71" s="42" t="str">
        <x:v>Not Assessed</x:v>
      </x:c>
      <x:c r="AF71" s="42" t="n">
        <x:f>IF($T71="No","",MAX(0,$Y71-$X71))</x:f>
        <x:v>5</x:v>
      </x:c>
      <x:c r="AG71" s="42" t="str">
        <x:f>IF($T71="No","Not Applicable",IF($X71&gt;=$C71,"Meets CSA Level","Gap to CSA Level"))</x:f>
        <x:v>Gap to CSA Level</x:v>
      </x:c>
      <x:c r="AH71" s="42" t="str">
        <x:f>IF($T71="No","Not Applicable",IF($J71="","Not Mapped",IF(AND(OR($W71="Implemented",$W71="Optimized"),$Z71="Validated",$AB71="Pass"),"Compliant",IF(AND(OR($W71="Partially Implemented",$W71="Implemented",$W71="Optimized"),OR($Z71="Reviewed",$Z71="Validated"),OR($AB71="Pass with Exceptions",$AB71="Pass")),"Partially Compliant","Not Compliant"))))</x:f>
        <x:v>Not Compliant</x:v>
      </x:c>
      <x:c r="AI71" s="42" t="str">
        <x:f>IF($T71="No","Not Applicable",IF($M71="","Not Mapped",IF(AND(OR($W71="Implemented",$W71="Optimized"),$Z71="Validated",$AB71="Pass"),"Compliant",IF(AND(OR($W71="Partially Implemented",$W71="Implemented",$W71="Optimized"),OR($Z71="Reviewed",$Z71="Validated"),OR($AB71="Pass with Exceptions",$AB71="Pass")),"Partially Compliant","Not Compliant"))))</x:f>
        <x:v>Not Compliant</x:v>
      </x:c>
      <x:c r="AJ71" s="42" t="str">
        <x:f>IF($T71="No","Not Applicable",IF(AND($AG71="Meets CSA Level",$AH71="Compliant",$AI71="Compliant"),"CSA AISMM; NIST AI RMF; ISO/IEC 42001",IF(AND($AG71="Meets CSA Level",$AH71="Compliant"),"CSA AISMM; NIST AI RMF",IF(AND($AG71="Meets CSA Level",$AI71="Compliant"),"CSA AISMM; ISO/IEC 42001",IF(AND($AH71="Compliant",$AI71="Compliant"),"NIST AI RMF; ISO/IEC 42001",IF($AG71="Meets CSA Level","CSA AISMM",IF($AH71="Compliant","NIST AI RMF",IF($AI71="Compliant","ISO/IEC 42001","No mapped framework fully compliant"))))))))</x:f>
        <x:v>No mapped framework fully compliant</x:v>
      </x:c>
      <x:c r="AK71" s="42" t="str"/>
      <x:c r="AL71" s="46" t="str"/>
      <x:c r="AM71" s="42" t="str"/>
      <x:c r="AN71" s="42" t="str">
        <x:v>CSA AISMM uploaded workbook; NIST AI RMF Playbook uploaded workbook; ISO/IEC 42001 checklist uploaded PDF; official CSA/NIST/ISO web sources listed on Sources sheet</x:v>
      </x:c>
    </x:row>
    <x:row r="72" ht="90" customHeight="1">
      <x:c r="A72" s="42" t="str">
        <x:v>App Security</x:v>
      </x:c>
      <x:c r="B72" s="42" t="str">
        <x:v>APP-05.2</x:v>
      </x:c>
      <x:c r="C72" s="42" t="n">
        <x:v>5</x:v>
      </x:c>
      <x:c r="D72" s="42" t="str">
        <x:v>APP</x:v>
      </x:c>
      <x:c r="E72" s="42" t="str">
        <x:v>Shared agent policy baseline and qualified red-team exercises</x:v>
      </x:c>
      <x:c r="F72" s="42" t="str">
        <x:v>Agent operations share common deny-lists and high-risk action categories at the APP-04.2 enforcement layer while permitting per-application customization above that baseline. A qualified independent red team exercises the AI application portfolio on a defined cadence, with findings feeding the APP-05.1 tuning loop.</x:v>
      </x:c>
      <x:c r="G72" s="42" t="str">
        <x:v>Either</x:v>
      </x:c>
      <x:c r="H72" s="42" t="str">
        <x:v>All</x:v>
      </x:c>
      <x:c r="I72" s="42" t="str">
        <x:v>AIS-05 (application security testing), AIS-11 (agent security boundaries)</x:v>
      </x:c>
      <x:c r="J72" s="42" t="str">
        <x:v>MEASURE 2.7; MEASURE 2</x:v>
      </x:c>
      <x:c r="K72" s="42" t="str">
        <x:v>MEASURE 2.7: - Establish and track AI system security tests and metrics (e.g., red-teaming activities, frequency and rate of anomalous events, system down-time, incident response times, time-to-bypass, etc.). - Use red-team exercises to actively test the system under adversarial or stress conditions, measure system response, assess failure modes or determine if system can return to normal function after an unexpected adverse event. - Document red-team exercise results as part of continuous improvement efforts, including the range of security test conditions and results. - Use red-teaming exercises to evaluate potential mismatches between claimed and actual system performance. - Use countermeasures (e.g, authentication, throttling, differential privacy, robust ML approaches) to increase the range of security conditions under which the system is able to return to normal function.…</x:v>
      </x:c>
      <x:c r="L72" s="42" t="str">
        <x:v>Direct from AISMM external reference</x:v>
      </x:c>
      <x:c r="M72" s="42" t="str">
        <x:v>Annex A.2; Annex A.6; Annex A.9</x:v>
      </x:c>
      <x:c r="N72" s="42" t="str">
        <x:v>Annex A.2 – Policies related to AI: Document and approve AI policy, include responsible AI principles and continual improvement, review policy regularly, and align it to other relevant organizational policies. Annex A.6 – AI system life cycle: Define responsible development objectives, specify verification and validation, maintain technical documentation, and record/maintain event logs during system use. Annex A.9 – Use of AI systems: Define responsible AI use processes, ethical/appropriate-use objectives, intended-purpose usage boundaries, and monitoring/remediation for misuse or unintended consequences.</x:v>
      </x:c>
      <x:c r="O72" s="42" t="str">
        <x:v>Derived by control theme/domain</x:v>
      </x:c>
      <x:c r="P72" s="42" t="str">
        <x:v>Publish approved AI policy/standard; maintain attestation and exception workflow.</x:v>
      </x:c>
      <x:c r="Q72" s="42" t="str">
        <x:v>OWASP LLM06:2025 Excessive Agency, OWASP ASI02 (Tool Misuse), ASI08 (Cascading Failures), NIST AI RMF MEASURE-2.7</x:v>
      </x:c>
      <x:c r="R72" s="42" t="str">
        <x:v>Application architecture diagrams; prompt/control design; input/output filtering rules; access control configurations; API security tests; misuse/abuse case testing; production deployment approvals.</x:v>
      </x:c>
      <x:c r="S72" s="42" t="str">
        <x:v>Test a sample AI application path; verify controls are implemented for access, prompt injection, data leakage, output handling, logging, and production release approval.</x:v>
      </x:c>
      <x:c r="T72" s="42" t="str">
        <x:v>Yes</x:v>
      </x:c>
      <x:c r="U72" s="42" t="str"/>
      <x:c r="V72" s="42" t="str"/>
      <x:c r="W72" s="42" t="str">
        <x:v>Not Assessed</x:v>
      </x:c>
      <x:c r="X72" s="44" t="n">
        <x:v>0</x:v>
      </x:c>
      <x:c r="Y72" s="44" t="n">
        <x:v>5</x:v>
      </x:c>
      <x:c r="Z72" s="42" t="str">
        <x:v>Not Provided</x:v>
      </x:c>
      <x:c r="AA72" s="42" t="str"/>
      <x:c r="AB72" s="42" t="str">
        <x:v>Not Tested</x:v>
      </x:c>
      <x:c r="AC72" s="46" t="str"/>
      <x:c r="AD72" s="42" t="str"/>
      <x:c r="AE72" s="42" t="str">
        <x:v>Not Assessed</x:v>
      </x:c>
      <x:c r="AF72" s="42" t="n">
        <x:f>IF($T72="No","",MAX(0,$Y72-$X72))</x:f>
        <x:v>5</x:v>
      </x:c>
      <x:c r="AG72" s="42" t="str">
        <x:f>IF($T72="No","Not Applicable",IF($X72&gt;=$C72,"Meets CSA Level","Gap to CSA Level"))</x:f>
        <x:v>Gap to CSA Level</x:v>
      </x:c>
      <x:c r="AH72" s="42" t="str">
        <x:f>IF($T72="No","Not Applicable",IF($J72="","Not Mapped",IF(AND(OR($W72="Implemented",$W72="Optimized"),$Z72="Validated",$AB72="Pass"),"Compliant",IF(AND(OR($W72="Partially Implemented",$W72="Implemented",$W72="Optimized"),OR($Z72="Reviewed",$Z72="Validated"),OR($AB72="Pass with Exceptions",$AB72="Pass")),"Partially Compliant","Not Compliant"))))</x:f>
        <x:v>Not Compliant</x:v>
      </x:c>
      <x:c r="AI72" s="42" t="str">
        <x:f>IF($T72="No","Not Applicable",IF($M72="","Not Mapped",IF(AND(OR($W72="Implemented",$W72="Optimized"),$Z72="Validated",$AB72="Pass"),"Compliant",IF(AND(OR($W72="Partially Implemented",$W72="Implemented",$W72="Optimized"),OR($Z72="Reviewed",$Z72="Validated"),OR($AB72="Pass with Exceptions",$AB72="Pass")),"Partially Compliant","Not Compliant"))))</x:f>
        <x:v>Not Compliant</x:v>
      </x:c>
      <x:c r="AJ72" s="42" t="str">
        <x:f>IF($T72="No","Not Applicable",IF(AND($AG72="Meets CSA Level",$AH72="Compliant",$AI72="Compliant"),"CSA AISMM; NIST AI RMF; ISO/IEC 42001",IF(AND($AG72="Meets CSA Level",$AH72="Compliant"),"CSA AISMM; NIST AI RMF",IF(AND($AG72="Meets CSA Level",$AI72="Compliant"),"CSA AISMM; ISO/IEC 42001",IF(AND($AH72="Compliant",$AI72="Compliant"),"NIST AI RMF; ISO/IEC 42001",IF($AG72="Meets CSA Level","CSA AISMM",IF($AH72="Compliant","NIST AI RMF",IF($AI72="Compliant","ISO/IEC 42001","No mapped framework fully compliant"))))))))</x:f>
        <x:v>No mapped framework fully compliant</x:v>
      </x:c>
      <x:c r="AK72" s="42" t="str"/>
      <x:c r="AL72" s="46" t="str"/>
      <x:c r="AM72" s="42" t="str"/>
      <x:c r="AN72" s="42" t="str">
        <x:v>CSA AISMM uploaded workbook; NIST AI RMF Playbook uploaded workbook; ISO/IEC 42001 checklist uploaded PDF; official CSA/NIST/ISO web sources listed on Sources sheet</x:v>
      </x:c>
    </x:row>
    <x:row r="73" ht="90" customHeight="1">
      <x:c r="A73" s="42" t="str">
        <x:v>Data Security</x:v>
      </x:c>
      <x:c r="B73" s="42" t="str">
        <x:v>DAT-02.1</x:v>
      </x:c>
      <x:c r="C73" s="42" t="n">
        <x:v>2</x:v>
      </x:c>
      <x:c r="D73" s="42" t="str">
        <x:v>DAT</x:v>
      </x:c>
      <x:c r="E73" s="42" t="str">
        <x:v>RAG source inventory with approval record</x:v>
      </x:c>
      <x:c r="F73" s="42" t="str">
        <x:v>An inventory of production AI data sources (RAG feeds, knowledge bases, grounding connectors) is maintained, with each entry carrying a dated pre-connection approval. The inventory is refreshed on a defined cadence and reconciled against ingestion telemetry (e.g. CSPM/AI-SPM) discovery where deployed).</x:v>
      </x:c>
      <x:c r="G73" s="42" t="str">
        <x:v>Manual</x:v>
      </x:c>
      <x:c r="H73" s="42" t="str">
        <x:v>All</x:v>
      </x:c>
      <x:c r="I73" s="42" t="str">
        <x:v>DSP-03 (data inventory), DSP-20 (data provenance and transparency), DSP-04 (data classification)</x:v>
      </x:c>
      <x:c r="J73" s="42" t="str">
        <x:v>MAP 4</x:v>
      </x:c>
      <x:c r="K73" s="42" t="str">
        <x:v>MAP 4: Parent AI RMF category/function referenced; use associated subcategory rows for testable control language.</x:v>
      </x:c>
      <x:c r="L73" s="42" t="str">
        <x:v>Direct from AISMM external reference</x:v>
      </x:c>
      <x:c r="M73" s="42" t="str">
        <x:v>Annex A.4; Annex A.6; Annex A.7</x:v>
      </x:c>
      <x:c r="N73" s="42" t="str">
        <x:v>Annex A.4 – Resources for AI systems: Maintain a register of AI resources including data, tools, systems, people, tooling, compute resources, and relevant operational/environmental impacts. Annex A.6 – AI system life cycle: Define responsible development objectives, specify verification and validation, maintain technical documentation, and record/maintain event logs during system use. Annex A.7 – Data for AI systems: Maintain documented AI data management, identify sources and provenance, record intended use, define data quality requirements, and document/justify preparation methods.</x:v>
      </x:c>
      <x:c r="O73" s="42" t="str">
        <x:v>Derived by control theme/domain</x:v>
      </x:c>
      <x:c r="P73" s="42" t="str">
        <x:v>Maintain authoritative AI inventory; link assets to owners, use cases, providers, data classes, and risk tiers.</x:v>
      </x:c>
      <x:c r="Q73" s="42" t="str">
        <x:v>OWASP LLM04:2025 Data and Model Poisoning, OWASP LLM08:2025 Vector and Embedding Weaknesses, NIST AI RMF MAP-4</x:v>
      </x:c>
      <x:c r="R73" s="42" t="str">
        <x:v>Data governance policy; data classification and handling records; data provenance documentation; dataset datasheets; data quality checks; privacy impact assessments; retention and deletion evidence.</x:v>
      </x:c>
      <x:c r="S73" s="42" t="str">
        <x:v>Sample datasets used by AI systems; verify source, provenance, consent/legal basis where applicable, quality criteria, preparation steps, access restrictions, and retention controls.</x:v>
      </x:c>
      <x:c r="T73" s="42" t="str">
        <x:v>Yes</x:v>
      </x:c>
      <x:c r="U73" s="42" t="str"/>
      <x:c r="V73" s="42" t="str"/>
      <x:c r="W73" s="42" t="str">
        <x:v>Not Assessed</x:v>
      </x:c>
      <x:c r="X73" s="44" t="n">
        <x:v>0</x:v>
      </x:c>
      <x:c r="Y73" s="44" t="n">
        <x:v>2</x:v>
      </x:c>
      <x:c r="Z73" s="42" t="str">
        <x:v>Not Provided</x:v>
      </x:c>
      <x:c r="AA73" s="42" t="str"/>
      <x:c r="AB73" s="42" t="str">
        <x:v>Not Tested</x:v>
      </x:c>
      <x:c r="AC73" s="46" t="str"/>
      <x:c r="AD73" s="42" t="str"/>
      <x:c r="AE73" s="42" t="str">
        <x:v>Not Assessed</x:v>
      </x:c>
      <x:c r="AF73" s="42" t="n">
        <x:f>IF($T73="No","",MAX(0,$Y73-$X73))</x:f>
        <x:v>2</x:v>
      </x:c>
      <x:c r="AG73" s="42" t="str">
        <x:f>IF($T73="No","Not Applicable",IF($X73&gt;=$C73,"Meets CSA Level","Gap to CSA Level"))</x:f>
        <x:v>Gap to CSA Level</x:v>
      </x:c>
      <x:c r="AH73" s="42" t="str">
        <x:f>IF($T73="No","Not Applicable",IF($J73="","Not Mapped",IF(AND(OR($W73="Implemented",$W73="Optimized"),$Z73="Validated",$AB73="Pass"),"Compliant",IF(AND(OR($W73="Partially Implemented",$W73="Implemented",$W73="Optimized"),OR($Z73="Reviewed",$Z73="Validated"),OR($AB73="Pass with Exceptions",$AB73="Pass")),"Partially Compliant","Not Compliant"))))</x:f>
        <x:v>Not Compliant</x:v>
      </x:c>
      <x:c r="AI73" s="42" t="str">
        <x:f>IF($T73="No","Not Applicable",IF($M73="","Not Mapped",IF(AND(OR($W73="Implemented",$W73="Optimized"),$Z73="Validated",$AB73="Pass"),"Compliant",IF(AND(OR($W73="Partially Implemented",$W73="Implemented",$W73="Optimized"),OR($Z73="Reviewed",$Z73="Validated"),OR($AB73="Pass with Exceptions",$AB73="Pass")),"Partially Compliant","Not Compliant"))))</x:f>
        <x:v>Not Compliant</x:v>
      </x:c>
      <x:c r="AJ73" s="42" t="str">
        <x:f>IF($T73="No","Not Applicable",IF(AND($AG73="Meets CSA Level",$AH73="Compliant",$AI73="Compliant"),"CSA AISMM; NIST AI RMF; ISO/IEC 42001",IF(AND($AG73="Meets CSA Level",$AH73="Compliant"),"CSA AISMM; NIST AI RMF",IF(AND($AG73="Meets CSA Level",$AI73="Compliant"),"CSA AISMM; ISO/IEC 42001",IF(AND($AH73="Compliant",$AI73="Compliant"),"NIST AI RMF; ISO/IEC 42001",IF($AG73="Meets CSA Level","CSA AISMM",IF($AH73="Compliant","NIST AI RMF",IF($AI73="Compliant","ISO/IEC 42001","No mapped framework fully compliant"))))))))</x:f>
        <x:v>No mapped framework fully compliant</x:v>
      </x:c>
      <x:c r="AK73" s="42" t="str"/>
      <x:c r="AL73" s="46" t="str"/>
      <x:c r="AM73" s="42" t="str"/>
      <x:c r="AN73" s="42" t="str">
        <x:v>CSA AISMM uploaded workbook; NIST AI RMF Playbook uploaded workbook; ISO/IEC 42001 checklist uploaded PDF; official CSA/NIST/ISO web sources listed on Sources sheet</x:v>
      </x:c>
    </x:row>
    <x:row r="74" ht="90" customHeight="1">
      <x:c r="A74" s="42" t="str">
        <x:v>Data Security</x:v>
      </x:c>
      <x:c r="B74" s="42" t="str">
        <x:v>DAT-02.2</x:v>
      </x:c>
      <x:c r="C74" s="42" t="n">
        <x:v>2</x:v>
      </x:c>
      <x:c r="D74" s="42" t="str">
        <x:v>DAT</x:v>
      </x:c>
      <x:c r="E74" s="42" t="str">
        <x:v>Vector store authentication and default-deny network posture</x:v>
      </x:c>
      <x:c r="F74" s="42" t="str">
        <x:v>Vector stores and knowledge-base indexes backing production AI applications require authentication, encrypt data in transit and at rest, and stay off the public internet. Anonymous access and default credentials are prohibited; any public endpoint carries a time-bounded exception with a named approver.</x:v>
      </x:c>
      <x:c r="G74" s="42" t="str">
        <x:v>Automated</x:v>
      </x:c>
      <x:c r="H74" s="42" t="str">
        <x:v>Self-hosted, PaaS (where the customer configures the vector store); API/SaaS vector behavior inherits from the provider and is covered by provider assessment in RSK</x:v>
      </x:c>
      <x:c r="I74" s="42" t="str">
        <x:v>DSP-17 (sensitive data protection), CEK-03 (data encryption in transit / at rest)</x:v>
      </x:c>
      <x:c r="J74" s="42" t="str">
        <x:v>MAP 2.2; MAP 3.4; MEASURE 2.7; MANAGE 2.3</x:v>
      </x:c>
      <x:c r="K74" s="42" t="str">
        <x:v>MAP 2.2: - Document settings, environments and conditions that are outside the AI system’s intended use. - Design for end user workflows and toolsets, concept of operations, and explainability and interpretability criteria in conjunction with end user(s) and associated qualitative feedback. - Plan and test human-AI configurations under close to real-world conditions and document results. - Follow stakeholder feedback processes to determine whether a system achieved its documented purpose within a given use context, and whether end users can correctly comprehend system outputs or results. - Document dependencies on upstream data and other AI systems, including if the specified system is an upstream dependency for another AI system or other data.… MAP 3.4: - Identify and declare AI system features and capabilities that may affect downstream AI actors’ decision-making in deployment and operational settings for example how system features and capabilities may activate known risks in various human-AI configurations, such as selective adherence. - Identify skills and proficiency requirements for operators, practitioners and other domain experts that interact with AI systems,Develop AI system operational documentation for AI actors in deployed and operational environments, including information about known risks, mitigation criteria, and trustworthy characteristics enumerated in Map-1. - Define and develop training materials for proposed end users, practitioners and operators about AI system use and known limitations.… MEASURE 2.7: - Establish and track AI system security tests and metrics (e.g., red-teaming activities, frequency and rate of anomalous events, system down-time, incident response times, time-to-bypass, etc.). - Use red-team exercises to actively test the system under adversarial or stress conditions, measure system response, assess failure modes or determine if system can return to normal function after an unexpected adverse event. - Document red-team exercise results as part of continuous improvement efforts, including the range of security test conditions and results. - Use red-teaming exercises to evaluate potential mismatches between claimed and actual system performance. - Use countermeasures (e.g, authentication, throttling, differential privacy, robust ML approaches) to increase the range of security conditions under which the system is able to return to normal function.… MANAGE 2.3: - Protocols, resources, and metrics are in place for continual monitoring of AI systems’ performance, trustworthiness, and alignment with contextual norms and values - Establish and regularly review treatment and response plans for incidents, negative impacts, or outcomes. - Establish and maintain procedures to regularly monitor system components for drift, decontextualization, or other AI system behavior factors, - Establish and maintain procedures for capturing feedback about negative impacts.…</x:v>
      </x:c>
      <x:c r="L74" s="42" t="str">
        <x:v>Derived by CSA domain/theme</x:v>
      </x:c>
      <x:c r="M74" s="42" t="str">
        <x:v>Annex A.6; Annex A.7</x:v>
      </x:c>
      <x:c r="N74" s="42" t="str">
        <x:v>Annex A.6 – AI system life cycle: Define responsible development objectives, specify verification and validation, maintain technical documentation, and record/maintain event logs during system use. Annex A.7 – Data for AI systems: Maintain documented AI data management, identify sources and provenance, record intended use, define data quality requirements, and document/justify preparation methods.</x:v>
      </x:c>
      <x:c r="O74" s="42" t="str">
        <x:v>Derived by control theme/domain</x:v>
      </x:c>
      <x:c r="P74" s="42" t="str">
        <x:v>Use this row as a control objective to assess current state, define target maturity, collect evidence, and remediate gaps.</x:v>
      </x:c>
      <x:c r="Q74" s="42" t="str">
        <x:v>OWASP LLM08:2025 Vector and Embedding Weaknesses, CIS Benchmarks for the underlying data platform</x:v>
      </x:c>
      <x:c r="R74" s="42" t="str">
        <x:v>Data governance policy; data classification and handling records; data provenance documentation; dataset datasheets; data quality checks; privacy impact assessments; retention and deletion evidence.</x:v>
      </x:c>
      <x:c r="S74" s="42" t="str">
        <x:v>Sample datasets used by AI systems; verify source, provenance, consent/legal basis where applicable, quality criteria, preparation steps, access restrictions, and retention controls.</x:v>
      </x:c>
      <x:c r="T74" s="42" t="str">
        <x:v>Yes</x:v>
      </x:c>
      <x:c r="U74" s="42" t="str"/>
      <x:c r="V74" s="42" t="str"/>
      <x:c r="W74" s="42" t="str">
        <x:v>Not Assessed</x:v>
      </x:c>
      <x:c r="X74" s="44" t="n">
        <x:v>0</x:v>
      </x:c>
      <x:c r="Y74" s="44" t="n">
        <x:v>2</x:v>
      </x:c>
      <x:c r="Z74" s="42" t="str">
        <x:v>Not Provided</x:v>
      </x:c>
      <x:c r="AA74" s="42" t="str"/>
      <x:c r="AB74" s="42" t="str">
        <x:v>Not Tested</x:v>
      </x:c>
      <x:c r="AC74" s="46" t="str"/>
      <x:c r="AD74" s="42" t="str"/>
      <x:c r="AE74" s="42" t="str">
        <x:v>Not Assessed</x:v>
      </x:c>
      <x:c r="AF74" s="42" t="n">
        <x:f>IF($T74="No","",MAX(0,$Y74-$X74))</x:f>
        <x:v>2</x:v>
      </x:c>
      <x:c r="AG74" s="42" t="str">
        <x:f>IF($T74="No","Not Applicable",IF($X74&gt;=$C74,"Meets CSA Level","Gap to CSA Level"))</x:f>
        <x:v>Gap to CSA Level</x:v>
      </x:c>
      <x:c r="AH74" s="42" t="str">
        <x:f>IF($T74="No","Not Applicable",IF($J74="","Not Mapped",IF(AND(OR($W74="Implemented",$W74="Optimized"),$Z74="Validated",$AB74="Pass"),"Compliant",IF(AND(OR($W74="Partially Implemented",$W74="Implemented",$W74="Optimized"),OR($Z74="Reviewed",$Z74="Validated"),OR($AB74="Pass with Exceptions",$AB74="Pass")),"Partially Compliant","Not Compliant"))))</x:f>
        <x:v>Not Compliant</x:v>
      </x:c>
      <x:c r="AI74" s="42" t="str">
        <x:f>IF($T74="No","Not Applicable",IF($M74="","Not Mapped",IF(AND(OR($W74="Implemented",$W74="Optimized"),$Z74="Validated",$AB74="Pass"),"Compliant",IF(AND(OR($W74="Partially Implemented",$W74="Implemented",$W74="Optimized"),OR($Z74="Reviewed",$Z74="Validated"),OR($AB74="Pass with Exceptions",$AB74="Pass")),"Partially Compliant","Not Compliant"))))</x:f>
        <x:v>Not Compliant</x:v>
      </x:c>
      <x:c r="AJ74" s="42" t="str">
        <x:f>IF($T74="No","Not Applicable",IF(AND($AG74="Meets CSA Level",$AH74="Compliant",$AI74="Compliant"),"CSA AISMM; NIST AI RMF; ISO/IEC 42001",IF(AND($AG74="Meets CSA Level",$AH74="Compliant"),"CSA AISMM; NIST AI RMF",IF(AND($AG74="Meets CSA Level",$AI74="Compliant"),"CSA AISMM; ISO/IEC 42001",IF(AND($AH74="Compliant",$AI74="Compliant"),"NIST AI RMF; ISO/IEC 42001",IF($AG74="Meets CSA Level","CSA AISMM",IF($AH74="Compliant","NIST AI RMF",IF($AI74="Compliant","ISO/IEC 42001","No mapped framework fully compliant"))))))))</x:f>
        <x:v>No mapped framework fully compliant</x:v>
      </x:c>
      <x:c r="AK74" s="42" t="str"/>
      <x:c r="AL74" s="46" t="str"/>
      <x:c r="AM74" s="42" t="str"/>
      <x:c r="AN74" s="42" t="str">
        <x:v>CSA AISMM uploaded workbook; NIST AI RMF Playbook uploaded workbook; ISO/IEC 42001 checklist uploaded PDF; official CSA/NIST/ISO web sources listed on Sources sheet</x:v>
      </x:c>
    </x:row>
    <x:row r="75" ht="90" customHeight="1">
      <x:c r="A75" s="42" t="str">
        <x:v>Data Security</x:v>
      </x:c>
      <x:c r="B75" s="42" t="str">
        <x:v>DAT-03.1</x:v>
      </x:c>
      <x:c r="C75" s="42" t="n">
        <x:v>3</x:v>
      </x:c>
      <x:c r="D75" s="42" t="str">
        <x:v>DAT</x:v>
      </x:c>
      <x:c r="E75" s="42" t="str">
        <x:v>Approval gate on AI data sources with classification and sensitive-data scan</x:v>
      </x:c>
      <x:c r="F75" s="42" t="str">
        <x:v>New data sources connected to a production AI application (RAG feeds, knowledge bases, grounding sources, training sets, fine-tuning sets) pass through an approval workflow that attaches a sensitive-data scan result and a named second-function approver distinct from the data owner. Unapproved sources are not used with AI applications.</x:v>
      </x:c>
      <x:c r="G75" s="42" t="str">
        <x:v>Either</x:v>
      </x:c>
      <x:c r="H75" s="42" t="str">
        <x:v>All</x:v>
      </x:c>
      <x:c r="I75" s="42" t="str">
        <x:v>DSP-04 (data classification), DSP-17 (sensitive data protection), DSP-20 (data provenance and transparency), DSP-24 (training-data differentiation and relevance)</x:v>
      </x:c>
      <x:c r="J75" s="42" t="str">
        <x:v>MAP 4; GOVERN 5</x:v>
      </x:c>
      <x:c r="K75" s="42" t="str">
        <x:v>MAP 4: Parent AI RMF category/function referenced; use associated subcategory rows for testable control language.; GOVERN 5: Parent AI RMF category/function referenced; use associated subcategory rows for testable control language.</x:v>
      </x:c>
      <x:c r="L75" s="42" t="str">
        <x:v>Direct from AISMM external reference</x:v>
      </x:c>
      <x:c r="M75" s="42" t="str">
        <x:v>Annex A.3; Annex A.6; Annex A.7</x:v>
      </x:c>
      <x:c r="N75" s="42" t="str">
        <x:v>Annex A.3 – Internal organization: Define AI roles and responsibilities; provide reporting and confidential escalation paths; investigate and resolve AI-related concerns. Annex A.6 – AI system life cycle: Define responsible development objectives, specify verification and validation, maintain technical documentation, and record/maintain event logs during system use. Annex A.7 – Data for AI systems: Maintain documented AI data management, identify sources and provenance, record intended use, define data quality requirements, and document/justify preparation methods.</x:v>
      </x:c>
      <x:c r="O75" s="42" t="str">
        <x:v>Derived by control theme/domain</x:v>
      </x:c>
      <x:c r="P75" s="42" t="str">
        <x:v>Use this row as a control objective to assess current state, define target maturity, collect evidence, and remediate gaps.</x:v>
      </x:c>
      <x:c r="Q75" s="42" t="str">
        <x:v>OWASP LLM02:2025 Sensitive Information Disclosure, OWASP LLM04:2025 Data and Model Poisoning, NIST AI RMF MAP-4, GOVERN-5</x:v>
      </x:c>
      <x:c r="R75" s="42" t="str">
        <x:v>Data governance policy; data classification and handling records; data provenance documentation; dataset datasheets; data quality checks; privacy impact assessments; retention and deletion evidence.</x:v>
      </x:c>
      <x:c r="S75" s="42" t="str">
        <x:v>Sample datasets used by AI systems; verify source, provenance, consent/legal basis where applicable, quality criteria, preparation steps, access restrictions, and retention controls.</x:v>
      </x:c>
      <x:c r="T75" s="42" t="str">
        <x:v>Yes</x:v>
      </x:c>
      <x:c r="U75" s="42" t="str"/>
      <x:c r="V75" s="42" t="str"/>
      <x:c r="W75" s="42" t="str">
        <x:v>Not Assessed</x:v>
      </x:c>
      <x:c r="X75" s="44" t="n">
        <x:v>0</x:v>
      </x:c>
      <x:c r="Y75" s="44" t="n">
        <x:v>3</x:v>
      </x:c>
      <x:c r="Z75" s="42" t="str">
        <x:v>Not Provided</x:v>
      </x:c>
      <x:c r="AA75" s="42" t="str"/>
      <x:c r="AB75" s="42" t="str">
        <x:v>Not Tested</x:v>
      </x:c>
      <x:c r="AC75" s="46" t="str"/>
      <x:c r="AD75" s="42" t="str"/>
      <x:c r="AE75" s="42" t="str">
        <x:v>Not Assessed</x:v>
      </x:c>
      <x:c r="AF75" s="42" t="n">
        <x:f>IF($T75="No","",MAX(0,$Y75-$X75))</x:f>
        <x:v>3</x:v>
      </x:c>
      <x:c r="AG75" s="42" t="str">
        <x:f>IF($T75="No","Not Applicable",IF($X75&gt;=$C75,"Meets CSA Level","Gap to CSA Level"))</x:f>
        <x:v>Gap to CSA Level</x:v>
      </x:c>
      <x:c r="AH75" s="42" t="str">
        <x:f>IF($T75="No","Not Applicable",IF($J75="","Not Mapped",IF(AND(OR($W75="Implemented",$W75="Optimized"),$Z75="Validated",$AB75="Pass"),"Compliant",IF(AND(OR($W75="Partially Implemented",$W75="Implemented",$W75="Optimized"),OR($Z75="Reviewed",$Z75="Validated"),OR($AB75="Pass with Exceptions",$AB75="Pass")),"Partially Compliant","Not Compliant"))))</x:f>
        <x:v>Not Compliant</x:v>
      </x:c>
      <x:c r="AI75" s="42" t="str">
        <x:f>IF($T75="No","Not Applicable",IF($M75="","Not Mapped",IF(AND(OR($W75="Implemented",$W75="Optimized"),$Z75="Validated",$AB75="Pass"),"Compliant",IF(AND(OR($W75="Partially Implemented",$W75="Implemented",$W75="Optimized"),OR($Z75="Reviewed",$Z75="Validated"),OR($AB75="Pass with Exceptions",$AB75="Pass")),"Partially Compliant","Not Compliant"))))</x:f>
        <x:v>Not Compliant</x:v>
      </x:c>
      <x:c r="AJ75" s="42" t="str">
        <x:f>IF($T75="No","Not Applicable",IF(AND($AG75="Meets CSA Level",$AH75="Compliant",$AI75="Compliant"),"CSA AISMM; NIST AI RMF; ISO/IEC 42001",IF(AND($AG75="Meets CSA Level",$AH75="Compliant"),"CSA AISMM; NIST AI RMF",IF(AND($AG75="Meets CSA Level",$AI75="Compliant"),"CSA AISMM; ISO/IEC 42001",IF(AND($AH75="Compliant",$AI75="Compliant"),"NIST AI RMF; ISO/IEC 42001",IF($AG75="Meets CSA Level","CSA AISMM",IF($AH75="Compliant","NIST AI RMF",IF($AI75="Compliant","ISO/IEC 42001","No mapped framework fully compliant"))))))))</x:f>
        <x:v>No mapped framework fully compliant</x:v>
      </x:c>
      <x:c r="AK75" s="42" t="str"/>
      <x:c r="AL75" s="46" t="str"/>
      <x:c r="AM75" s="42" t="str"/>
      <x:c r="AN75" s="42" t="str">
        <x:v>CSA AISMM uploaded workbook; NIST AI RMF Playbook uploaded workbook; ISO/IEC 42001 checklist uploaded PDF; official CSA/NIST/ISO web sources listed on Sources sheet</x:v>
      </x:c>
    </x:row>
    <x:row r="76" ht="90" customHeight="1">
      <x:c r="A76" s="42" t="str">
        <x:v>Data Security</x:v>
      </x:c>
      <x:c r="B76" s="42" t="str">
        <x:v>DAT-03.2</x:v>
      </x:c>
      <x:c r="C76" s="42" t="n">
        <x:v>3</x:v>
      </x:c>
      <x:c r="D76" s="42" t="str">
        <x:v>DAT</x:v>
      </x:c>
      <x:c r="E76" s="42" t="str">
        <x:v>Vector-Store tenant isolation with cross-context denial test</x:v>
      </x:c>
      <x:c r="F76" s="42" t="str">
        <x:v>Production vector stores document how they isolate tenants or applications, and the boundary is exercised with a cross-context denial test on a defined cadence. A test identity scoped to one context returns nothing from another; failures are remediated and retested.</x:v>
      </x:c>
      <x:c r="G76" s="42" t="str">
        <x:v>Either</x:v>
      </x:c>
      <x:c r="H76" s="42" t="str">
        <x:v>Self-hosted, PaaS (customer-configured knowledge bases); API/SaaS inherits from provider</x:v>
      </x:c>
      <x:c r="I76" s="42" t="str">
        <x:v>DSP-17 (sensitive data protection), DSP-07 (data protection by design)</x:v>
      </x:c>
      <x:c r="J76" s="42" t="str">
        <x:v>MAP 2.2; MAP 3.4; MEASURE 2.7; MANAGE 2.3</x:v>
      </x:c>
      <x:c r="K76" s="42" t="str">
        <x:v>MAP 2.2: - Document settings, environments and conditions that are outside the AI system’s intended use. - Design for end user workflows and toolsets, concept of operations, and explainability and interpretability criteria in conjunction with end user(s) and associated qualitative feedback. - Plan and test human-AI configurations under close to real-world conditions and document results. - Follow stakeholder feedback processes to determine whether a system achieved its documented purpose within a given use context, and whether end users can correctly comprehend system outputs or results. - Document dependencies on upstream data and other AI systems, including if the specified system is an upstream dependency for another AI system or other data.… MAP 3.4: - Identify and declare AI system features and capabilities that may affect downstream AI actors’ decision-making in deployment and operational settings for example how system features and capabilities may activate known risks in various human-AI configurations, such as selective adherence. - Identify skills and proficiency requirements for operators, practitioners and other domain experts that interact with AI systems,Develop AI system operational documentation for AI actors in deployed and operational environments, including information about known risks, mitigation criteria, and trustworthy characteristics enumerated in Map-1. - Define and develop training materials for proposed end users, practitioners and operators about AI system use and known limitations.… MEASURE 2.7: - Establish and track AI system security tests and metrics (e.g., red-teaming activities, frequency and rate of anomalous events, system down-time, incident response times, time-to-bypass, etc.). - Use red-team exercises to actively test the system under adversarial or stress conditions, measure system response, assess failure modes or determine if system can return to normal function after an unexpected adverse event. - Document red-team exercise results as part of continuous improvement efforts, including the range of security test conditions and results. - Use red-teaming exercises to evaluate potential mismatches between claimed and actual system performance. - Use countermeasures (e.g, authentication, throttling, differential privacy, robust ML approaches) to increase the range of security conditions under which the system is able to return to normal function.… MANAGE 2.3: - Protocols, resources, and metrics are in place for continual monitoring of AI systems’ performance, trustworthiness, and alignment with contextual norms and values - Establish and regularly review treatment and response plans for incidents, negative impacts, or outcomes. - Establish and maintain procedures to regularly monitor system components for drift, decontextualization, or other AI system behavior factors, - Establish and maintain procedures for capturing feedback about negative impacts.…</x:v>
      </x:c>
      <x:c r="L76" s="42" t="str">
        <x:v>Derived by CSA domain/theme</x:v>
      </x:c>
      <x:c r="M76" s="42" t="str">
        <x:v>Annex A.6</x:v>
      </x:c>
      <x:c r="N76" s="42" t="str">
        <x:v>Annex A.6 – AI system life cycle: Define responsible development objectives, specify verification and validation, maintain technical documentation, and record/maintain event logs during system use.</x:v>
      </x:c>
      <x:c r="O76" s="42" t="str">
        <x:v>Derived by control theme/domain</x:v>
      </x:c>
      <x:c r="P76" s="42" t="str">
        <x:v>Use this row as a control objective to assess current state, define target maturity, collect evidence, and remediate gaps.</x:v>
      </x:c>
      <x:c r="Q76" s="42" t="str">
        <x:v>OWASP LLM08:2025 Vector and Embedding Weaknesses, OWASP LLM02:2025 Sensitive Information Disclosure</x:v>
      </x:c>
      <x:c r="R76" s="42" t="str">
        <x:v>Data governance policy; data classification and handling records; data provenance documentation; dataset datasheets; data quality checks; privacy impact assessments; retention and deletion evidence.</x:v>
      </x:c>
      <x:c r="S76" s="42" t="str">
        <x:v>Sample datasets used by AI systems; verify source, provenance, consent/legal basis where applicable, quality criteria, preparation steps, access restrictions, and retention controls.</x:v>
      </x:c>
      <x:c r="T76" s="42" t="str">
        <x:v>Yes</x:v>
      </x:c>
      <x:c r="U76" s="42" t="str"/>
      <x:c r="V76" s="42" t="str"/>
      <x:c r="W76" s="42" t="str">
        <x:v>Not Assessed</x:v>
      </x:c>
      <x:c r="X76" s="44" t="n">
        <x:v>0</x:v>
      </x:c>
      <x:c r="Y76" s="44" t="n">
        <x:v>3</x:v>
      </x:c>
      <x:c r="Z76" s="42" t="str">
        <x:v>Not Provided</x:v>
      </x:c>
      <x:c r="AA76" s="42" t="str"/>
      <x:c r="AB76" s="42" t="str">
        <x:v>Not Tested</x:v>
      </x:c>
      <x:c r="AC76" s="46" t="str"/>
      <x:c r="AD76" s="42" t="str"/>
      <x:c r="AE76" s="42" t="str">
        <x:v>Not Assessed</x:v>
      </x:c>
      <x:c r="AF76" s="42" t="n">
        <x:f>IF($T76="No","",MAX(0,$Y76-$X76))</x:f>
        <x:v>3</x:v>
      </x:c>
      <x:c r="AG76" s="42" t="str">
        <x:f>IF($T76="No","Not Applicable",IF($X76&gt;=$C76,"Meets CSA Level","Gap to CSA Level"))</x:f>
        <x:v>Gap to CSA Level</x:v>
      </x:c>
      <x:c r="AH76" s="42" t="str">
        <x:f>IF($T76="No","Not Applicable",IF($J76="","Not Mapped",IF(AND(OR($W76="Implemented",$W76="Optimized"),$Z76="Validated",$AB76="Pass"),"Compliant",IF(AND(OR($W76="Partially Implemented",$W76="Implemented",$W76="Optimized"),OR($Z76="Reviewed",$Z76="Validated"),OR($AB76="Pass with Exceptions",$AB76="Pass")),"Partially Compliant","Not Compliant"))))</x:f>
        <x:v>Not Compliant</x:v>
      </x:c>
      <x:c r="AI76" s="42" t="str">
        <x:f>IF($T76="No","Not Applicable",IF($M76="","Not Mapped",IF(AND(OR($W76="Implemented",$W76="Optimized"),$Z76="Validated",$AB76="Pass"),"Compliant",IF(AND(OR($W76="Partially Implemented",$W76="Implemented",$W76="Optimized"),OR($Z76="Reviewed",$Z76="Validated"),OR($AB76="Pass with Exceptions",$AB76="Pass")),"Partially Compliant","Not Compliant"))))</x:f>
        <x:v>Not Compliant</x:v>
      </x:c>
      <x:c r="AJ76" s="42" t="str">
        <x:f>IF($T76="No","Not Applicable",IF(AND($AG76="Meets CSA Level",$AH76="Compliant",$AI76="Compliant"),"CSA AISMM; NIST AI RMF; ISO/IEC 42001",IF(AND($AG76="Meets CSA Level",$AH76="Compliant"),"CSA AISMM; NIST AI RMF",IF(AND($AG76="Meets CSA Level",$AI76="Compliant"),"CSA AISMM; ISO/IEC 42001",IF(AND($AH76="Compliant",$AI76="Compliant"),"NIST AI RMF; ISO/IEC 42001",IF($AG76="Meets CSA Level","CSA AISMM",IF($AH76="Compliant","NIST AI RMF",IF($AI76="Compliant","ISO/IEC 42001","No mapped framework fully compliant"))))))))</x:f>
        <x:v>No mapped framework fully compliant</x:v>
      </x:c>
      <x:c r="AK76" s="42" t="str"/>
      <x:c r="AL76" s="46" t="str"/>
      <x:c r="AM76" s="42" t="str"/>
      <x:c r="AN76" s="42" t="str">
        <x:v>CSA AISMM uploaded workbook; NIST AI RMF Playbook uploaded workbook; ISO/IEC 42001 checklist uploaded PDF; official CSA/NIST/ISO web sources listed on Sources sheet</x:v>
      </x:c>
    </x:row>
    <x:row r="77" ht="90" customHeight="1">
      <x:c r="A77" s="42" t="str">
        <x:v>Data Security</x:v>
      </x:c>
      <x:c r="B77" s="42" t="str">
        <x:v>DAT-03.3</x:v>
      </x:c>
      <x:c r="C77" s="42" t="n">
        <x:v>3</x:v>
      </x:c>
      <x:c r="D77" s="42" t="str">
        <x:v>DAT</x:v>
      </x:c>
      <x:c r="E77" s="42" t="str">
        <x:v>Input and output sensitive-data filtering on production AI applications</x:v>
      </x:c>
      <x:c r="F77" s="42" t="str">
        <x:v>Production AI applications scan inputs and outputs for sensitive data, covering the regulated PII entities for the organization's jurisdictions and industries. Each entity has a defined action (block, mask, or redact), and filter events flow to telemetry.</x:v>
      </x:c>
      <x:c r="G77" s="42" t="str">
        <x:v>Automated</x:v>
      </x:c>
      <x:c r="H77" s="42" t="str">
        <x:v>All</x:v>
      </x:c>
      <x:c r="I77" s="42" t="str">
        <x:v>DSP-17 (sensitive data protection), DSP-10 (sensitive data transfer), DSP-11 (personal data access)</x:v>
      </x:c>
      <x:c r="J77" s="42" t="str">
        <x:v>MEASURE 2</x:v>
      </x:c>
      <x:c r="K77" s="42" t="str">
        <x:v>MEASURE 2: Parent AI RMF category/function referenced; use associated subcategory rows for testable control language.</x:v>
      </x:c>
      <x:c r="L77" s="42" t="str">
        <x:v>Direct from AISMM external reference</x:v>
      </x:c>
      <x:c r="M77" s="42" t="str">
        <x:v>Annex A.6; Annex A.7</x:v>
      </x:c>
      <x:c r="N77" s="42" t="str">
        <x:v>Annex A.6 – AI system life cycle: Define responsible development objectives, specify verification and validation, maintain technical documentation, and record/maintain event logs during system use. Annex A.7 – Data for AI systems: Maintain documented AI data management, identify sources and provenance, record intended use, define data quality requirements, and document/justify preparation methods.</x:v>
      </x:c>
      <x:c r="O77" s="42" t="str">
        <x:v>Derived by control theme/domain</x:v>
      </x:c>
      <x:c r="P77" s="42" t="str">
        <x:v>Use this row as a control objective to assess current state, define target maturity, collect evidence, and remediate gaps.</x:v>
      </x:c>
      <x:c r="Q77" s="42" t="str">
        <x:v>OWASP LLM02:2025 Sensitive Information Disclosure, NIST AI RMF MEASURE-2.10, regulatory basis (GLBA, CCPA, GDPR, PCI-DSS) as applicable</x:v>
      </x:c>
      <x:c r="R77" s="42" t="str">
        <x:v>Data governance policy; data classification and handling records; data provenance documentation; dataset datasheets; data quality checks; privacy impact assessments; retention and deletion evidence.</x:v>
      </x:c>
      <x:c r="S77" s="42" t="str">
        <x:v>Sample datasets used by AI systems; verify source, provenance, consent/legal basis where applicable, quality criteria, preparation steps, access restrictions, and retention controls.</x:v>
      </x:c>
      <x:c r="T77" s="42" t="str">
        <x:v>Yes</x:v>
      </x:c>
      <x:c r="U77" s="42" t="str"/>
      <x:c r="V77" s="42" t="str"/>
      <x:c r="W77" s="42" t="str">
        <x:v>Not Assessed</x:v>
      </x:c>
      <x:c r="X77" s="44" t="n">
        <x:v>0</x:v>
      </x:c>
      <x:c r="Y77" s="44" t="n">
        <x:v>3</x:v>
      </x:c>
      <x:c r="Z77" s="42" t="str">
        <x:v>Not Provided</x:v>
      </x:c>
      <x:c r="AA77" s="42" t="str"/>
      <x:c r="AB77" s="42" t="str">
        <x:v>Not Tested</x:v>
      </x:c>
      <x:c r="AC77" s="46" t="str"/>
      <x:c r="AD77" s="42" t="str"/>
      <x:c r="AE77" s="42" t="str">
        <x:v>Not Assessed</x:v>
      </x:c>
      <x:c r="AF77" s="42" t="n">
        <x:f>IF($T77="No","",MAX(0,$Y77-$X77))</x:f>
        <x:v>3</x:v>
      </x:c>
      <x:c r="AG77" s="42" t="str">
        <x:f>IF($T77="No","Not Applicable",IF($X77&gt;=$C77,"Meets CSA Level","Gap to CSA Level"))</x:f>
        <x:v>Gap to CSA Level</x:v>
      </x:c>
      <x:c r="AH77" s="42" t="str">
        <x:f>IF($T77="No","Not Applicable",IF($J77="","Not Mapped",IF(AND(OR($W77="Implemented",$W77="Optimized"),$Z77="Validated",$AB77="Pass"),"Compliant",IF(AND(OR($W77="Partially Implemented",$W77="Implemented",$W77="Optimized"),OR($Z77="Reviewed",$Z77="Validated"),OR($AB77="Pass with Exceptions",$AB77="Pass")),"Partially Compliant","Not Compliant"))))</x:f>
        <x:v>Not Compliant</x:v>
      </x:c>
      <x:c r="AI77" s="42" t="str">
        <x:f>IF($T77="No","Not Applicable",IF($M77="","Not Mapped",IF(AND(OR($W77="Implemented",$W77="Optimized"),$Z77="Validated",$AB77="Pass"),"Compliant",IF(AND(OR($W77="Partially Implemented",$W77="Implemented",$W77="Optimized"),OR($Z77="Reviewed",$Z77="Validated"),OR($AB77="Pass with Exceptions",$AB77="Pass")),"Partially Compliant","Not Compliant"))))</x:f>
        <x:v>Not Compliant</x:v>
      </x:c>
      <x:c r="AJ77" s="42" t="str">
        <x:f>IF($T77="No","Not Applicable",IF(AND($AG77="Meets CSA Level",$AH77="Compliant",$AI77="Compliant"),"CSA AISMM; NIST AI RMF; ISO/IEC 42001",IF(AND($AG77="Meets CSA Level",$AH77="Compliant"),"CSA AISMM; NIST AI RMF",IF(AND($AG77="Meets CSA Level",$AI77="Compliant"),"CSA AISMM; ISO/IEC 42001",IF(AND($AH77="Compliant",$AI77="Compliant"),"NIST AI RMF; ISO/IEC 42001",IF($AG77="Meets CSA Level","CSA AISMM",IF($AH77="Compliant","NIST AI RMF",IF($AI77="Compliant","ISO/IEC 42001","No mapped framework fully compliant"))))))))</x:f>
        <x:v>No mapped framework fully compliant</x:v>
      </x:c>
      <x:c r="AK77" s="42" t="str"/>
      <x:c r="AL77" s="46" t="str"/>
      <x:c r="AM77" s="42" t="str"/>
      <x:c r="AN77" s="42" t="str">
        <x:v>CSA AISMM uploaded workbook; NIST AI RMF Playbook uploaded workbook; ISO/IEC 42001 checklist uploaded PDF; official CSA/NIST/ISO web sources listed on Sources sheet</x:v>
      </x:c>
    </x:row>
    <x:row r="78" ht="90" customHeight="1">
      <x:c r="A78" s="42" t="str">
        <x:v>Data Security</x:v>
      </x:c>
      <x:c r="B78" s="42" t="str">
        <x:v>DAT-04.1</x:v>
      </x:c>
      <x:c r="C78" s="42" t="n">
        <x:v>4</x:v>
      </x:c>
      <x:c r="D78" s="42" t="str">
        <x:v>DAT</x:v>
      </x:c>
      <x:c r="E78" s="42" t="str">
        <x:v>Permission-Aware retrieval for RAG over access-controlled sources</x:v>
      </x:c>
      <x:c r="F78" s="42" t="str">
        <x:v>RAG applications retrieving from access-controlled sources filter results against the requesting user's entitlements before content reaches the model. Filtering happens at the vector layer using ACLs captured at ingestion, the retrieval layer fails closed when permission sync breaks.</x:v>
      </x:c>
      <x:c r="G78" s="42" t="str">
        <x:v>Automated</x:v>
      </x:c>
      <x:c r="H78" s="42" t="str">
        <x:v>All (pattern differs by deployment type; see Description)</x:v>
      </x:c>
      <x:c r="I78" s="42" t="str">
        <x:v>DSP-17 (sensitive data protection), DSP-10 (sensitive data transfer), DSP-11 (personal data access)</x:v>
      </x:c>
      <x:c r="J78" s="42" t="str">
        <x:v>MEASURE 2</x:v>
      </x:c>
      <x:c r="K78" s="42" t="str">
        <x:v>MEASURE 2: Parent AI RMF category/function referenced; use associated subcategory rows for testable control language.</x:v>
      </x:c>
      <x:c r="L78" s="42" t="str">
        <x:v>Direct from AISMM external reference</x:v>
      </x:c>
      <x:c r="M78" s="42" t="str">
        <x:v>Annex A.6</x:v>
      </x:c>
      <x:c r="N78" s="42" t="str">
        <x:v>Annex A.6 – AI system life cycle: Define responsible development objectives, specify verification and validation, maintain technical documentation, and record/maintain event logs during system use.</x:v>
      </x:c>
      <x:c r="O78" s="42" t="str">
        <x:v>Derived by control theme/domain</x:v>
      </x:c>
      <x:c r="P78" s="42" t="str">
        <x:v>Use this row as a control objective to assess current state, define target maturity, collect evidence, and remediate gaps.</x:v>
      </x:c>
      <x:c r="Q78" s="42" t="str">
        <x:v>OWASP LLM02:2025 Sensitive Information Disclosure, OWASP LLM08:2025 Vector and Embedding Weaknesses, NIST AI RMF MEASURE-2.10</x:v>
      </x:c>
      <x:c r="R78" s="42" t="str">
        <x:v>Data governance policy; data classification and handling records; data provenance documentation; dataset datasheets; data quality checks; privacy impact assessments; retention and deletion evidence.</x:v>
      </x:c>
      <x:c r="S78" s="42" t="str">
        <x:v>Sample datasets used by AI systems; verify source, provenance, consent/legal basis where applicable, quality criteria, preparation steps, access restrictions, and retention controls.</x:v>
      </x:c>
      <x:c r="T78" s="42" t="str">
        <x:v>Yes</x:v>
      </x:c>
      <x:c r="U78" s="42" t="str"/>
      <x:c r="V78" s="42" t="str"/>
      <x:c r="W78" s="42" t="str">
        <x:v>Not Assessed</x:v>
      </x:c>
      <x:c r="X78" s="44" t="n">
        <x:v>0</x:v>
      </x:c>
      <x:c r="Y78" s="44" t="n">
        <x:v>4</x:v>
      </x:c>
      <x:c r="Z78" s="42" t="str">
        <x:v>Not Provided</x:v>
      </x:c>
      <x:c r="AA78" s="42" t="str"/>
      <x:c r="AB78" s="42" t="str">
        <x:v>Not Tested</x:v>
      </x:c>
      <x:c r="AC78" s="46" t="str"/>
      <x:c r="AD78" s="42" t="str"/>
      <x:c r="AE78" s="42" t="str">
        <x:v>Not Assessed</x:v>
      </x:c>
      <x:c r="AF78" s="42" t="n">
        <x:f>IF($T78="No","",MAX(0,$Y78-$X78))</x:f>
        <x:v>4</x:v>
      </x:c>
      <x:c r="AG78" s="42" t="str">
        <x:f>IF($T78="No","Not Applicable",IF($X78&gt;=$C78,"Meets CSA Level","Gap to CSA Level"))</x:f>
        <x:v>Gap to CSA Level</x:v>
      </x:c>
      <x:c r="AH78" s="42" t="str">
        <x:f>IF($T78="No","Not Applicable",IF($J78="","Not Mapped",IF(AND(OR($W78="Implemented",$W78="Optimized"),$Z78="Validated",$AB78="Pass"),"Compliant",IF(AND(OR($W78="Partially Implemented",$W78="Implemented",$W78="Optimized"),OR($Z78="Reviewed",$Z78="Validated"),OR($AB78="Pass with Exceptions",$AB78="Pass")),"Partially Compliant","Not Compliant"))))</x:f>
        <x:v>Not Compliant</x:v>
      </x:c>
      <x:c r="AI78" s="42" t="str">
        <x:f>IF($T78="No","Not Applicable",IF($M78="","Not Mapped",IF(AND(OR($W78="Implemented",$W78="Optimized"),$Z78="Validated",$AB78="Pass"),"Compliant",IF(AND(OR($W78="Partially Implemented",$W78="Implemented",$W78="Optimized"),OR($Z78="Reviewed",$Z78="Validated"),OR($AB78="Pass with Exceptions",$AB78="Pass")),"Partially Compliant","Not Compliant"))))</x:f>
        <x:v>Not Compliant</x:v>
      </x:c>
      <x:c r="AJ78" s="42" t="str">
        <x:f>IF($T78="No","Not Applicable",IF(AND($AG78="Meets CSA Level",$AH78="Compliant",$AI78="Compliant"),"CSA AISMM; NIST AI RMF; ISO/IEC 42001",IF(AND($AG78="Meets CSA Level",$AH78="Compliant"),"CSA AISMM; NIST AI RMF",IF(AND($AG78="Meets CSA Level",$AI78="Compliant"),"CSA AISMM; ISO/IEC 42001",IF(AND($AH78="Compliant",$AI78="Compliant"),"NIST AI RMF; ISO/IEC 42001",IF($AG78="Meets CSA Level","CSA AISMM",IF($AH78="Compliant","NIST AI RMF",IF($AI78="Compliant","ISO/IEC 42001","No mapped framework fully compliant"))))))))</x:f>
        <x:v>No mapped framework fully compliant</x:v>
      </x:c>
      <x:c r="AK78" s="42" t="str"/>
      <x:c r="AL78" s="46" t="str"/>
      <x:c r="AM78" s="42" t="str"/>
      <x:c r="AN78" s="42" t="str">
        <x:v>CSA AISMM uploaded workbook; NIST AI RMF Playbook uploaded workbook; ISO/IEC 42001 checklist uploaded PDF; official CSA/NIST/ISO web sources listed on Sources sheet</x:v>
      </x:c>
    </x:row>
    <x:row r="79" ht="90" customHeight="1">
      <x:c r="A79" s="42" t="str">
        <x:v>Data Security</x:v>
      </x:c>
      <x:c r="B79" s="42" t="str">
        <x:v>DAT-04.2</x:v>
      </x:c>
      <x:c r="C79" s="42" t="n">
        <x:v>4</x:v>
      </x:c>
      <x:c r="D79" s="42" t="str">
        <x:v>DAT</x:v>
      </x:c>
      <x:c r="E79" s="42" t="str">
        <x:v>Approved-source allowlist enforced for all production AI</x:v>
      </x:c>
      <x:c r="F79" s="42" t="str">
        <x:v>Production RAG indexes and training datasets feed only from approved sources, with each indexed document or training record carrying provenance metadata (source identifier, ingest time). Source additions, removals, and revocations are logged with a named approver, and revocation propagates to production indexes within a defined SLA.</x:v>
      </x:c>
      <x:c r="G79" s="42" t="str">
        <x:v>Automated</x:v>
      </x:c>
      <x:c r="H79" s="42" t="str">
        <x:v>All</x:v>
      </x:c>
      <x:c r="I79" s="42" t="str">
        <x:v>DSP-23 (data integrity check / dataset versioning), DSP-20 (data provenance and transparency), DSP-05 (data flow documentation), DSP-21 (data poisoning prevention — version as preventive baseline)</x:v>
      </x:c>
      <x:c r="J79" s="42" t="str">
        <x:v>MAP 4; MEASURE 2</x:v>
      </x:c>
      <x:c r="K79" s="42" t="str">
        <x:v>MAP 4: Parent AI RMF category/function referenced; use associated subcategory rows for testable control language.; MEASURE 2: Parent AI RMF category/function referenced; use associated subcategory rows for testable control language.</x:v>
      </x:c>
      <x:c r="L79" s="42" t="str">
        <x:v>Direct from AISMM external reference</x:v>
      </x:c>
      <x:c r="M79" s="42" t="str">
        <x:v>Annex A.3; Annex A.6; Annex A.7</x:v>
      </x:c>
      <x:c r="N79" s="42" t="str">
        <x:v>Annex A.3 – Internal organization: Define AI roles and responsibilities; provide reporting and confidential escalation paths; investigate and resolve AI-related concerns. Annex A.6 – AI system life cycle: Define responsible development objectives, specify verification and validation, maintain technical documentation, and record/maintain event logs during system use. Annex A.7 – Data for AI systems: Maintain documented AI data management, identify sources and provenance, record intended use, define data quality requirements, and document/justify preparation methods.</x:v>
      </x:c>
      <x:c r="O79" s="42" t="str">
        <x:v>Derived by control theme/domain</x:v>
      </x:c>
      <x:c r="P79" s="42" t="str">
        <x:v>Use this row as a control objective to assess current state, define target maturity, collect evidence, and remediate gaps.</x:v>
      </x:c>
      <x:c r="Q79" s="42" t="str">
        <x:v>OWASP LLM04:2025 Data and Model Poisoning, NIST AI RMF MAP-4, MEASURE-2.10</x:v>
      </x:c>
      <x:c r="R79" s="42" t="str">
        <x:v>Data governance policy; data classification and handling records; data provenance documentation; dataset datasheets; data quality checks; privacy impact assessments; retention and deletion evidence.</x:v>
      </x:c>
      <x:c r="S79" s="42" t="str">
        <x:v>Sample datasets used by AI systems; verify source, provenance, consent/legal basis where applicable, quality criteria, preparation steps, access restrictions, and retention controls.</x:v>
      </x:c>
      <x:c r="T79" s="42" t="str">
        <x:v>Yes</x:v>
      </x:c>
      <x:c r="U79" s="42" t="str"/>
      <x:c r="V79" s="42" t="str"/>
      <x:c r="W79" s="42" t="str">
        <x:v>Not Assessed</x:v>
      </x:c>
      <x:c r="X79" s="44" t="n">
        <x:v>0</x:v>
      </x:c>
      <x:c r="Y79" s="44" t="n">
        <x:v>4</x:v>
      </x:c>
      <x:c r="Z79" s="42" t="str">
        <x:v>Not Provided</x:v>
      </x:c>
      <x:c r="AA79" s="42" t="str"/>
      <x:c r="AB79" s="42" t="str">
        <x:v>Not Tested</x:v>
      </x:c>
      <x:c r="AC79" s="46" t="str"/>
      <x:c r="AD79" s="42" t="str"/>
      <x:c r="AE79" s="42" t="str">
        <x:v>Not Assessed</x:v>
      </x:c>
      <x:c r="AF79" s="42" t="n">
        <x:f>IF($T79="No","",MAX(0,$Y79-$X79))</x:f>
        <x:v>4</x:v>
      </x:c>
      <x:c r="AG79" s="42" t="str">
        <x:f>IF($T79="No","Not Applicable",IF($X79&gt;=$C79,"Meets CSA Level","Gap to CSA Level"))</x:f>
        <x:v>Gap to CSA Level</x:v>
      </x:c>
      <x:c r="AH79" s="42" t="str">
        <x:f>IF($T79="No","Not Applicable",IF($J79="","Not Mapped",IF(AND(OR($W79="Implemented",$W79="Optimized"),$Z79="Validated",$AB79="Pass"),"Compliant",IF(AND(OR($W79="Partially Implemented",$W79="Implemented",$W79="Optimized"),OR($Z79="Reviewed",$Z79="Validated"),OR($AB79="Pass with Exceptions",$AB79="Pass")),"Partially Compliant","Not Compliant"))))</x:f>
        <x:v>Not Compliant</x:v>
      </x:c>
      <x:c r="AI79" s="42" t="str">
        <x:f>IF($T79="No","Not Applicable",IF($M79="","Not Mapped",IF(AND(OR($W79="Implemented",$W79="Optimized"),$Z79="Validated",$AB79="Pass"),"Compliant",IF(AND(OR($W79="Partially Implemented",$W79="Implemented",$W79="Optimized"),OR($Z79="Reviewed",$Z79="Validated"),OR($AB79="Pass with Exceptions",$AB79="Pass")),"Partially Compliant","Not Compliant"))))</x:f>
        <x:v>Not Compliant</x:v>
      </x:c>
      <x:c r="AJ79" s="42" t="str">
        <x:f>IF($T79="No","Not Applicable",IF(AND($AG79="Meets CSA Level",$AH79="Compliant",$AI79="Compliant"),"CSA AISMM; NIST AI RMF; ISO/IEC 42001",IF(AND($AG79="Meets CSA Level",$AH79="Compliant"),"CSA AISMM; NIST AI RMF",IF(AND($AG79="Meets CSA Level",$AI79="Compliant"),"CSA AISMM; ISO/IEC 42001",IF(AND($AH79="Compliant",$AI79="Compliant"),"NIST AI RMF; ISO/IEC 42001",IF($AG79="Meets CSA Level","CSA AISMM",IF($AH79="Compliant","NIST AI RMF",IF($AI79="Compliant","ISO/IEC 42001","No mapped framework fully compliant"))))))))</x:f>
        <x:v>No mapped framework fully compliant</x:v>
      </x:c>
      <x:c r="AK79" s="42" t="str"/>
      <x:c r="AL79" s="46" t="str"/>
      <x:c r="AM79" s="42" t="str"/>
      <x:c r="AN79" s="42" t="str">
        <x:v>CSA AISMM uploaded workbook; NIST AI RMF Playbook uploaded workbook; ISO/IEC 42001 checklist uploaded PDF; official CSA/NIST/ISO web sources listed on Sources sheet</x:v>
      </x:c>
    </x:row>
    <x:row r="80" ht="90" customHeight="1">
      <x:c r="A80" s="42" t="str">
        <x:v>Data Security</x:v>
      </x:c>
      <x:c r="B80" s="42" t="str">
        <x:v>DAT-05.1</x:v>
      </x:c>
      <x:c r="C80" s="42" t="n">
        <x:v>5</x:v>
      </x:c>
      <x:c r="D80" s="42" t="str">
        <x:v>DAT</x:v>
      </x:c>
      <x:c r="E80" s="42" t="str">
        <x:v>RAG citations and continuous source posture monitoring</x:v>
      </x:c>
      <x:c r="F80" s="42" t="str">
        <x:v>Production RAG responses include source citations linking to the contributing documents. Approved sources are continuously monitored for compromise indicators, with detected events triggering automated quarantine and revocation propagating to production indexes within an hour.</x:v>
      </x:c>
      <x:c r="G80" s="42" t="str">
        <x:v>Automated</x:v>
      </x:c>
      <x:c r="H80" s="42" t="str">
        <x:v>All (training lineage is primary for self-hosted and fine-tuned models; RAG lineage applies across all three)</x:v>
      </x:c>
      <x:c r="I80" s="42" t="str">
        <x:v>DSP-20 (data provenance and transparency), DSP-05 (data flow documentation), DSP-23 (dataset versioning)</x:v>
      </x:c>
      <x:c r="J80" s="42" t="str">
        <x:v>MAP 4; MEASURE 2; GOVERN 1</x:v>
      </x:c>
      <x:c r="K80" s="42" t="str">
        <x:v>MAP 4: Parent AI RMF category/function referenced; use associated subcategory rows for testable control language.; MEASURE 2: Parent AI RMF category/function referenced; use associated subcategory rows for testable control language.; GOVERN 1: Parent AI RMF category/function referenced; use associated subcategory rows for testable control language.</x:v>
      </x:c>
      <x:c r="L80" s="42" t="str">
        <x:v>Direct from AISMM external reference</x:v>
      </x:c>
      <x:c r="M80" s="42" t="str">
        <x:v>Annex A.6; Annex A.7</x:v>
      </x:c>
      <x:c r="N80" s="42" t="str">
        <x:v>Annex A.6 – AI system life cycle: Define responsible development objectives, specify verification and validation, maintain technical documentation, and record/maintain event logs during system use. Annex A.7 – Data for AI systems: Maintain documented AI data management, identify sources and provenance, record intended use, define data quality requirements, and document/justify preparation methods.</x:v>
      </x:c>
      <x:c r="O80" s="42" t="str">
        <x:v>Derived by control theme/domain</x:v>
      </x:c>
      <x:c r="P80" s="42" t="str">
        <x:v>Define log schema, retention, access controls, alerting, and incident triage integration.</x:v>
      </x:c>
      <x:c r="Q80" s="42" t="str">
        <x:v>NIST AI RMF MAP-4, MEASURE-2.10, GOVERN-1; W3C PROV Data Model; EU AI Act Article 10 (data governance for high-risk systems)</x:v>
      </x:c>
      <x:c r="R80" s="42" t="str">
        <x:v>Data governance policy; data classification and handling records; data provenance documentation; dataset datasheets; data quality checks; privacy impact assessments; retention and deletion evidence.</x:v>
      </x:c>
      <x:c r="S80" s="42" t="str">
        <x:v>Sample datasets used by AI systems; verify source, provenance, consent/legal basis where applicable, quality criteria, preparation steps, access restrictions, and retention controls.</x:v>
      </x:c>
      <x:c r="T80" s="42" t="str">
        <x:v>Yes</x:v>
      </x:c>
      <x:c r="U80" s="42" t="str"/>
      <x:c r="V80" s="42" t="str"/>
      <x:c r="W80" s="42" t="str">
        <x:v>Not Assessed</x:v>
      </x:c>
      <x:c r="X80" s="44" t="n">
        <x:v>0</x:v>
      </x:c>
      <x:c r="Y80" s="44" t="n">
        <x:v>5</x:v>
      </x:c>
      <x:c r="Z80" s="42" t="str">
        <x:v>Not Provided</x:v>
      </x:c>
      <x:c r="AA80" s="42" t="str"/>
      <x:c r="AB80" s="42" t="str">
        <x:v>Not Tested</x:v>
      </x:c>
      <x:c r="AC80" s="46" t="str"/>
      <x:c r="AD80" s="42" t="str"/>
      <x:c r="AE80" s="42" t="str">
        <x:v>Not Assessed</x:v>
      </x:c>
      <x:c r="AF80" s="42" t="n">
        <x:f>IF($T80="No","",MAX(0,$Y80-$X80))</x:f>
        <x:v>5</x:v>
      </x:c>
      <x:c r="AG80" s="42" t="str">
        <x:f>IF($T80="No","Not Applicable",IF($X80&gt;=$C80,"Meets CSA Level","Gap to CSA Level"))</x:f>
        <x:v>Gap to CSA Level</x:v>
      </x:c>
      <x:c r="AH80" s="42" t="str">
        <x:f>IF($T80="No","Not Applicable",IF($J80="","Not Mapped",IF(AND(OR($W80="Implemented",$W80="Optimized"),$Z80="Validated",$AB80="Pass"),"Compliant",IF(AND(OR($W80="Partially Implemented",$W80="Implemented",$W80="Optimized"),OR($Z80="Reviewed",$Z80="Validated"),OR($AB80="Pass with Exceptions",$AB80="Pass")),"Partially Compliant","Not Compliant"))))</x:f>
        <x:v>Not Compliant</x:v>
      </x:c>
      <x:c r="AI80" s="42" t="str">
        <x:f>IF($T80="No","Not Applicable",IF($M80="","Not Mapped",IF(AND(OR($W80="Implemented",$W80="Optimized"),$Z80="Validated",$AB80="Pass"),"Compliant",IF(AND(OR($W80="Partially Implemented",$W80="Implemented",$W80="Optimized"),OR($Z80="Reviewed",$Z80="Validated"),OR($AB80="Pass with Exceptions",$AB80="Pass")),"Partially Compliant","Not Compliant"))))</x:f>
        <x:v>Not Compliant</x:v>
      </x:c>
      <x:c r="AJ80" s="42" t="str">
        <x:f>IF($T80="No","Not Applicable",IF(AND($AG80="Meets CSA Level",$AH80="Compliant",$AI80="Compliant"),"CSA AISMM; NIST AI RMF; ISO/IEC 42001",IF(AND($AG80="Meets CSA Level",$AH80="Compliant"),"CSA AISMM; NIST AI RMF",IF(AND($AG80="Meets CSA Level",$AI80="Compliant"),"CSA AISMM; ISO/IEC 42001",IF(AND($AH80="Compliant",$AI80="Compliant"),"NIST AI RMF; ISO/IEC 42001",IF($AG80="Meets CSA Level","CSA AISMM",IF($AH80="Compliant","NIST AI RMF",IF($AI80="Compliant","ISO/IEC 42001","No mapped framework fully compliant"))))))))</x:f>
        <x:v>No mapped framework fully compliant</x:v>
      </x:c>
      <x:c r="AK80" s="42" t="str"/>
      <x:c r="AL80" s="46" t="str"/>
      <x:c r="AM80" s="42" t="str"/>
      <x:c r="AN80" s="42" t="str">
        <x:v>CSA AISMM uploaded workbook; NIST AI RMF Playbook uploaded workbook; ISO/IEC 42001 checklist uploaded PDF; official CSA/NIST/ISO web sources listed on Sources sheet</x:v>
      </x:c>
    </x:row>
    <x:row r="81" ht="90" customHeight="1">
      <x:c r="A81" s="42" t="str">
        <x:v>Data Security</x:v>
      </x:c>
      <x:c r="B81" s="42" t="str">
        <x:v>DAT-05.2</x:v>
      </x:c>
      <x:c r="C81" s="42" t="n">
        <x:v>5</x:v>
      </x:c>
      <x:c r="D81" s="42" t="str">
        <x:v>DAT</x:v>
      </x:c>
      <x:c r="E81" s="42" t="str">
        <x:v>Poisoning and Adversarial-pattern scanning on training and RAG content</x:v>
      </x:c>
      <x:c r="F81" s="42" t="str">
        <x:v>Training data, fine-tuning data, and production RAG and grounding content under the organization's control are scanned for poisoning and adversarial patterns on ingestion and on material update. Scans cover embedded prompt-injection payloads, embedding-space distribution shifts, and matches against an AI-specific threat-intelligence feed; findings route to a named owner under SLA. Foundation-model pretraining is out of scope.</x:v>
      </x:c>
      <x:c r="G81" s="42" t="str">
        <x:v>Automated</x:v>
      </x:c>
      <x:c r="H81" s="42" t="str">
        <x:v>All (scope covers training and fine-tuning data under organization control; RAG and grounding content across deployment types; foundation-model pretraining is provider-owned)</x:v>
      </x:c>
      <x:c r="I81" s="42" t="str">
        <x:v>DSP-21 (data poisoning prevention and detection), DSP-23 (data integrity check), DSP-17 (sensitive data protection — adjacent)</x:v>
      </x:c>
      <x:c r="J81" s="42" t="str">
        <x:v>MEASURE 2.7; MEASURE 2</x:v>
      </x:c>
      <x:c r="K81" s="42" t="str">
        <x:v>MEASURE 2.7: - Establish and track AI system security tests and metrics (e.g., red-teaming activities, frequency and rate of anomalous events, system down-time, incident response times, time-to-bypass, etc.). - Use red-team exercises to actively test the system under adversarial or stress conditions, measure system response, assess failure modes or determine if system can return to normal function after an unexpected adverse event. - Document red-team exercise results as part of continuous improvement efforts, including the range of security test conditions and results. - Use red-teaming exercises to evaluate potential mismatches between claimed and actual system performance. - Use countermeasures (e.g, authentication, throttling, differential privacy, robust ML approaches) to increase the range of security conditions under which the system is able to return to normal function.…</x:v>
      </x:c>
      <x:c r="L81" s="42" t="str">
        <x:v>Direct from AISMM external reference</x:v>
      </x:c>
      <x:c r="M81" s="42" t="str">
        <x:v>Annex A.3; Annex A.6; Annex A.7; Annex A.9</x:v>
      </x:c>
      <x:c r="N81" s="42" t="str">
        <x:v>Annex A.3 – Internal organization: Define AI roles and responsibilities; provide reporting and confidential escalation paths; investigate and resolve AI-related concerns. Annex A.6 – AI system life cycle: Define responsible development objectives, specify verification and validation, maintain technical documentation, and record/maintain event logs during system use. Annex A.7 – Data for AI systems: Maintain documented AI data management, identify sources and provenance, record intended use, define data quality requirements, and document/justify preparation methods. Annex A.9 – Use of AI systems: Define responsible AI use processes, ethical/appropriate-use objectives, intended-purpose usage boundaries, and monitoring/remediation for misuse or unintended consequences.</x:v>
      </x:c>
      <x:c r="O81" s="42" t="str">
        <x:v>Derived by control theme/domain</x:v>
      </x:c>
      <x:c r="P81" s="42" t="str">
        <x:v>Track role-based completion, knowledge checks, and refresh cadence.</x:v>
      </x:c>
      <x:c r="Q81" s="42" t="str">
        <x:v>OWASP LLM04:2025 Data and Model Poisoning, OWASP LLM05:2025 Improper Output Handling (adjacent), NIST AI RMF MEASURE-2.7, MITRE ATLAS (Poison Training Data, LLM Meta Prompt Extraction)</x:v>
      </x:c>
      <x:c r="R81" s="42" t="str">
        <x:v>Data governance policy; data classification and handling records; data provenance documentation; dataset datasheets; data quality checks; privacy impact assessments; retention and deletion evidence.</x:v>
      </x:c>
      <x:c r="S81" s="42" t="str">
        <x:v>Sample datasets used by AI systems; verify source, provenance, consent/legal basis where applicable, quality criteria, preparation steps, access restrictions, and retention controls.</x:v>
      </x:c>
      <x:c r="T81" s="42" t="str">
        <x:v>Yes</x:v>
      </x:c>
      <x:c r="U81" s="42" t="str"/>
      <x:c r="V81" s="42" t="str"/>
      <x:c r="W81" s="42" t="str">
        <x:v>Not Assessed</x:v>
      </x:c>
      <x:c r="X81" s="44" t="n">
        <x:v>0</x:v>
      </x:c>
      <x:c r="Y81" s="44" t="n">
        <x:v>5</x:v>
      </x:c>
      <x:c r="Z81" s="42" t="str">
        <x:v>Not Provided</x:v>
      </x:c>
      <x:c r="AA81" s="42" t="str"/>
      <x:c r="AB81" s="42" t="str">
        <x:v>Not Tested</x:v>
      </x:c>
      <x:c r="AC81" s="46" t="str"/>
      <x:c r="AD81" s="42" t="str"/>
      <x:c r="AE81" s="42" t="str">
        <x:v>Not Assessed</x:v>
      </x:c>
      <x:c r="AF81" s="42" t="n">
        <x:f>IF($T81="No","",MAX(0,$Y81-$X81))</x:f>
        <x:v>5</x:v>
      </x:c>
      <x:c r="AG81" s="42" t="str">
        <x:f>IF($T81="No","Not Applicable",IF($X81&gt;=$C81,"Meets CSA Level","Gap to CSA Level"))</x:f>
        <x:v>Gap to CSA Level</x:v>
      </x:c>
      <x:c r="AH81" s="42" t="str">
        <x:f>IF($T81="No","Not Applicable",IF($J81="","Not Mapped",IF(AND(OR($W81="Implemented",$W81="Optimized"),$Z81="Validated",$AB81="Pass"),"Compliant",IF(AND(OR($W81="Partially Implemented",$W81="Implemented",$W81="Optimized"),OR($Z81="Reviewed",$Z81="Validated"),OR($AB81="Pass with Exceptions",$AB81="Pass")),"Partially Compliant","Not Compliant"))))</x:f>
        <x:v>Not Compliant</x:v>
      </x:c>
      <x:c r="AI81" s="42" t="str">
        <x:f>IF($T81="No","Not Applicable",IF($M81="","Not Mapped",IF(AND(OR($W81="Implemented",$W81="Optimized"),$Z81="Validated",$AB81="Pass"),"Compliant",IF(AND(OR($W81="Partially Implemented",$W81="Implemented",$W81="Optimized"),OR($Z81="Reviewed",$Z81="Validated"),OR($AB81="Pass with Exceptions",$AB81="Pass")),"Partially Compliant","Not Compliant"))))</x:f>
        <x:v>Not Compliant</x:v>
      </x:c>
      <x:c r="AJ81" s="42" t="str">
        <x:f>IF($T81="No","Not Applicable",IF(AND($AG81="Meets CSA Level",$AH81="Compliant",$AI81="Compliant"),"CSA AISMM; NIST AI RMF; ISO/IEC 42001",IF(AND($AG81="Meets CSA Level",$AH81="Compliant"),"CSA AISMM; NIST AI RMF",IF(AND($AG81="Meets CSA Level",$AI81="Compliant"),"CSA AISMM; ISO/IEC 42001",IF(AND($AH81="Compliant",$AI81="Compliant"),"NIST AI RMF; ISO/IEC 42001",IF($AG81="Meets CSA Level","CSA AISMM",IF($AH81="Compliant","NIST AI RMF",IF($AI81="Compliant","ISO/IEC 42001","No mapped framework fully compliant"))))))))</x:f>
        <x:v>No mapped framework fully compliant</x:v>
      </x:c>
      <x:c r="AK81" s="42" t="str"/>
      <x:c r="AL81" s="46" t="str"/>
      <x:c r="AM81" s="42" t="str"/>
      <x:c r="AN81" s="42" t="str">
        <x:v>CSA AISMM uploaded workbook; NIST AI RMF Playbook uploaded workbook; ISO/IEC 42001 checklist uploaded PDF; official CSA/NIST/ISO web sources listed on Sources sheet</x:v>
      </x:c>
    </x:row>
    <x:row r="82" ht="90" customHeight="1">
      <x:c r="A82" s="42" t="str">
        <x:v>Risk Assessment</x:v>
      </x:c>
      <x:c r="B82" s="42" t="str">
        <x:v>RSK-02.1</x:v>
      </x:c>
      <x:c r="C82" s="42" t="n">
        <x:v>2</x:v>
      </x:c>
      <x:c r="D82" s="42" t="str">
        <x:v>RSK</x:v>
      </x:c>
      <x:c r="E82" s="42" t="str">
        <x:v>Approved AI provider registry with risk ratings and data classifications</x:v>
      </x:c>
      <x:c r="F82" s="42" t="str">
        <x:v>A registry of approved AI providers records a risk rating and maximum data classification for each major provider in use, and project leads consult it before using a provider with a given data type.</x:v>
      </x:c>
      <x:c r="G82" s="42" t="str">
        <x:v>Manual</x:v>
      </x:c>
      <x:c r="H82" s="42" t="str">
        <x:v>All</x:v>
      </x:c>
      <x:c r="I82" s="42" t="str">
        <x:v>STA-08 (supply chain inventory), STA-09 (supply chain risk management), GRC-02 (AI risk management program)</x:v>
      </x:c>
      <x:c r="J82" s="42" t="str">
        <x:v>MAP 1.1; MAP 3.4; MEASURE 1.1; MEASURE 2.1; MANAGE 1.2</x:v>
      </x:c>
      <x:c r="K82" s="42" t="str">
        <x:v>MAP 1.1: - Maintain awareness of industry, technical, and applicable legal standards. - Examine trustworthiness of AI system design and consider, non-AI solutions - Consider intended AI system design tasks along with unanticipated purposes in collaboration with human factors and socio-technical domain experts. - Define and document the task, purpose, minimum functionality, and benefits of the AI system to inform considerations about whether the utility of the project or its lack of. - Identify whether there are non-AI or non-technology alternatives that will lead to more trustworthy outcomes. - Examine how changes in system performance affect downstream events such as decision-making (e.g: changes in an AI model objective function create what types of impacts in how many candidates do/do not get a job interview).… MAP 3.4: - Identify and declare AI system features and capabilities that may affect downstream AI actors’ decision-making in deployment and operational settings for example how system features and capabilities may activate known risks in various human-AI configurations, such as selective adherence. - Identify skills and proficiency requirements for operators, practitioners and other domain experts that interact with AI systems,Develop AI system operational documentation for AI actors in deployed and operational environments, including information about known risks, mitigation criteria, and trustworthy characteristics enumerated in Map-1. - Define and develop training materials for proposed end users, practitioners and operators about AI system use and known limitations.… MEASURE 1.1: - Establish approaches for detecting, tracking and measuring known risks, errors, incidents or negative impacts. - Identify testing procedures and metrics to demonstrate whether or not the system is fit for purpose and functioning as claimed. - Identify testing procedures and metrics to demonstrate AI system trustworthiness - Define acceptable limits for system performance (e.g. distribution of errors), and include course correction suggestions if/when the system performs beyond acceptable limits. - Define metrics for, and regularly assess, AI actor competency for effective system operation, - Identify transparency metrics to assess whether stakeholders have access to necessary information about system design, development, deployment, use, and evaluation.… MEASURE 2.1: - Leverage existing industry best practices for transparency and documentation of all possible aspects of measurements. Examples include: data sheet for data sets, model cards - Regularly assess the effectiveness of tools used to document measurement approaches, test sets, metrics, processes and materials used - Update the tools as needed MANAGE 1.2: - Assign risk management resources relative to established risk tolerance. AI systems with lower risk tolerances receive greater oversight, mitigation and management resources.…</x:v>
      </x:c>
      <x:c r="L82" s="42" t="str">
        <x:v>Derived by CSA domain/theme</x:v>
      </x:c>
      <x:c r="M82" s="42" t="str">
        <x:v>Annex A.4; Annex A.7; Annex A.10</x:v>
      </x:c>
      <x:c r="N82" s="42" t="str">
        <x:v>Annex A.4 – Resources for AI systems: Maintain a register of AI resources including data, tools, systems, people, tooling, compute resources, and relevant operational/environmental impacts. Annex A.7 – Data for AI systems: Maintain documented AI data management, identify sources and provenance, record intended use, define data quality requirements, and document/justify preparation methods. Annex A.10 – Third-party and customer relationships: Define lifecycle responsibilities with third parties, manage AI suppliers, capture customer expectations, and review third-party roles through ongoing governance.</x:v>
      </x:c>
      <x:c r="O82" s="42" t="str">
        <x:v>Derived by control theme/domain</x:v>
      </x:c>
      <x:c r="P82" s="42" t="str">
        <x:v>Maintain authoritative AI inventory; link assets to owners, use cases, providers, data classes, and risk tiers. Tie provider/model/library onboarding to supplier risk, licensing, model/data provenance, and AI-BOM/SBOM records.</x:v>
      </x:c>
      <x:c r="Q82" s="42" t="str">
        <x:v>NIST AI RMF Map function; CSA AI-CAIQ (reference framework)</x:v>
      </x:c>
      <x:c r="R82" s="42" t="str">
        <x:v>AI risk assessment methodology; AI impact assessment template; model/use-case risk ratings; treatment plans; risk acceptance approvals; residual risk logs; risk register extracts.</x:v>
      </x:c>
      <x:c r="S82" s="42" t="str">
        <x:v>Reperform a sample risk assessment; verify impact assessment completion; trace risks to treatment decisions and approvals; confirm residual risk is accepted by the right authority.</x:v>
      </x:c>
      <x:c r="T82" s="42" t="str">
        <x:v>Yes</x:v>
      </x:c>
      <x:c r="U82" s="42" t="str"/>
      <x:c r="V82" s="42" t="str"/>
      <x:c r="W82" s="42" t="str">
        <x:v>Not Assessed</x:v>
      </x:c>
      <x:c r="X82" s="44" t="n">
        <x:v>0</x:v>
      </x:c>
      <x:c r="Y82" s="44" t="n">
        <x:v>2</x:v>
      </x:c>
      <x:c r="Z82" s="42" t="str">
        <x:v>Not Provided</x:v>
      </x:c>
      <x:c r="AA82" s="42" t="str"/>
      <x:c r="AB82" s="42" t="str">
        <x:v>Not Tested</x:v>
      </x:c>
      <x:c r="AC82" s="46" t="str"/>
      <x:c r="AD82" s="42" t="str"/>
      <x:c r="AE82" s="42" t="str">
        <x:v>Not Assessed</x:v>
      </x:c>
      <x:c r="AF82" s="42" t="n">
        <x:f>IF($T82="No","",MAX(0,$Y82-$X82))</x:f>
        <x:v>2</x:v>
      </x:c>
      <x:c r="AG82" s="42" t="str">
        <x:f>IF($T82="No","Not Applicable",IF($X82&gt;=$C82,"Meets CSA Level","Gap to CSA Level"))</x:f>
        <x:v>Gap to CSA Level</x:v>
      </x:c>
      <x:c r="AH82" s="42" t="str">
        <x:f>IF($T82="No","Not Applicable",IF($J82="","Not Mapped",IF(AND(OR($W82="Implemented",$W82="Optimized"),$Z82="Validated",$AB82="Pass"),"Compliant",IF(AND(OR($W82="Partially Implemented",$W82="Implemented",$W82="Optimized"),OR($Z82="Reviewed",$Z82="Validated"),OR($AB82="Pass with Exceptions",$AB82="Pass")),"Partially Compliant","Not Compliant"))))</x:f>
        <x:v>Not Compliant</x:v>
      </x:c>
      <x:c r="AI82" s="42" t="str">
        <x:f>IF($T82="No","Not Applicable",IF($M82="","Not Mapped",IF(AND(OR($W82="Implemented",$W82="Optimized"),$Z82="Validated",$AB82="Pass"),"Compliant",IF(AND(OR($W82="Partially Implemented",$W82="Implemented",$W82="Optimized"),OR($Z82="Reviewed",$Z82="Validated"),OR($AB82="Pass with Exceptions",$AB82="Pass")),"Partially Compliant","Not Compliant"))))</x:f>
        <x:v>Not Compliant</x:v>
      </x:c>
      <x:c r="AJ82" s="42" t="str">
        <x:f>IF($T82="No","Not Applicable",IF(AND($AG82="Meets CSA Level",$AH82="Compliant",$AI82="Compliant"),"CSA AISMM; NIST AI RMF; ISO/IEC 42001",IF(AND($AG82="Meets CSA Level",$AH82="Compliant"),"CSA AISMM; NIST AI RMF",IF(AND($AG82="Meets CSA Level",$AI82="Compliant"),"CSA AISMM; ISO/IEC 42001",IF(AND($AH82="Compliant",$AI82="Compliant"),"NIST AI RMF; ISO/IEC 42001",IF($AG82="Meets CSA Level","CSA AISMM",IF($AH82="Compliant","NIST AI RMF",IF($AI82="Compliant","ISO/IEC 42001","No mapped framework fully compliant"))))))))</x:f>
        <x:v>No mapped framework fully compliant</x:v>
      </x:c>
      <x:c r="AK82" s="42" t="str"/>
      <x:c r="AL82" s="46" t="str"/>
      <x:c r="AM82" s="42" t="str"/>
      <x:c r="AN82" s="42" t="str">
        <x:v>CSA AISMM uploaded workbook; NIST AI RMF Playbook uploaded workbook; ISO/IEC 42001 checklist uploaded PDF; official CSA/NIST/ISO web sources listed on Sources sheet</x:v>
      </x:c>
    </x:row>
    <x:row r="83" ht="90" customHeight="1">
      <x:c r="A83" s="42" t="str">
        <x:v>Risk Assessment</x:v>
      </x:c>
      <x:c r="B83" s="42" t="str">
        <x:v>RSK-02.2</x:v>
      </x:c>
      <x:c r="C83" s="42" t="n">
        <x:v>2</x:v>
      </x:c>
      <x:c r="D83" s="42" t="str">
        <x:v>RSK</x:v>
      </x:c>
      <x:c r="E83" s="42" t="str">
        <x:v>AI project risk assessment at initiation</x:v>
      </x:c>
      <x:c r="F83" s="42" t="str">
        <x:v>Major AI projects (those meeting a written in-scope definition) do not launch to production without a dated security risk assessment naming providers, models, data classification, risk rating, and reviewer.</x:v>
      </x:c>
      <x:c r="G83" s="42" t="str">
        <x:v>Manual</x:v>
      </x:c>
      <x:c r="H83" s="42" t="str">
        <x:v>All</x:v>
      </x:c>
      <x:c r="I83" s="42" t="str">
        <x:v>GRC-02 (AI risk management program), GRC-10 (AI impact assessment)</x:v>
      </x:c>
      <x:c r="J83" s="42" t="str">
        <x:v>MAP 1.1; MAP 3.4; MEASURE 1.1; MEASURE 2.1; MANAGE 1.2</x:v>
      </x:c>
      <x:c r="K83" s="42" t="str">
        <x:v>MAP 1.1: - Maintain awareness of industry, technical, and applicable legal standards. - Examine trustworthiness of AI system design and consider, non-AI solutions - Consider intended AI system design tasks along with unanticipated purposes in collaboration with human factors and socio-technical domain experts. - Define and document the task, purpose, minimum functionality, and benefits of the AI system to inform considerations about whether the utility of the project or its lack of. - Identify whether there are non-AI or non-technology alternatives that will lead to more trustworthy outcomes. - Examine how changes in system performance affect downstream events such as decision-making (e.g: changes in an AI model objective function create what types of impacts in how many candidates do/do not get a job interview).… MAP 3.4: - Identify and declare AI system features and capabilities that may affect downstream AI actors’ decision-making in deployment and operational settings for example how system features and capabilities may activate known risks in various human-AI configurations, such as selective adherence. - Identify skills and proficiency requirements for operators, practitioners and other domain experts that interact with AI systems,Develop AI system operational documentation for AI actors in deployed and operational environments, including information about known risks, mitigation criteria, and trustworthy characteristics enumerated in Map-1. - Define and develop training materials for proposed end users, practitioners and operators about AI system use and known limitations.… MEASURE 1.1: - Establish approaches for detecting, tracking and measuring known risks, errors, incidents or negative impacts. - Identify testing procedures and metrics to demonstrate whether or not the system is fit for purpose and functioning as claimed. - Identify testing procedures and metrics to demonstrate AI system trustworthiness - Define acceptable limits for system performance (e.g. distribution of errors), and include course correction suggestions if/when the system performs beyond acceptable limits. - Define metrics for, and regularly assess, AI actor competency for effective system operation, - Identify transparency metrics to assess whether stakeholders have access to necessary information about system design, development, deployment, use, and evaluation.… MEASURE 2.1: - Leverage existing industry best practices for transparency and documentation of all possible aspects of measurements. Examples include: data sheet for data sets, model cards - Regularly assess the effectiveness of tools used to document measurement approaches, test sets, metrics, processes and materials used - Update the tools as needed MANAGE 1.2: - Assign risk management resources relative to established risk tolerance. AI systems with lower risk tolerances receive greater oversight, mitigation and management resources.…</x:v>
      </x:c>
      <x:c r="L83" s="42" t="str">
        <x:v>Derived by CSA domain/theme</x:v>
      </x:c>
      <x:c r="M83" s="42" t="str">
        <x:v>Annex A.5; Annex A.6; Annex A.7; Annex A.10</x:v>
      </x:c>
      <x:c r="N83" s="42" t="str">
        <x:v>Annex A.5 – Assessing impacts of AI systems: Perform documented, repeatable impact assessments on individuals, groups, or society; update after significant changes; feed findings into design, controls, and stakeholder communication. Annex A.6 – AI system life cycle: Define responsible development objectives, specify verification and validation, maintain technical documentation, and record/maintain event logs during system use. Annex A.7 – Data for AI systems: Maintain documented AI data management, identify sources and provenance, record intended use, define data quality requirements, and document/justify preparation methods. Annex A.10 – Third-party and customer relationships: Define lifecycle responsibilities with third parties, manage AI suppliers, capture customer expectations, and review third-party roles through ongoing governance.</x:v>
      </x:c>
      <x:c r="O83" s="42" t="str">
        <x:v>Derived by control theme/domain</x:v>
      </x:c>
      <x:c r="P83" s="42" t="str">
        <x:v>Use this row as a control objective to assess current state, define target maturity, collect evidence, and remediate gaps.</x:v>
      </x:c>
      <x:c r="Q83" s="42" t="str">
        <x:v>NIST AI RMF Map function; ISO/IEC 23894 (AI risk management)</x:v>
      </x:c>
      <x:c r="R83" s="42" t="str">
        <x:v>AI risk assessment methodology; AI impact assessment template; model/use-case risk ratings; treatment plans; risk acceptance approvals; residual risk logs; risk register extracts.</x:v>
      </x:c>
      <x:c r="S83" s="42" t="str">
        <x:v>Reperform a sample risk assessment; verify impact assessment completion; trace risks to treatment decisions and approvals; confirm residual risk is accepted by the right authority.</x:v>
      </x:c>
      <x:c r="T83" s="42" t="str">
        <x:v>Yes</x:v>
      </x:c>
      <x:c r="U83" s="42" t="str"/>
      <x:c r="V83" s="42" t="str"/>
      <x:c r="W83" s="42" t="str">
        <x:v>Not Assessed</x:v>
      </x:c>
      <x:c r="X83" s="44" t="n">
        <x:v>0</x:v>
      </x:c>
      <x:c r="Y83" s="44" t="n">
        <x:v>2</x:v>
      </x:c>
      <x:c r="Z83" s="42" t="str">
        <x:v>Not Provided</x:v>
      </x:c>
      <x:c r="AA83" s="42" t="str"/>
      <x:c r="AB83" s="42" t="str">
        <x:v>Not Tested</x:v>
      </x:c>
      <x:c r="AC83" s="46" t="str"/>
      <x:c r="AD83" s="42" t="str"/>
      <x:c r="AE83" s="42" t="str">
        <x:v>Not Assessed</x:v>
      </x:c>
      <x:c r="AF83" s="42" t="n">
        <x:f>IF($T83="No","",MAX(0,$Y83-$X83))</x:f>
        <x:v>2</x:v>
      </x:c>
      <x:c r="AG83" s="42" t="str">
        <x:f>IF($T83="No","Not Applicable",IF($X83&gt;=$C83,"Meets CSA Level","Gap to CSA Level"))</x:f>
        <x:v>Gap to CSA Level</x:v>
      </x:c>
      <x:c r="AH83" s="42" t="str">
        <x:f>IF($T83="No","Not Applicable",IF($J83="","Not Mapped",IF(AND(OR($W83="Implemented",$W83="Optimized"),$Z83="Validated",$AB83="Pass"),"Compliant",IF(AND(OR($W83="Partially Implemented",$W83="Implemented",$W83="Optimized"),OR($Z83="Reviewed",$Z83="Validated"),OR($AB83="Pass with Exceptions",$AB83="Pass")),"Partially Compliant","Not Compliant"))))</x:f>
        <x:v>Not Compliant</x:v>
      </x:c>
      <x:c r="AI83" s="42" t="str">
        <x:f>IF($T83="No","Not Applicable",IF($M83="","Not Mapped",IF(AND(OR($W83="Implemented",$W83="Optimized"),$Z83="Validated",$AB83="Pass"),"Compliant",IF(AND(OR($W83="Partially Implemented",$W83="Implemented",$W83="Optimized"),OR($Z83="Reviewed",$Z83="Validated"),OR($AB83="Pass with Exceptions",$AB83="Pass")),"Partially Compliant","Not Compliant"))))</x:f>
        <x:v>Not Compliant</x:v>
      </x:c>
      <x:c r="AJ83" s="42" t="str">
        <x:f>IF($T83="No","Not Applicable",IF(AND($AG83="Meets CSA Level",$AH83="Compliant",$AI83="Compliant"),"CSA AISMM; NIST AI RMF; ISO/IEC 42001",IF(AND($AG83="Meets CSA Level",$AH83="Compliant"),"CSA AISMM; NIST AI RMF",IF(AND($AG83="Meets CSA Level",$AI83="Compliant"),"CSA AISMM; ISO/IEC 42001",IF(AND($AH83="Compliant",$AI83="Compliant"),"NIST AI RMF; ISO/IEC 42001",IF($AG83="Meets CSA Level","CSA AISMM",IF($AH83="Compliant","NIST AI RMF",IF($AI83="Compliant","ISO/IEC 42001","No mapped framework fully compliant"))))))))</x:f>
        <x:v>No mapped framework fully compliant</x:v>
      </x:c>
      <x:c r="AK83" s="42" t="str"/>
      <x:c r="AL83" s="46" t="str"/>
      <x:c r="AM83" s="42" t="str"/>
      <x:c r="AN83" s="42" t="str">
        <x:v>CSA AISMM uploaded workbook; NIST AI RMF Playbook uploaded workbook; ISO/IEC 42001 checklist uploaded PDF; official CSA/NIST/ISO web sources listed on Sources sheet</x:v>
      </x:c>
    </x:row>
    <x:row r="84" ht="90" customHeight="1">
      <x:c r="A84" s="42" t="str">
        <x:v>Risk Assessment</x:v>
      </x:c>
      <x:c r="B84" s="42" t="str">
        <x:v>RSK-03.1</x:v>
      </x:c>
      <x:c r="C84" s="42" t="n">
        <x:v>3</x:v>
      </x:c>
      <x:c r="D84" s="42" t="str">
        <x:v>RSK</x:v>
      </x:c>
      <x:c r="E84" s="42" t="str">
        <x:v>Standardized AI provider assessment against a named framework</x:v>
      </x:c>
      <x:c r="F84" s="42" t="str">
        <x:v>Providers in the registry are assessed against a single named methodology (via STAR registry, AI-CAIQ, an AICM-derived questionnaire, ISO/IEC 42001 provider alignment, or documented equivalent), and each provider's approved data-classification scope traces to a specific finding in the assessment.</x:v>
      </x:c>
      <x:c r="G84" s="42" t="str">
        <x:v>Manual</x:v>
      </x:c>
      <x:c r="H84" s="42" t="str">
        <x:v>All</x:v>
      </x:c>
      <x:c r="I84" s="42" t="str">
        <x:v>STA-15 (supply chain data security assessment), STA-12 (supply chain compliance assessment), GRC-02 (AI risk management program)</x:v>
      </x:c>
      <x:c r="J84" s="42" t="str">
        <x:v>MAP 1.1; MAP 3.4; MEASURE 1.1; MEASURE 2.1; MANAGE 1.2</x:v>
      </x:c>
      <x:c r="K84" s="42" t="str">
        <x:v>MAP 1.1: - Maintain awareness of industry, technical, and applicable legal standards. - Examine trustworthiness of AI system design and consider, non-AI solutions - Consider intended AI system design tasks along with unanticipated purposes in collaboration with human factors and socio-technical domain experts. - Define and document the task, purpose, minimum functionality, and benefits of the AI system to inform considerations about whether the utility of the project or its lack of. - Identify whether there are non-AI or non-technology alternatives that will lead to more trustworthy outcomes. - Examine how changes in system performance affect downstream events such as decision-making (e.g: changes in an AI model objective function create what types of impacts in how many candidates do/do not get a job interview).… MAP 3.4: - Identify and declare AI system features and capabilities that may affect downstream AI actors’ decision-making in deployment and operational settings for example how system features and capabilities may activate known risks in various human-AI configurations, such as selective adherence. - Identify skills and proficiency requirements for operators, practitioners and other domain experts that interact with AI systems,Develop AI system operational documentation for AI actors in deployed and operational environments, including information about known risks, mitigation criteria, and trustworthy characteristics enumerated in Map-1. - Define and develop training materials for proposed end users, practitioners and operators about AI system use and known limitations.… MEASURE 1.1: - Establish approaches for detecting, tracking and measuring known risks, errors, incidents or negative impacts. - Identify testing procedures and metrics to demonstrate whether or not the system is fit for purpose and functioning as claimed. - Identify testing procedures and metrics to demonstrate AI system trustworthiness - Define acceptable limits for system performance (e.g. distribution of errors), and include course correction suggestions if/when the system performs beyond acceptable limits. - Define metrics for, and regularly assess, AI actor competency for effective system operation, - Identify transparency metrics to assess whether stakeholders have access to necessary information about system design, development, deployment, use, and evaluation.… MEASURE 2.1: - Leverage existing industry best practices for transparency and documentation of all possible aspects of measurements. Examples include: data sheet for data sets, model cards - Regularly assess the effectiveness of tools used to document measurement approaches, test sets, metrics, processes and materials used - Update the tools as needed MANAGE 1.2: - Assign risk management resources relative to established risk tolerance. AI systems with lower risk tolerances receive greater oversight, mitigation and management resources.…</x:v>
      </x:c>
      <x:c r="L84" s="42" t="str">
        <x:v>Derived by CSA domain/theme</x:v>
      </x:c>
      <x:c r="M84" s="42" t="str">
        <x:v>Annex A.2; Annex A.4; Annex A.7; Annex A.10</x:v>
      </x:c>
      <x:c r="N84" s="42" t="str">
        <x:v>Annex A.2 – Policies related to AI: Document and approve AI policy, include responsible AI principles and continual improvement, review policy regularly, and align it to other relevant organizational policies. Annex A.4 – Resources for AI systems: Maintain a register of AI resources including data, tools, systems, people, tooling, compute resources, and relevant operational/environmental impacts. Annex A.7 – Data for AI systems: Maintain documented AI data management, identify sources and provenance, record intended use, define data quality requirements, and document/justify preparation methods. Annex A.10 – Third-party and customer relationships: Define lifecycle responsibilities with third parties, manage AI suppliers, capture customer expectations, and review third-party roles through ongoing governance.</x:v>
      </x:c>
      <x:c r="O84" s="42" t="str">
        <x:v>Direct from AISMM external reference</x:v>
      </x:c>
      <x:c r="P84" s="42" t="str">
        <x:v>Publish approved AI policy/standard; maintain attestation and exception workflow. Tie provider/model/library onboarding to supplier risk, licensing, model/data provenance, and AI-BOM/SBOM records.</x:v>
      </x:c>
      <x:c r="Q84" s="42" t="str">
        <x:v>CSA AI-CAIQ; CSA AICM v1.0.3; ISO/IEC 42001; NIST AI RMF Govern/Map</x:v>
      </x:c>
      <x:c r="R84" s="42" t="str">
        <x:v>AI risk assessment methodology; AI impact assessment template; model/use-case risk ratings; treatment plans; risk acceptance approvals; residual risk logs; risk register extracts.</x:v>
      </x:c>
      <x:c r="S84" s="42" t="str">
        <x:v>Reperform a sample risk assessment; verify impact assessment completion; trace risks to treatment decisions and approvals; confirm residual risk is accepted by the right authority.</x:v>
      </x:c>
      <x:c r="T84" s="42" t="str">
        <x:v>Yes</x:v>
      </x:c>
      <x:c r="U84" s="42" t="str"/>
      <x:c r="V84" s="42" t="str"/>
      <x:c r="W84" s="42" t="str">
        <x:v>Not Assessed</x:v>
      </x:c>
      <x:c r="X84" s="44" t="n">
        <x:v>0</x:v>
      </x:c>
      <x:c r="Y84" s="44" t="n">
        <x:v>3</x:v>
      </x:c>
      <x:c r="Z84" s="42" t="str">
        <x:v>Not Provided</x:v>
      </x:c>
      <x:c r="AA84" s="42" t="str"/>
      <x:c r="AB84" s="42" t="str">
        <x:v>Not Tested</x:v>
      </x:c>
      <x:c r="AC84" s="46" t="str"/>
      <x:c r="AD84" s="42" t="str"/>
      <x:c r="AE84" s="42" t="str">
        <x:v>Not Assessed</x:v>
      </x:c>
      <x:c r="AF84" s="42" t="n">
        <x:f>IF($T84="No","",MAX(0,$Y84-$X84))</x:f>
        <x:v>3</x:v>
      </x:c>
      <x:c r="AG84" s="42" t="str">
        <x:f>IF($T84="No","Not Applicable",IF($X84&gt;=$C84,"Meets CSA Level","Gap to CSA Level"))</x:f>
        <x:v>Gap to CSA Level</x:v>
      </x:c>
      <x:c r="AH84" s="42" t="str">
        <x:f>IF($T84="No","Not Applicable",IF($J84="","Not Mapped",IF(AND(OR($W84="Implemented",$W84="Optimized"),$Z84="Validated",$AB84="Pass"),"Compliant",IF(AND(OR($W84="Partially Implemented",$W84="Implemented",$W84="Optimized"),OR($Z84="Reviewed",$Z84="Validated"),OR($AB84="Pass with Exceptions",$AB84="Pass")),"Partially Compliant","Not Compliant"))))</x:f>
        <x:v>Not Compliant</x:v>
      </x:c>
      <x:c r="AI84" s="42" t="str">
        <x:f>IF($T84="No","Not Applicable",IF($M84="","Not Mapped",IF(AND(OR($W84="Implemented",$W84="Optimized"),$Z84="Validated",$AB84="Pass"),"Compliant",IF(AND(OR($W84="Partially Implemented",$W84="Implemented",$W84="Optimized"),OR($Z84="Reviewed",$Z84="Validated"),OR($AB84="Pass with Exceptions",$AB84="Pass")),"Partially Compliant","Not Compliant"))))</x:f>
        <x:v>Not Compliant</x:v>
      </x:c>
      <x:c r="AJ84" s="42" t="str">
        <x:f>IF($T84="No","Not Applicable",IF(AND($AG84="Meets CSA Level",$AH84="Compliant",$AI84="Compliant"),"CSA AISMM; NIST AI RMF; ISO/IEC 42001",IF(AND($AG84="Meets CSA Level",$AH84="Compliant"),"CSA AISMM; NIST AI RMF",IF(AND($AG84="Meets CSA Level",$AI84="Compliant"),"CSA AISMM; ISO/IEC 42001",IF(AND($AH84="Compliant",$AI84="Compliant"),"NIST AI RMF; ISO/IEC 42001",IF($AG84="Meets CSA Level","CSA AISMM",IF($AH84="Compliant","NIST AI RMF",IF($AI84="Compliant","ISO/IEC 42001","No mapped framework fully compliant"))))))))</x:f>
        <x:v>No mapped framework fully compliant</x:v>
      </x:c>
      <x:c r="AK84" s="42" t="str"/>
      <x:c r="AL84" s="46" t="str"/>
      <x:c r="AM84" s="42" t="str"/>
      <x:c r="AN84" s="42" t="str">
        <x:v>CSA AISMM uploaded workbook; NIST AI RMF Playbook uploaded workbook; ISO/IEC 42001 checklist uploaded PDF; official CSA/NIST/ISO web sources listed on Sources sheet</x:v>
      </x:c>
    </x:row>
    <x:row r="85" ht="90" customHeight="1">
      <x:c r="A85" s="42" t="str">
        <x:v>Risk Assessment</x:v>
      </x:c>
      <x:c r="B85" s="42" t="str">
        <x:v>RSK-03.2</x:v>
      </x:c>
      <x:c r="C85" s="42" t="n">
        <x:v>3</x:v>
      </x:c>
      <x:c r="D85" s="42" t="str">
        <x:v>RSK</x:v>
      </x:c>
      <x:c r="E85" s="42" t="str">
        <x:v>Scheduled provider reassessment with evidenced completion</x:v>
      </x:c>
      <x:c r="F85" s="42" t="str">
        <x:v>Providers in the registry are reassessed on a written cadence (at least annually, more often for higher-risk providers), and an overdue entry is either closed with evidence, carries a named risk acceptance, or is flipped to a restricted flag that blocks new use until the reassessment is done.</x:v>
      </x:c>
      <x:c r="G85" s="42" t="str">
        <x:v>Manual</x:v>
      </x:c>
      <x:c r="H85" s="42" t="str">
        <x:v>All</x:v>
      </x:c>
      <x:c r="I85" s="42" t="str">
        <x:v>STA-09 (supply chain risk management — periodic review), STA-11 (supply chain agreement review), STA-14 (supply chain governance review)</x:v>
      </x:c>
      <x:c r="J85" s="42" t="str">
        <x:v>GOVERN 6</x:v>
      </x:c>
      <x:c r="K85" s="42" t="str">
        <x:v>GOVERN 6: Parent AI RMF category/function referenced; use associated subcategory rows for testable control language.</x:v>
      </x:c>
      <x:c r="L85" s="42" t="str">
        <x:v>Direct from AISMM external reference</x:v>
      </x:c>
      <x:c r="M85" s="42" t="str">
        <x:v>Annex A.4; Annex A.10</x:v>
      </x:c>
      <x:c r="N85" s="42" t="str">
        <x:v>Annex A.4 – Resources for AI systems: Maintain a register of AI resources including data, tools, systems, people, tooling, compute resources, and relevant operational/environmental impacts. Annex A.10 – Third-party and customer relationships: Define lifecycle responsibilities with third parties, manage AI suppliers, capture customer expectations, and review third-party roles through ongoing governance.</x:v>
      </x:c>
      <x:c r="O85" s="42" t="str">
        <x:v>Derived by control theme/domain</x:v>
      </x:c>
      <x:c r="P85" s="42" t="str">
        <x:v>Tie provider/model/library onboarding to supplier risk, licensing, model/data provenance, and AI-BOM/SBOM records.</x:v>
      </x:c>
      <x:c r="Q85" s="42" t="str">
        <x:v>CSA AICM v1.0.3; NIST AI RMF Govern-6</x:v>
      </x:c>
      <x:c r="R85" s="42" t="str">
        <x:v>AI risk assessment methodology; AI impact assessment template; model/use-case risk ratings; treatment plans; risk acceptance approvals; residual risk logs; risk register extracts.</x:v>
      </x:c>
      <x:c r="S85" s="42" t="str">
        <x:v>Reperform a sample risk assessment; verify impact assessment completion; trace risks to treatment decisions and approvals; confirm residual risk is accepted by the right authority.</x:v>
      </x:c>
      <x:c r="T85" s="42" t="str">
        <x:v>Yes</x:v>
      </x:c>
      <x:c r="U85" s="42" t="str"/>
      <x:c r="V85" s="42" t="str"/>
      <x:c r="W85" s="42" t="str">
        <x:v>Not Assessed</x:v>
      </x:c>
      <x:c r="X85" s="44" t="n">
        <x:v>0</x:v>
      </x:c>
      <x:c r="Y85" s="44" t="n">
        <x:v>3</x:v>
      </x:c>
      <x:c r="Z85" s="42" t="str">
        <x:v>Not Provided</x:v>
      </x:c>
      <x:c r="AA85" s="42" t="str"/>
      <x:c r="AB85" s="42" t="str">
        <x:v>Not Tested</x:v>
      </x:c>
      <x:c r="AC85" s="46" t="str"/>
      <x:c r="AD85" s="42" t="str"/>
      <x:c r="AE85" s="42" t="str">
        <x:v>Not Assessed</x:v>
      </x:c>
      <x:c r="AF85" s="42" t="n">
        <x:f>IF($T85="No","",MAX(0,$Y85-$X85))</x:f>
        <x:v>3</x:v>
      </x:c>
      <x:c r="AG85" s="42" t="str">
        <x:f>IF($T85="No","Not Applicable",IF($X85&gt;=$C85,"Meets CSA Level","Gap to CSA Level"))</x:f>
        <x:v>Gap to CSA Level</x:v>
      </x:c>
      <x:c r="AH85" s="42" t="str">
        <x:f>IF($T85="No","Not Applicable",IF($J85="","Not Mapped",IF(AND(OR($W85="Implemented",$W85="Optimized"),$Z85="Validated",$AB85="Pass"),"Compliant",IF(AND(OR($W85="Partially Implemented",$W85="Implemented",$W85="Optimized"),OR($Z85="Reviewed",$Z85="Validated"),OR($AB85="Pass with Exceptions",$AB85="Pass")),"Partially Compliant","Not Compliant"))))</x:f>
        <x:v>Not Compliant</x:v>
      </x:c>
      <x:c r="AI85" s="42" t="str">
        <x:f>IF($T85="No","Not Applicable",IF($M85="","Not Mapped",IF(AND(OR($W85="Implemented",$W85="Optimized"),$Z85="Validated",$AB85="Pass"),"Compliant",IF(AND(OR($W85="Partially Implemented",$W85="Implemented",$W85="Optimized"),OR($Z85="Reviewed",$Z85="Validated"),OR($AB85="Pass with Exceptions",$AB85="Pass")),"Partially Compliant","Not Compliant"))))</x:f>
        <x:v>Not Compliant</x:v>
      </x:c>
      <x:c r="AJ85" s="42" t="str">
        <x:f>IF($T85="No","Not Applicable",IF(AND($AG85="Meets CSA Level",$AH85="Compliant",$AI85="Compliant"),"CSA AISMM; NIST AI RMF; ISO/IEC 42001",IF(AND($AG85="Meets CSA Level",$AH85="Compliant"),"CSA AISMM; NIST AI RMF",IF(AND($AG85="Meets CSA Level",$AI85="Compliant"),"CSA AISMM; ISO/IEC 42001",IF(AND($AH85="Compliant",$AI85="Compliant"),"NIST AI RMF; ISO/IEC 42001",IF($AG85="Meets CSA Level","CSA AISMM",IF($AH85="Compliant","NIST AI RMF",IF($AI85="Compliant","ISO/IEC 42001","No mapped framework fully compliant"))))))))</x:f>
        <x:v>No mapped framework fully compliant</x:v>
      </x:c>
      <x:c r="AK85" s="42" t="str"/>
      <x:c r="AL85" s="46" t="str"/>
      <x:c r="AM85" s="42" t="str"/>
      <x:c r="AN85" s="42" t="str">
        <x:v>CSA AISMM uploaded workbook; NIST AI RMF Playbook uploaded workbook; ISO/IEC 42001 checklist uploaded PDF; official CSA/NIST/ISO web sources listed on Sources sheet</x:v>
      </x:c>
    </x:row>
    <x:row r="86" ht="90" customHeight="1">
      <x:c r="A86" s="42" t="str">
        <x:v>Risk Assessment</x:v>
      </x:c>
      <x:c r="B86" s="42" t="str">
        <x:v>RSK-03.3</x:v>
      </x:c>
      <x:c r="C86" s="42" t="n">
        <x:v>3</x:v>
      </x:c>
      <x:c r="D86" s="42" t="str">
        <x:v>RSK</x:v>
      </x:c>
      <x:c r="E86" s="42" t="str">
        <x:v>Open and Third-party model risk evaluation before adoption</x:v>
      </x:c>
      <x:c r="F86" s="42" t="str">
        <x:v>Open-source and third-party models reach production only after a documented evaluation of provenance, license, publisher trust, and known security findings, signed by a named approver and linked to the model's entry in the approved model registry.</x:v>
      </x:c>
      <x:c r="G86" s="42" t="str">
        <x:v>Manual</x:v>
      </x:c>
      <x:c r="H86" s="42" t="str">
        <x:v>Self-hosted, PaaS where customer-brought open models are supported (Bedrock Marketplace, Azure AI Foundry model catalog, Vertex AI Model Garden)</x:v>
      </x:c>
      <x:c r="I86" s="42" t="str">
        <x:v>GRC-02 (AI risk management program), STA-15 (supply chain data security assessment — open-model source), MDS-12 (open model risk assessment — cross-reference to MOD inventory)</x:v>
      </x:c>
      <x:c r="J86" s="42" t="str">
        <x:v>MAP 4</x:v>
      </x:c>
      <x:c r="K86" s="42" t="str">
        <x:v>MAP 4: Parent AI RMF category/function referenced; use associated subcategory rows for testable control language.</x:v>
      </x:c>
      <x:c r="L86" s="42" t="str">
        <x:v>Direct from AISMM external reference</x:v>
      </x:c>
      <x:c r="M86" s="42" t="str">
        <x:v>Annex A.4; Annex A.6; Annex A.7; Annex A.8; Annex A.10</x:v>
      </x:c>
      <x:c r="N86" s="42" t="str">
        <x:v>Annex A.4 – Resources for AI systems: Maintain a register of AI resources including data, tools, systems, people, tooling, compute resources, and relevant operational/environmental impacts. Annex A.6 – AI system life cycle: Define responsible development objectives, specify verification and validation, maintain technical documentation, and record/maintain event logs during system use. Annex A.7 – Data for AI systems: Maintain documented AI data management, identify sources and provenance, record intended use, define data quality requirements, and document/justify preparation methods. Annex A.8 – Information for interested parties: Provide necessary documentation to users and interested parties; define incident reporting/escalation, incident communication, and stakeholder information requirements. Annex A.10 – Third-party and customer relationships: Define lifecycle responsibilities with third parties, manage AI suppliers, capture customer expectations, and review third-party roles through ongoing governance.</x:v>
      </x:c>
      <x:c r="O86" s="42" t="str">
        <x:v>Derived by control theme/domain</x:v>
      </x:c>
      <x:c r="P86" s="42" t="str">
        <x:v>Tie provider/model/library onboarding to supplier risk, licensing, model/data provenance, and AI-BOM/SBOM records.</x:v>
      </x:c>
      <x:c r="Q86" s="42" t="str">
        <x:v>NIST AI RMF Map-4; OWASP LLM03:2025 Supply Chain; Hugging Face model cards and provider transparency documentation</x:v>
      </x:c>
      <x:c r="R86" s="42" t="str">
        <x:v>AI risk assessment methodology; AI impact assessment template; model/use-case risk ratings; treatment plans; risk acceptance approvals; residual risk logs; risk register extracts.</x:v>
      </x:c>
      <x:c r="S86" s="42" t="str">
        <x:v>Reperform a sample risk assessment; verify impact assessment completion; trace risks to treatment decisions and approvals; confirm residual risk is accepted by the right authority.</x:v>
      </x:c>
      <x:c r="T86" s="42" t="str">
        <x:v>Yes</x:v>
      </x:c>
      <x:c r="U86" s="42" t="str"/>
      <x:c r="V86" s="42" t="str"/>
      <x:c r="W86" s="42" t="str">
        <x:v>Not Assessed</x:v>
      </x:c>
      <x:c r="X86" s="44" t="n">
        <x:v>0</x:v>
      </x:c>
      <x:c r="Y86" s="44" t="n">
        <x:v>3</x:v>
      </x:c>
      <x:c r="Z86" s="42" t="str">
        <x:v>Not Provided</x:v>
      </x:c>
      <x:c r="AA86" s="42" t="str"/>
      <x:c r="AB86" s="42" t="str">
        <x:v>Not Tested</x:v>
      </x:c>
      <x:c r="AC86" s="46" t="str"/>
      <x:c r="AD86" s="42" t="str"/>
      <x:c r="AE86" s="42" t="str">
        <x:v>Not Assessed</x:v>
      </x:c>
      <x:c r="AF86" s="42" t="n">
        <x:f>IF($T86="No","",MAX(0,$Y86-$X86))</x:f>
        <x:v>3</x:v>
      </x:c>
      <x:c r="AG86" s="42" t="str">
        <x:f>IF($T86="No","Not Applicable",IF($X86&gt;=$C86,"Meets CSA Level","Gap to CSA Level"))</x:f>
        <x:v>Gap to CSA Level</x:v>
      </x:c>
      <x:c r="AH86" s="42" t="str">
        <x:f>IF($T86="No","Not Applicable",IF($J86="","Not Mapped",IF(AND(OR($W86="Implemented",$W86="Optimized"),$Z86="Validated",$AB86="Pass"),"Compliant",IF(AND(OR($W86="Partially Implemented",$W86="Implemented",$W86="Optimized"),OR($Z86="Reviewed",$Z86="Validated"),OR($AB86="Pass with Exceptions",$AB86="Pass")),"Partially Compliant","Not Compliant"))))</x:f>
        <x:v>Not Compliant</x:v>
      </x:c>
      <x:c r="AI86" s="42" t="str">
        <x:f>IF($T86="No","Not Applicable",IF($M86="","Not Mapped",IF(AND(OR($W86="Implemented",$W86="Optimized"),$Z86="Validated",$AB86="Pass"),"Compliant",IF(AND(OR($W86="Partially Implemented",$W86="Implemented",$W86="Optimized"),OR($Z86="Reviewed",$Z86="Validated"),OR($AB86="Pass with Exceptions",$AB86="Pass")),"Partially Compliant","Not Compliant"))))</x:f>
        <x:v>Not Compliant</x:v>
      </x:c>
      <x:c r="AJ86" s="42" t="str">
        <x:f>IF($T86="No","Not Applicable",IF(AND($AG86="Meets CSA Level",$AH86="Compliant",$AI86="Compliant"),"CSA AISMM; NIST AI RMF; ISO/IEC 42001",IF(AND($AG86="Meets CSA Level",$AH86="Compliant"),"CSA AISMM; NIST AI RMF",IF(AND($AG86="Meets CSA Level",$AI86="Compliant"),"CSA AISMM; ISO/IEC 42001",IF(AND($AH86="Compliant",$AI86="Compliant"),"NIST AI RMF; ISO/IEC 42001",IF($AG86="Meets CSA Level","CSA AISMM",IF($AH86="Compliant","NIST AI RMF",IF($AI86="Compliant","ISO/IEC 42001","No mapped framework fully compliant"))))))))</x:f>
        <x:v>No mapped framework fully compliant</x:v>
      </x:c>
      <x:c r="AK86" s="42" t="str"/>
      <x:c r="AL86" s="46" t="str"/>
      <x:c r="AM86" s="42" t="str"/>
      <x:c r="AN86" s="42" t="str">
        <x:v>CSA AISMM uploaded workbook; NIST AI RMF Playbook uploaded workbook; ISO/IEC 42001 checklist uploaded PDF; official CSA/NIST/ISO web sources listed on Sources sheet</x:v>
      </x:c>
    </x:row>
    <x:row r="87" ht="90" customHeight="1">
      <x:c r="A87" s="42" t="str">
        <x:v>Risk Assessment</x:v>
      </x:c>
      <x:c r="B87" s="42" t="str">
        <x:v>RSK-04.1</x:v>
      </x:c>
      <x:c r="C87" s="42" t="n">
        <x:v>4</x:v>
      </x:c>
      <x:c r="D87" s="42" t="str">
        <x:v>RSK</x:v>
      </x:c>
      <x:c r="E87" s="42" t="str">
        <x:v>Provider change triggers reassessment within SLA</x:v>
      </x:c>
      <x:c r="F87" s="42" t="str">
        <x:v>A material change at an approved provider (new model release, ToS shift, security incident, deprecation, or ownership change) opens a reassessment item on a defined SLA, and the item closes with an updated assessment or recorded risk acceptance before the SLA expires.</x:v>
      </x:c>
      <x:c r="G87" s="42" t="str">
        <x:v>Either</x:v>
      </x:c>
      <x:c r="H87" s="42" t="str">
        <x:v>All</x:v>
      </x:c>
      <x:c r="I87" s="42" t="str">
        <x:v>STA-09 (supply chain risk management), STA-11 (supply chain agreement review on significant change), MDS-10 (continuous monitoring — provider-change detection cross-reference)</x:v>
      </x:c>
      <x:c r="J87" s="42" t="str">
        <x:v>MANAGE 4.1; MANAGE 4</x:v>
      </x:c>
      <x:c r="K87" s="42" t="str">
        <x:v>MANAGE 4.1: - Establish and maintain procedures to monitor AI system performance for risks and negative and positive impacts associated with trustworthiness characteristics. - Perform post-deployment TEVV tasks to evaluate AI system validity and reliability, bias and fairness, privacy, and security and resilience. - Evaluate AI system trustworthiness in conditions similar to deployment context of use, and prior to deployment. - Establish and implement red-teaming exercises at a prescribed cadence, and evaluate their efficacy. - Establish procedures for tracking dataset modifications such as data deletion or rectification requests. - Establish mechanisms for regular communication and feedback between relevant AI actors and internal or external stakeholders to capture information about system performance, trustworthiness and impact.…</x:v>
      </x:c>
      <x:c r="L87" s="42" t="str">
        <x:v>Direct from AISMM external reference</x:v>
      </x:c>
      <x:c r="M87" s="42" t="str">
        <x:v>Annex A.6; Annex A.8; Annex A.10</x:v>
      </x:c>
      <x:c r="N87" s="42" t="str">
        <x:v>Annex A.6 – AI system life cycle: Define responsible development objectives, specify verification and validation, maintain technical documentation, and record/maintain event logs during system use. Annex A.8 – Information for interested parties: Provide necessary documentation to users and interested parties; define incident reporting/escalation, incident communication, and stakeholder information requirements. Annex A.10 – Third-party and customer relationships: Define lifecycle responsibilities with third parties, manage AI suppliers, capture customer expectations, and review third-party roles through ongoing governance.</x:v>
      </x:c>
      <x:c r="O87" s="42" t="str">
        <x:v>Derived by control theme/domain</x:v>
      </x:c>
      <x:c r="P87" s="42" t="str">
        <x:v>Tie provider/model/library onboarding to supplier risk, licensing, model/data provenance, and AI-BOM/SBOM records.</x:v>
      </x:c>
      <x:c r="Q87" s="42" t="str">
        <x:v>NIST AI RMF Manage-4.1; OWASP LLM03:2025 Supply Chain</x:v>
      </x:c>
      <x:c r="R87" s="42" t="str">
        <x:v>AI risk assessment methodology; AI impact assessment template; model/use-case risk ratings; treatment plans; risk acceptance approvals; residual risk logs; risk register extracts.</x:v>
      </x:c>
      <x:c r="S87" s="42" t="str">
        <x:v>Reperform a sample risk assessment; verify impact assessment completion; trace risks to treatment decisions and approvals; confirm residual risk is accepted by the right authority.</x:v>
      </x:c>
      <x:c r="T87" s="42" t="str">
        <x:v>Yes</x:v>
      </x:c>
      <x:c r="U87" s="42" t="str"/>
      <x:c r="V87" s="42" t="str"/>
      <x:c r="W87" s="42" t="str">
        <x:v>Not Assessed</x:v>
      </x:c>
      <x:c r="X87" s="44" t="n">
        <x:v>0</x:v>
      </x:c>
      <x:c r="Y87" s="44" t="n">
        <x:v>4</x:v>
      </x:c>
      <x:c r="Z87" s="42" t="str">
        <x:v>Not Provided</x:v>
      </x:c>
      <x:c r="AA87" s="42" t="str"/>
      <x:c r="AB87" s="42" t="str">
        <x:v>Not Tested</x:v>
      </x:c>
      <x:c r="AC87" s="46" t="str"/>
      <x:c r="AD87" s="42" t="str"/>
      <x:c r="AE87" s="42" t="str">
        <x:v>Not Assessed</x:v>
      </x:c>
      <x:c r="AF87" s="42" t="n">
        <x:f>IF($T87="No","",MAX(0,$Y87-$X87))</x:f>
        <x:v>4</x:v>
      </x:c>
      <x:c r="AG87" s="42" t="str">
        <x:f>IF($T87="No","Not Applicable",IF($X87&gt;=$C87,"Meets CSA Level","Gap to CSA Level"))</x:f>
        <x:v>Gap to CSA Level</x:v>
      </x:c>
      <x:c r="AH87" s="42" t="str">
        <x:f>IF($T87="No","Not Applicable",IF($J87="","Not Mapped",IF(AND(OR($W87="Implemented",$W87="Optimized"),$Z87="Validated",$AB87="Pass"),"Compliant",IF(AND(OR($W87="Partially Implemented",$W87="Implemented",$W87="Optimized"),OR($Z87="Reviewed",$Z87="Validated"),OR($AB87="Pass with Exceptions",$AB87="Pass")),"Partially Compliant","Not Compliant"))))</x:f>
        <x:v>Not Compliant</x:v>
      </x:c>
      <x:c r="AI87" s="42" t="str">
        <x:f>IF($T87="No","Not Applicable",IF($M87="","Not Mapped",IF(AND(OR($W87="Implemented",$W87="Optimized"),$Z87="Validated",$AB87="Pass"),"Compliant",IF(AND(OR($W87="Partially Implemented",$W87="Implemented",$W87="Optimized"),OR($Z87="Reviewed",$Z87="Validated"),OR($AB87="Pass with Exceptions",$AB87="Pass")),"Partially Compliant","Not Compliant"))))</x:f>
        <x:v>Not Compliant</x:v>
      </x:c>
      <x:c r="AJ87" s="42" t="str">
        <x:f>IF($T87="No","Not Applicable",IF(AND($AG87="Meets CSA Level",$AH87="Compliant",$AI87="Compliant"),"CSA AISMM; NIST AI RMF; ISO/IEC 42001",IF(AND($AG87="Meets CSA Level",$AH87="Compliant"),"CSA AISMM; NIST AI RMF",IF(AND($AG87="Meets CSA Level",$AI87="Compliant"),"CSA AISMM; ISO/IEC 42001",IF(AND($AH87="Compliant",$AI87="Compliant"),"NIST AI RMF; ISO/IEC 42001",IF($AG87="Meets CSA Level","CSA AISMM",IF($AH87="Compliant","NIST AI RMF",IF($AI87="Compliant","ISO/IEC 42001","No mapped framework fully compliant"))))))))</x:f>
        <x:v>No mapped framework fully compliant</x:v>
      </x:c>
      <x:c r="AK87" s="42" t="str"/>
      <x:c r="AL87" s="46" t="str"/>
      <x:c r="AM87" s="42" t="str"/>
      <x:c r="AN87" s="42" t="str">
        <x:v>CSA AISMM uploaded workbook; NIST AI RMF Playbook uploaded workbook; ISO/IEC 42001 checklist uploaded PDF; official CSA/NIST/ISO web sources listed on Sources sheet</x:v>
      </x:c>
    </x:row>
    <x:row r="88" ht="90" customHeight="1">
      <x:c r="A88" s="42" t="str">
        <x:v>Risk Assessment</x:v>
      </x:c>
      <x:c r="B88" s="42" t="str">
        <x:v>RSK-04.2</x:v>
      </x:c>
      <x:c r="C88" s="42" t="n">
        <x:v>4</x:v>
      </x:c>
      <x:c r="D88" s="42" t="str">
        <x:v>RSK</x:v>
      </x:c>
      <x:c r="E88" s="42" t="str">
        <x:v>AI risk rating lands in the enterprise application risk registry</x:v>
      </x:c>
      <x:c r="F88" s="42" t="str">
        <x:v>AI risk shows up as a dimension of application risk in the same enterprise registry that holds non-AI applications, on the same rating scale, and the registry data drives prioritization and treatment decisions.</x:v>
      </x:c>
      <x:c r="G88" s="42" t="str">
        <x:v>Either</x:v>
      </x:c>
      <x:c r="H88" s="42" t="str">
        <x:v>All</x:v>
      </x:c>
      <x:c r="I88" s="42" t="str">
        <x:v>GRC-02 (AI risk management program), GRC-10 (AI impact assessment), STA-08 (supply chain inventory cross-reference)</x:v>
      </x:c>
      <x:c r="J88" s="42" t="str">
        <x:v>MANAGE 1</x:v>
      </x:c>
      <x:c r="K88" s="42" t="str">
        <x:v>MANAGE 1: Parent AI RMF category/function referenced; use associated subcategory rows for testable control language.</x:v>
      </x:c>
      <x:c r="L88" s="42" t="str">
        <x:v>Direct from AISMM external reference</x:v>
      </x:c>
      <x:c r="M88" s="42" t="str">
        <x:v>Annex A.4; Annex A.6; Annex A.7</x:v>
      </x:c>
      <x:c r="N88" s="42" t="str">
        <x:v>Annex A.4 – Resources for AI systems: Maintain a register of AI resources including data, tools, systems, people, tooling, compute resources, and relevant operational/environmental impacts. Annex A.6 – AI system life cycle: Define responsible development objectives, specify verification and validation, maintain technical documentation, and record/maintain event logs during system use. Annex A.7 – Data for AI systems: Maintain documented AI data management, identify sources and provenance, record intended use, define data quality requirements, and document/justify preparation methods.</x:v>
      </x:c>
      <x:c r="O88" s="42" t="str">
        <x:v>Direct from AISMM external reference</x:v>
      </x:c>
      <x:c r="P88" s="42" t="str">
        <x:v>Maintain authoritative AI inventory; link assets to owners, use cases, providers, data classes, and risk tiers.</x:v>
      </x:c>
      <x:c r="Q88" s="42" t="str">
        <x:v>NIST AI RMF Manage-1; ISO/IEC 42001</x:v>
      </x:c>
      <x:c r="R88" s="42" t="str">
        <x:v>AI risk assessment methodology; AI impact assessment template; model/use-case risk ratings; treatment plans; risk acceptance approvals; residual risk logs; risk register extracts.</x:v>
      </x:c>
      <x:c r="S88" s="42" t="str">
        <x:v>Reperform a sample risk assessment; verify impact assessment completion; trace risks to treatment decisions and approvals; confirm residual risk is accepted by the right authority.</x:v>
      </x:c>
      <x:c r="T88" s="42" t="str">
        <x:v>Yes</x:v>
      </x:c>
      <x:c r="U88" s="42" t="str"/>
      <x:c r="V88" s="42" t="str"/>
      <x:c r="W88" s="42" t="str">
        <x:v>Not Assessed</x:v>
      </x:c>
      <x:c r="X88" s="44" t="n">
        <x:v>0</x:v>
      </x:c>
      <x:c r="Y88" s="44" t="n">
        <x:v>4</x:v>
      </x:c>
      <x:c r="Z88" s="42" t="str">
        <x:v>Not Provided</x:v>
      </x:c>
      <x:c r="AA88" s="42" t="str"/>
      <x:c r="AB88" s="42" t="str">
        <x:v>Not Tested</x:v>
      </x:c>
      <x:c r="AC88" s="46" t="str"/>
      <x:c r="AD88" s="42" t="str"/>
      <x:c r="AE88" s="42" t="str">
        <x:v>Not Assessed</x:v>
      </x:c>
      <x:c r="AF88" s="42" t="n">
        <x:f>IF($T88="No","",MAX(0,$Y88-$X88))</x:f>
        <x:v>4</x:v>
      </x:c>
      <x:c r="AG88" s="42" t="str">
        <x:f>IF($T88="No","Not Applicable",IF($X88&gt;=$C88,"Meets CSA Level","Gap to CSA Level"))</x:f>
        <x:v>Gap to CSA Level</x:v>
      </x:c>
      <x:c r="AH88" s="42" t="str">
        <x:f>IF($T88="No","Not Applicable",IF($J88="","Not Mapped",IF(AND(OR($W88="Implemented",$W88="Optimized"),$Z88="Validated",$AB88="Pass"),"Compliant",IF(AND(OR($W88="Partially Implemented",$W88="Implemented",$W88="Optimized"),OR($Z88="Reviewed",$Z88="Validated"),OR($AB88="Pass with Exceptions",$AB88="Pass")),"Partially Compliant","Not Compliant"))))</x:f>
        <x:v>Not Compliant</x:v>
      </x:c>
      <x:c r="AI88" s="42" t="str">
        <x:f>IF($T88="No","Not Applicable",IF($M88="","Not Mapped",IF(AND(OR($W88="Implemented",$W88="Optimized"),$Z88="Validated",$AB88="Pass"),"Compliant",IF(AND(OR($W88="Partially Implemented",$W88="Implemented",$W88="Optimized"),OR($Z88="Reviewed",$Z88="Validated"),OR($AB88="Pass with Exceptions",$AB88="Pass")),"Partially Compliant","Not Compliant"))))</x:f>
        <x:v>Not Compliant</x:v>
      </x:c>
      <x:c r="AJ88" s="42" t="str">
        <x:f>IF($T88="No","Not Applicable",IF(AND($AG88="Meets CSA Level",$AH88="Compliant",$AI88="Compliant"),"CSA AISMM; NIST AI RMF; ISO/IEC 42001",IF(AND($AG88="Meets CSA Level",$AH88="Compliant"),"CSA AISMM; NIST AI RMF",IF(AND($AG88="Meets CSA Level",$AI88="Compliant"),"CSA AISMM; ISO/IEC 42001",IF(AND($AH88="Compliant",$AI88="Compliant"),"NIST AI RMF; ISO/IEC 42001",IF($AG88="Meets CSA Level","CSA AISMM",IF($AH88="Compliant","NIST AI RMF",IF($AI88="Compliant","ISO/IEC 42001","No mapped framework fully compliant"))))))))</x:f>
        <x:v>No mapped framework fully compliant</x:v>
      </x:c>
      <x:c r="AK88" s="42" t="str"/>
      <x:c r="AL88" s="46" t="str"/>
      <x:c r="AM88" s="42" t="str"/>
      <x:c r="AN88" s="42" t="str">
        <x:v>CSA AISMM uploaded workbook; NIST AI RMF Playbook uploaded workbook; ISO/IEC 42001 checklist uploaded PDF; official CSA/NIST/ISO web sources listed on Sources sheet</x:v>
      </x:c>
    </x:row>
    <x:row r="89" ht="90" customHeight="1">
      <x:c r="A89" s="42" t="str">
        <x:v>Risk Assessment</x:v>
      </x:c>
      <x:c r="B89" s="42" t="str">
        <x:v>RSK-04.3</x:v>
      </x:c>
      <x:c r="C89" s="42" t="n">
        <x:v>4</x:v>
      </x:c>
      <x:c r="D89" s="42" t="str">
        <x:v>RSK</x:v>
      </x:c>
      <x:c r="E89" s="42" t="str">
        <x:v>Treatment plan or risk acceptance recorded for high and medium findings</x:v>
      </x:c>
      <x:c r="F89" s="42" t="str">
        <x:v>Critical, High and Medium AI risk findings land a documented outcome (a treatment plan with a named owner and target date, or a time-bounded risk acceptance with a named approver), and a quarterly risk forum works the register so aging items, expired acceptances, and overdue actions surface for action.</x:v>
      </x:c>
      <x:c r="G89" s="42" t="str">
        <x:v>Manual</x:v>
      </x:c>
      <x:c r="H89" s="42" t="str">
        <x:v>All</x:v>
      </x:c>
      <x:c r="I89" s="42" t="str">
        <x:v>GRC-02 (AI risk management program), GRC-10 (AI impact assessment), STA-09 (supply chain risk management — treatment)</x:v>
      </x:c>
      <x:c r="J89" s="42" t="str">
        <x:v>MAP 1.1; MAP 3.4; MEASURE 1.1; MEASURE 2.1; MANAGE 1.2</x:v>
      </x:c>
      <x:c r="K89" s="42" t="str">
        <x:v>MAP 1.1: - Maintain awareness of industry, technical, and applicable legal standards. - Examine trustworthiness of AI system design and consider, non-AI solutions - Consider intended AI system design tasks along with unanticipated purposes in collaboration with human factors and socio-technical domain experts. - Define and document the task, purpose, minimum functionality, and benefits of the AI system to inform considerations about whether the utility of the project or its lack of. - Identify whether there are non-AI or non-technology alternatives that will lead to more trustworthy outcomes. - Examine how changes in system performance affect downstream events such as decision-making (e.g: changes in an AI model objective function create what types of impacts in how many candidates do/do not get a job interview).… MAP 3.4: - Identify and declare AI system features and capabilities that may affect downstream AI actors’ decision-making in deployment and operational settings for example how system features and capabilities may activate known risks in various human-AI configurations, such as selective adherence. - Identify skills and proficiency requirements for operators, practitioners and other domain experts that interact with AI systems,Develop AI system operational documentation for AI actors in deployed and operational environments, including information about known risks, mitigation criteria, and trustworthy characteristics enumerated in Map-1. - Define and develop training materials for proposed end users, practitioners and operators about AI system use and known limitations.… MEASURE 1.1: - Establish approaches for detecting, tracking and measuring known risks, errors, incidents or negative impacts. - Identify testing procedures and metrics to demonstrate whether or not the system is fit for purpose and functioning as claimed. - Identify testing procedures and metrics to demonstrate AI system trustworthiness - Define acceptable limits for system performance (e.g. distribution of errors), and include course correction suggestions if/when the system performs beyond acceptable limits. - Define metrics for, and regularly assess, AI actor competency for effective system operation, - Identify transparency metrics to assess whether stakeholders have access to necessary information about system design, development, deployment, use, and evaluation.… MEASURE 2.1: - Leverage existing industry best practices for transparency and documentation of all possible aspects of measurements. Examples include: data sheet for data sets, model cards - Regularly assess the effectiveness of tools used to document measurement approaches, test sets, metrics, processes and materials used - Update the tools as needed MANAGE 1.2: - Assign risk management resources relative to established risk tolerance. AI systems with lower risk tolerances receive greater oversight, mitigation and management resources.…</x:v>
      </x:c>
      <x:c r="L89" s="42" t="str">
        <x:v>Derived by CSA domain/theme</x:v>
      </x:c>
      <x:c r="M89" s="42" t="str">
        <x:v>Clause 6; Annex A.5; Annex A.10</x:v>
      </x:c>
      <x:c r="N89" s="42" t="str">
        <x:v>Clause 6 – Planning: Determine actions for AI risks and opportunities; maintain AI risk assessment, risk treatment, and AI system impact assessment processes; establish AI objectives and plans. Annex A.5 – Assessing impacts of AI systems: Perform documented, repeatable impact assessments on individuals, groups, or society; update after significant changes; feed findings into design, controls, and stakeholder communication. Annex A.10 – Third-party and customer relationships: Define lifecycle responsibilities with third parties, manage AI suppliers, capture customer expectations, and review third-party roles through ongoing governance.</x:v>
      </x:c>
      <x:c r="O89" s="42" t="str">
        <x:v>Derived by CSA domain/theme</x:v>
      </x:c>
      <x:c r="P89" s="42" t="str">
        <x:v>Use this row as a control objective to assess current state, define target maturity, collect evidence, and remediate gaps.</x:v>
      </x:c>
      <x:c r="Q89" s="42" t="str">
        <x:v>NIST AI RMF Manage; ISO/IEC 23894 (AI risk treatment)</x:v>
      </x:c>
      <x:c r="R89" s="42" t="str">
        <x:v>AI risk assessment methodology; AI impact assessment template; model/use-case risk ratings; treatment plans; risk acceptance approvals; residual risk logs; risk register extracts.</x:v>
      </x:c>
      <x:c r="S89" s="42" t="str">
        <x:v>Reperform a sample risk assessment; verify impact assessment completion; trace risks to treatment decisions and approvals; confirm residual risk is accepted by the right authority.</x:v>
      </x:c>
      <x:c r="T89" s="42" t="str">
        <x:v>Yes</x:v>
      </x:c>
      <x:c r="U89" s="42" t="str"/>
      <x:c r="V89" s="42" t="str"/>
      <x:c r="W89" s="42" t="str">
        <x:v>Not Assessed</x:v>
      </x:c>
      <x:c r="X89" s="44" t="n">
        <x:v>0</x:v>
      </x:c>
      <x:c r="Y89" s="44" t="n">
        <x:v>4</x:v>
      </x:c>
      <x:c r="Z89" s="42" t="str">
        <x:v>Not Provided</x:v>
      </x:c>
      <x:c r="AA89" s="42" t="str"/>
      <x:c r="AB89" s="42" t="str">
        <x:v>Not Tested</x:v>
      </x:c>
      <x:c r="AC89" s="46" t="str"/>
      <x:c r="AD89" s="42" t="str"/>
      <x:c r="AE89" s="42" t="str">
        <x:v>Not Assessed</x:v>
      </x:c>
      <x:c r="AF89" s="42" t="n">
        <x:f>IF($T89="No","",MAX(0,$Y89-$X89))</x:f>
        <x:v>4</x:v>
      </x:c>
      <x:c r="AG89" s="42" t="str">
        <x:f>IF($T89="No","Not Applicable",IF($X89&gt;=$C89,"Meets CSA Level","Gap to CSA Level"))</x:f>
        <x:v>Gap to CSA Level</x:v>
      </x:c>
      <x:c r="AH89" s="42" t="str">
        <x:f>IF($T89="No","Not Applicable",IF($J89="","Not Mapped",IF(AND(OR($W89="Implemented",$W89="Optimized"),$Z89="Validated",$AB89="Pass"),"Compliant",IF(AND(OR($W89="Partially Implemented",$W89="Implemented",$W89="Optimized"),OR($Z89="Reviewed",$Z89="Validated"),OR($AB89="Pass with Exceptions",$AB89="Pass")),"Partially Compliant","Not Compliant"))))</x:f>
        <x:v>Not Compliant</x:v>
      </x:c>
      <x:c r="AI89" s="42" t="str">
        <x:f>IF($T89="No","Not Applicable",IF($M89="","Not Mapped",IF(AND(OR($W89="Implemented",$W89="Optimized"),$Z89="Validated",$AB89="Pass"),"Compliant",IF(AND(OR($W89="Partially Implemented",$W89="Implemented",$W89="Optimized"),OR($Z89="Reviewed",$Z89="Validated"),OR($AB89="Pass with Exceptions",$AB89="Pass")),"Partially Compliant","Not Compliant"))))</x:f>
        <x:v>Not Compliant</x:v>
      </x:c>
      <x:c r="AJ89" s="42" t="str">
        <x:f>IF($T89="No","Not Applicable",IF(AND($AG89="Meets CSA Level",$AH89="Compliant",$AI89="Compliant"),"CSA AISMM; NIST AI RMF; ISO/IEC 42001",IF(AND($AG89="Meets CSA Level",$AH89="Compliant"),"CSA AISMM; NIST AI RMF",IF(AND($AG89="Meets CSA Level",$AI89="Compliant"),"CSA AISMM; ISO/IEC 42001",IF(AND($AH89="Compliant",$AI89="Compliant"),"NIST AI RMF; ISO/IEC 42001",IF($AG89="Meets CSA Level","CSA AISMM",IF($AH89="Compliant","NIST AI RMF",IF($AI89="Compliant","ISO/IEC 42001","No mapped framework fully compliant"))))))))</x:f>
        <x:v>No mapped framework fully compliant</x:v>
      </x:c>
      <x:c r="AK89" s="42" t="str"/>
      <x:c r="AL89" s="46" t="str"/>
      <x:c r="AM89" s="42" t="str"/>
      <x:c r="AN89" s="42" t="str">
        <x:v>CSA AISMM uploaded workbook; NIST AI RMF Playbook uploaded workbook; ISO/IEC 42001 checklist uploaded PDF; official CSA/NIST/ISO web sources listed on Sources sheet</x:v>
      </x:c>
    </x:row>
    <x:row r="90" ht="90" customHeight="1">
      <x:c r="A90" s="42" t="str">
        <x:v>Risk Assessment</x:v>
      </x:c>
      <x:c r="B90" s="42" t="str">
        <x:v>RSK-05.1</x:v>
      </x:c>
      <x:c r="C90" s="42" t="n">
        <x:v>5</x:v>
      </x:c>
      <x:c r="D90" s="42" t="str">
        <x:v>RSK</x:v>
      </x:c>
      <x:c r="E90" s="42" t="str">
        <x:v>Automated AI discovery feeds the risk process with reconciliation</x:v>
      </x:c>
      <x:c r="F90" s="42" t="str">
        <x:v>CSPM/CNAPP, SaaS security tooling, and AI-SPM if available reconcile weekly against the provider and application risk registries, and a newly-discovered AI service is added with a risk rating (pulled automatically from tooling or the CSA STAR registry), attributed to an existing entry, or documented as a false positive within a defined SLA.</x:v>
      </x:c>
      <x:c r="G90" s="42" t="str">
        <x:v>Automated</x:v>
      </x:c>
      <x:c r="H90" s="42" t="str">
        <x:v>All</x:v>
      </x:c>
      <x:c r="I90" s="42" t="str">
        <x:v>STA-08 (supply chain inventory), GRC-02 (AI risk management program), STA-15 (supply chain data security assessment — discovery-triggered)</x:v>
      </x:c>
      <x:c r="J90" s="42" t="str">
        <x:v>GOVERN 1.6; GOVERN 1</x:v>
      </x:c>
      <x:c r="K90" s="42" t="str">
        <x:v>GOVERN 1.6: - Establish policies that define the creation and maintenance of AI system inventories. - Establish policies that define a specific individual or team that is responsible for maintaining the inventory. - Establish policies that define which models or systems are inventoried, with preference to inventorying all models or systems, or minimally, to high risk models or systems, or systems deployed in high-stakes settings. - Establish policies that define model or system attributes to be inventoried, e.g, documentation, links to source code, incident response plans, data dictionaries, AI actor contact information.</x:v>
      </x:c>
      <x:c r="L90" s="42" t="str">
        <x:v>Direct from AISMM external reference</x:v>
      </x:c>
      <x:c r="M90" s="42" t="str">
        <x:v>Annex A.4; Annex A.6; Annex A.9; Annex A.10</x:v>
      </x:c>
      <x:c r="N90" s="42" t="str">
        <x:v>Annex A.4 – Resources for AI systems: Maintain a register of AI resources including data, tools, systems, people, tooling, compute resources, and relevant operational/environmental impacts. Annex A.6 – AI system life cycle: Define responsible development objectives, specify verification and validation, maintain technical documentation, and record/maintain event logs during system use. Annex A.9 – Use of AI systems: Define responsible AI use processes, ethical/appropriate-use objectives, intended-purpose usage boundaries, and monitoring/remediation for misuse or unintended consequences. Annex A.10 – Third-party and customer relationships: Define lifecycle responsibilities with third parties, manage AI suppliers, capture customer expectations, and review third-party roles through ongoing governance.</x:v>
      </x:c>
      <x:c r="O90" s="42" t="str">
        <x:v>Derived by control theme/domain</x:v>
      </x:c>
      <x:c r="P90" s="42" t="str">
        <x:v>Use this row as a control objective to assess current state, define target maturity, collect evidence, and remediate gaps.</x:v>
      </x:c>
      <x:c r="Q90" s="42" t="str">
        <x:v>CSA Guidance on AI-SPM; NIST AI RMF Govern-1.6</x:v>
      </x:c>
      <x:c r="R90" s="42" t="str">
        <x:v>AI risk assessment methodology; AI impact assessment template; model/use-case risk ratings; treatment plans; risk acceptance approvals; residual risk logs; risk register extracts.</x:v>
      </x:c>
      <x:c r="S90" s="42" t="str">
        <x:v>Reperform a sample risk assessment; verify impact assessment completion; trace risks to treatment decisions and approvals; confirm residual risk is accepted by the right authority.</x:v>
      </x:c>
      <x:c r="T90" s="42" t="str">
        <x:v>Yes</x:v>
      </x:c>
      <x:c r="U90" s="42" t="str"/>
      <x:c r="V90" s="42" t="str"/>
      <x:c r="W90" s="42" t="str">
        <x:v>Not Assessed</x:v>
      </x:c>
      <x:c r="X90" s="44" t="n">
        <x:v>0</x:v>
      </x:c>
      <x:c r="Y90" s="44" t="n">
        <x:v>5</x:v>
      </x:c>
      <x:c r="Z90" s="42" t="str">
        <x:v>Not Provided</x:v>
      </x:c>
      <x:c r="AA90" s="42" t="str"/>
      <x:c r="AB90" s="42" t="str">
        <x:v>Not Tested</x:v>
      </x:c>
      <x:c r="AC90" s="46" t="str"/>
      <x:c r="AD90" s="42" t="str"/>
      <x:c r="AE90" s="42" t="str">
        <x:v>Not Assessed</x:v>
      </x:c>
      <x:c r="AF90" s="42" t="n">
        <x:f>IF($T90="No","",MAX(0,$Y90-$X90))</x:f>
        <x:v>5</x:v>
      </x:c>
      <x:c r="AG90" s="42" t="str">
        <x:f>IF($T90="No","Not Applicable",IF($X90&gt;=$C90,"Meets CSA Level","Gap to CSA Level"))</x:f>
        <x:v>Gap to CSA Level</x:v>
      </x:c>
      <x:c r="AH90" s="42" t="str">
        <x:f>IF($T90="No","Not Applicable",IF($J90="","Not Mapped",IF(AND(OR($W90="Implemented",$W90="Optimized"),$Z90="Validated",$AB90="Pass"),"Compliant",IF(AND(OR($W90="Partially Implemented",$W90="Implemented",$W90="Optimized"),OR($Z90="Reviewed",$Z90="Validated"),OR($AB90="Pass with Exceptions",$AB90="Pass")),"Partially Compliant","Not Compliant"))))</x:f>
        <x:v>Not Compliant</x:v>
      </x:c>
      <x:c r="AI90" s="42" t="str">
        <x:f>IF($T90="No","Not Applicable",IF($M90="","Not Mapped",IF(AND(OR($W90="Implemented",$W90="Optimized"),$Z90="Validated",$AB90="Pass"),"Compliant",IF(AND(OR($W90="Partially Implemented",$W90="Implemented",$W90="Optimized"),OR($Z90="Reviewed",$Z90="Validated"),OR($AB90="Pass with Exceptions",$AB90="Pass")),"Partially Compliant","Not Compliant"))))</x:f>
        <x:v>Not Compliant</x:v>
      </x:c>
      <x:c r="AJ90" s="42" t="str">
        <x:f>IF($T90="No","Not Applicable",IF(AND($AG90="Meets CSA Level",$AH90="Compliant",$AI90="Compliant"),"CSA AISMM; NIST AI RMF; ISO/IEC 42001",IF(AND($AG90="Meets CSA Level",$AH90="Compliant"),"CSA AISMM; NIST AI RMF",IF(AND($AG90="Meets CSA Level",$AI90="Compliant"),"CSA AISMM; ISO/IEC 42001",IF(AND($AH90="Compliant",$AI90="Compliant"),"NIST AI RMF; ISO/IEC 42001",IF($AG90="Meets CSA Level","CSA AISMM",IF($AH90="Compliant","NIST AI RMF",IF($AI90="Compliant","ISO/IEC 42001","No mapped framework fully compliant"))))))))</x:f>
        <x:v>No mapped framework fully compliant</x:v>
      </x:c>
      <x:c r="AK90" s="42" t="str"/>
      <x:c r="AL90" s="46" t="str"/>
      <x:c r="AM90" s="42" t="str"/>
      <x:c r="AN90" s="42" t="str">
        <x:v>CSA AISMM uploaded workbook; NIST AI RMF Playbook uploaded workbook; ISO/IEC 42001 checklist uploaded PDF; official CSA/NIST/ISO web sources listed on Sources sheet</x:v>
      </x:c>
    </x:row>
    <x:row r="91" ht="90" customHeight="1">
      <x:c r="A91" s="42" t="str">
        <x:v>Risk Assessment</x:v>
      </x:c>
      <x:c r="B91" s="42" t="str">
        <x:v>RSK-05.2</x:v>
      </x:c>
      <x:c r="C91" s="42" t="n">
        <x:v>5</x:v>
      </x:c>
      <x:c r="D91" s="42" t="str">
        <x:v>RSK</x:v>
      </x:c>
      <x:c r="E91" s="42" t="str">
        <x:v>Rapid Frontier-release assessment with dashboarded risk aggregation</x:v>
      </x:c>
      <x:c r="F91" s="42" t="str">
        <x:v>A frontier-provider release (a new Claude, GPT, or Gemini generation, or a major service change at Bedrock, Azure OpenAI, or Vertex) drives an initial risk-posture update within days and a full reassessment within weeks, and the outcome lands on a live enterprise AI risk dashboard that executive or board risk forums review at least quarterly.</x:v>
      </x:c>
      <x:c r="G91" s="42" t="str">
        <x:v>Either</x:v>
      </x:c>
      <x:c r="H91" s="42" t="str">
        <x:v>All (primary weight on frontier PaaS and API/SaaS providers)</x:v>
      </x:c>
      <x:c r="I91" s="42" t="str">
        <x:v>STA-09 (supply chain risk management), GRC-02 (AI risk management program), MDS-10 (continuous monitoring — cross-reference for model-layer provider-change detection)</x:v>
      </x:c>
      <x:c r="J91" s="42" t="str">
        <x:v>MANAGE 4.1; MANAGE 4</x:v>
      </x:c>
      <x:c r="K91" s="42" t="str">
        <x:v>MANAGE 4.1: - Establish and maintain procedures to monitor AI system performance for risks and negative and positive impacts associated with trustworthiness characteristics. - Perform post-deployment TEVV tasks to evaluate AI system validity and reliability, bias and fairness, privacy, and security and resilience. - Evaluate AI system trustworthiness in conditions similar to deployment context of use, and prior to deployment. - Establish and implement red-teaming exercises at a prescribed cadence, and evaluate their efficacy. - Establish procedures for tracking dataset modifications such as data deletion or rectification requests. - Establish mechanisms for regular communication and feedback between relevant AI actors and internal or external stakeholders to capture information about system performance, trustworthiness and impact.…</x:v>
      </x:c>
      <x:c r="L91" s="42" t="str">
        <x:v>Direct from AISMM external reference</x:v>
      </x:c>
      <x:c r="M91" s="42" t="str">
        <x:v>Annex A.10</x:v>
      </x:c>
      <x:c r="N91" s="42" t="str">
        <x:v>Annex A.10 – Third-party and customer relationships: Define lifecycle responsibilities with third parties, manage AI suppliers, capture customer expectations, and review third-party roles through ongoing governance.</x:v>
      </x:c>
      <x:c r="O91" s="42" t="str">
        <x:v>Derived by control theme/domain</x:v>
      </x:c>
      <x:c r="P91" s="42" t="str">
        <x:v>Use this row as a control objective to assess current state, define target maturity, collect evidence, and remediate gaps.</x:v>
      </x:c>
      <x:c r="Q91" s="42" t="str">
        <x:v>NIST AI RMF Manage-4.1; OWASP LLM03:2025 Supply Chain</x:v>
      </x:c>
      <x:c r="R91" s="42" t="str">
        <x:v>AI risk assessment methodology; AI impact assessment template; model/use-case risk ratings; treatment plans; risk acceptance approvals; residual risk logs; risk register extracts.</x:v>
      </x:c>
      <x:c r="S91" s="42" t="str">
        <x:v>Reperform a sample risk assessment; verify impact assessment completion; trace risks to treatment decisions and approvals; confirm residual risk is accepted by the right authority.</x:v>
      </x:c>
      <x:c r="T91" s="42" t="str">
        <x:v>Yes</x:v>
      </x:c>
      <x:c r="U91" s="42" t="str"/>
      <x:c r="V91" s="42" t="str"/>
      <x:c r="W91" s="42" t="str">
        <x:v>Not Assessed</x:v>
      </x:c>
      <x:c r="X91" s="44" t="n">
        <x:v>0</x:v>
      </x:c>
      <x:c r="Y91" s="44" t="n">
        <x:v>5</x:v>
      </x:c>
      <x:c r="Z91" s="42" t="str">
        <x:v>Not Provided</x:v>
      </x:c>
      <x:c r="AA91" s="42" t="str"/>
      <x:c r="AB91" s="42" t="str">
        <x:v>Not Tested</x:v>
      </x:c>
      <x:c r="AC91" s="46" t="str"/>
      <x:c r="AD91" s="42" t="str"/>
      <x:c r="AE91" s="42" t="str">
        <x:v>Not Assessed</x:v>
      </x:c>
      <x:c r="AF91" s="42" t="n">
        <x:f>IF($T91="No","",MAX(0,$Y91-$X91))</x:f>
        <x:v>5</x:v>
      </x:c>
      <x:c r="AG91" s="42" t="str">
        <x:f>IF($T91="No","Not Applicable",IF($X91&gt;=$C91,"Meets CSA Level","Gap to CSA Level"))</x:f>
        <x:v>Gap to CSA Level</x:v>
      </x:c>
      <x:c r="AH91" s="42" t="str">
        <x:f>IF($T91="No","Not Applicable",IF($J91="","Not Mapped",IF(AND(OR($W91="Implemented",$W91="Optimized"),$Z91="Validated",$AB91="Pass"),"Compliant",IF(AND(OR($W91="Partially Implemented",$W91="Implemented",$W91="Optimized"),OR($Z91="Reviewed",$Z91="Validated"),OR($AB91="Pass with Exceptions",$AB91="Pass")),"Partially Compliant","Not Compliant"))))</x:f>
        <x:v>Not Compliant</x:v>
      </x:c>
      <x:c r="AI91" s="42" t="str">
        <x:f>IF($T91="No","Not Applicable",IF($M91="","Not Mapped",IF(AND(OR($W91="Implemented",$W91="Optimized"),$Z91="Validated",$AB91="Pass"),"Compliant",IF(AND(OR($W91="Partially Implemented",$W91="Implemented",$W91="Optimized"),OR($Z91="Reviewed",$Z91="Validated"),OR($AB91="Pass with Exceptions",$AB91="Pass")),"Partially Compliant","Not Compliant"))))</x:f>
        <x:v>Not Compliant</x:v>
      </x:c>
      <x:c r="AJ91" s="42" t="str">
        <x:f>IF($T91="No","Not Applicable",IF(AND($AG91="Meets CSA Level",$AH91="Compliant",$AI91="Compliant"),"CSA AISMM; NIST AI RMF; ISO/IEC 42001",IF(AND($AG91="Meets CSA Level",$AH91="Compliant"),"CSA AISMM; NIST AI RMF",IF(AND($AG91="Meets CSA Level",$AI91="Compliant"),"CSA AISMM; ISO/IEC 42001",IF(AND($AH91="Compliant",$AI91="Compliant"),"NIST AI RMF; ISO/IEC 42001",IF($AG91="Meets CSA Level","CSA AISMM",IF($AH91="Compliant","NIST AI RMF",IF($AI91="Compliant","ISO/IEC 42001","No mapped framework fully compliant"))))))))</x:f>
        <x:v>No mapped framework fully compliant</x:v>
      </x:c>
      <x:c r="AK91" s="42" t="str"/>
      <x:c r="AL91" s="46" t="str"/>
      <x:c r="AM91" s="42" t="str"/>
      <x:c r="AN91" s="42" t="str">
        <x:v>CSA AISMM uploaded workbook; NIST AI RMF Playbook uploaded workbook; ISO/IEC 42001 checklist uploaded PDF; official CSA/NIST/ISO web sources listed on Sources sheet</x:v>
      </x:c>
    </x:row>
    <x:row r="92" ht="90" customHeight="1">
      <x:c r="A92" s="42" t="str">
        <x:v>AI Dev and Supply Chain</x:v>
      </x:c>
      <x:c r="B92" s="42" t="str">
        <x:v>DEV-02.1</x:v>
      </x:c>
      <x:c r="C92" s="42" t="n">
        <x:v>2</x:v>
      </x:c>
      <x:c r="D92" s="42" t="str">
        <x:v>DEV</x:v>
      </x:c>
      <x:c r="E92" s="42" t="str">
        <x:v>Approved AI coding assistants with usage guidance</x:v>
      </x:c>
      <x:c r="F92" s="42" t="str">
        <x:v>Developers working on major production codebases use a named set of approved AI coding assistants (e.g. GitHub Copilot Business, Cursor, Claude Code) under written guidance covering what code can be exposed to model providers and how AI-generated suggestions are reviewed before commit. Engineering managers have acknowledged the guidance.</x:v>
      </x:c>
      <x:c r="G92" s="42" t="str">
        <x:v>Manual</x:v>
      </x:c>
      <x:c r="H92" s="42" t="str">
        <x:v>All</x:v>
      </x:c>
      <x:c r="I92" s="42" t="str">
        <x:v>CCC-01 (change management policy), TVM-02 (malware / malicious instructions protection — coding-tool exposure)</x:v>
      </x:c>
      <x:c r="J92" s="42" t="str">
        <x:v>GOVERN 6.1; MAP 2.3; MAP 5.1; MEASURE 2.6; MANAGE 3.2</x:v>
      </x:c>
      <x:c r="K92" s="42" t="str">
        <x:v>GOVERN 6.1: - Collaboratively establish policies that address third-party AI systems and data. - Establish policies related to: - Transparency into third-party system functions, including knowledge about training data, training and inference algorithms, and assumptions and limitations. - Thorough testing of third-party AI systems. (See MEASURE for more detail) - Requirements for clear and complete instructions for third-party system usage. - Evaluate policies for third-party technology. - Establish policies that address supply chain, full product lifecycle and associated processes, including legal, ethical, and other issues concerning procurement and use of third-party software or hardware systems and data. MAP 2.3: - Identify and document experiment design and statistical techniques that are valid for testing complex socio-technical systems like AI, which involve human factors, emergent properties, and dynamic context(s) of use. - Develop and apply TEVV protocols for models, system and its subcomponents, deployment, and operation. - Demonstrate and document that AI system performance and validation metrics are interpretable and unambiguous for downstream decision making tasks, and take socio-technical factors such as context of use into consideration. - Identify and document assumptions, techniques, and metrics used for testing and evaluation throughout the AI lifecycle including experimental design techniques for data collection, selection, and management practices in accordance with data governance policies established in GOVERN.… MAP 5.1: - Establish assessment scales for measuring AI systems’ impact. Scales may be qualitative, such as red-amber-green (RAG), or may entail simulations or econometric approaches. Document and apply scales uniformly across the organization’s AI portfolio. - Apply TEVV regularly at key stages in the AI lifecycle, connected to system impacts and frequency of system updates. - Identify and document likelihood and magnitude of system benefits and negative impacts in relation to trustworthiness characteristics. - Establish processes for red teaming to identify and connect system limitations to AI lifecycle stage(s) and potential downstream impacts MEASURE 2.6: - Thoroughly measure system performance in development and deployment contexts, and under stress conditions. - Employ test data assessments and simulations before proceeding to production testing. Track multiple performance quality and error metrics. - Stress-test system performance under likely scenarios (e.g., concept drift, high load) and beyond known limitations, in consultation with domain experts. - Test the system under conditions similar to those related to past known incidents or near-misses and measure system performance and safety characteristics - Apply chaos engineering approaches to test systems in extreme conditions and gauge unexpected responses.…</x:v>
      </x:c>
      <x:c r="L92" s="42" t="str">
        <x:v>Derived by CSA domain/theme</x:v>
      </x:c>
      <x:c r="M92" s="42" t="str">
        <x:v>Annex A.6; Annex A.10</x:v>
      </x:c>
      <x:c r="N92" s="42" t="str">
        <x:v>Annex A.6 – AI system life cycle: Define responsible development objectives, specify verification and validation, maintain technical documentation, and record/maintain event logs during system use. Annex A.10 – Third-party and customer relationships: Define lifecycle responsibilities with third parties, manage AI suppliers, capture customer expectations, and review third-party roles through ongoing governance.</x:v>
      </x:c>
      <x:c r="O92" s="42" t="str">
        <x:v>Derived by control theme/domain</x:v>
      </x:c>
      <x:c r="P92" s="42" t="str">
        <x:v>Tie provider/model/library onboarding to supplier risk, licensing, model/data provenance, and AI-BOM/SBOM records.</x:v>
      </x:c>
      <x:c r="Q92" s="42" t="str">
        <x:v>OWASP LLM03:2025 Supply Chain; NIST SSDF (SP 800-218A) for AI-assisted development; GitHub Copilot / Cursor / Claude Code enterprise configuration guides</x:v>
      </x:c>
      <x:c r="R92" s="42" t="str">
        <x:v>Secure SDLC/ML lifecycle procedures; design reviews; threat models; validation and verification plans; test results; code reviews; change approvals; release records; AI-BOM/SBOM where applicable.</x:v>
      </x:c>
      <x:c r="S92" s="42" t="str">
        <x:v>Trace a sample model/application release from requirements through testing and approval; verify validation gates, independent review, and documented acceptance criteria.</x:v>
      </x:c>
      <x:c r="T92" s="42" t="str">
        <x:v>Yes</x:v>
      </x:c>
      <x:c r="U92" s="42" t="str"/>
      <x:c r="V92" s="42" t="str"/>
      <x:c r="W92" s="42" t="str">
        <x:v>Not Assessed</x:v>
      </x:c>
      <x:c r="X92" s="44" t="n">
        <x:v>0</x:v>
      </x:c>
      <x:c r="Y92" s="44" t="n">
        <x:v>2</x:v>
      </x:c>
      <x:c r="Z92" s="42" t="str">
        <x:v>Not Provided</x:v>
      </x:c>
      <x:c r="AA92" s="42" t="str"/>
      <x:c r="AB92" s="42" t="str">
        <x:v>Not Tested</x:v>
      </x:c>
      <x:c r="AC92" s="46" t="str"/>
      <x:c r="AD92" s="42" t="str"/>
      <x:c r="AE92" s="42" t="str">
        <x:v>Not Assessed</x:v>
      </x:c>
      <x:c r="AF92" s="42" t="n">
        <x:f>IF($T92="No","",MAX(0,$Y92-$X92))</x:f>
        <x:v>2</x:v>
      </x:c>
      <x:c r="AG92" s="42" t="str">
        <x:f>IF($T92="No","Not Applicable",IF($X92&gt;=$C92,"Meets CSA Level","Gap to CSA Level"))</x:f>
        <x:v>Gap to CSA Level</x:v>
      </x:c>
      <x:c r="AH92" s="42" t="str">
        <x:f>IF($T92="No","Not Applicable",IF($J92="","Not Mapped",IF(AND(OR($W92="Implemented",$W92="Optimized"),$Z92="Validated",$AB92="Pass"),"Compliant",IF(AND(OR($W92="Partially Implemented",$W92="Implemented",$W92="Optimized"),OR($Z92="Reviewed",$Z92="Validated"),OR($AB92="Pass with Exceptions",$AB92="Pass")),"Partially Compliant","Not Compliant"))))</x:f>
        <x:v>Not Compliant</x:v>
      </x:c>
      <x:c r="AI92" s="42" t="str">
        <x:f>IF($T92="No","Not Applicable",IF($M92="","Not Mapped",IF(AND(OR($W92="Implemented",$W92="Optimized"),$Z92="Validated",$AB92="Pass"),"Compliant",IF(AND(OR($W92="Partially Implemented",$W92="Implemented",$W92="Optimized"),OR($Z92="Reviewed",$Z92="Validated"),OR($AB92="Pass with Exceptions",$AB92="Pass")),"Partially Compliant","Not Compliant"))))</x:f>
        <x:v>Not Compliant</x:v>
      </x:c>
      <x:c r="AJ92" s="42" t="str">
        <x:f>IF($T92="No","Not Applicable",IF(AND($AG92="Meets CSA Level",$AH92="Compliant",$AI92="Compliant"),"CSA AISMM; NIST AI RMF; ISO/IEC 42001",IF(AND($AG92="Meets CSA Level",$AH92="Compliant"),"CSA AISMM; NIST AI RMF",IF(AND($AG92="Meets CSA Level",$AI92="Compliant"),"CSA AISMM; ISO/IEC 42001",IF(AND($AH92="Compliant",$AI92="Compliant"),"NIST AI RMF; ISO/IEC 42001",IF($AG92="Meets CSA Level","CSA AISMM",IF($AH92="Compliant","NIST AI RMF",IF($AI92="Compliant","ISO/IEC 42001","No mapped framework fully compliant"))))))))</x:f>
        <x:v>No mapped framework fully compliant</x:v>
      </x:c>
      <x:c r="AK92" s="42" t="str"/>
      <x:c r="AL92" s="46" t="str"/>
      <x:c r="AM92" s="42" t="str"/>
      <x:c r="AN92" s="42" t="str">
        <x:v>CSA AISMM uploaded workbook; NIST AI RMF Playbook uploaded workbook; ISO/IEC 42001 checklist uploaded PDF; official CSA/NIST/ISO web sources listed on Sources sheet</x:v>
      </x:c>
    </x:row>
    <x:row r="93" ht="90" customHeight="1">
      <x:c r="A93" s="42" t="str">
        <x:v>AI Dev and Supply Chain</x:v>
      </x:c>
      <x:c r="B93" s="42" t="str">
        <x:v>DEV-02.2</x:v>
      </x:c>
      <x:c r="C93" s="42" t="n">
        <x:v>2</x:v>
      </x:c>
      <x:c r="D93" s="42" t="str">
        <x:v>DEV</x:v>
      </x:c>
      <x:c r="E93" s="42" t="str">
        <x:v>Initial AI component inventory in SCA scope</x:v>
      </x:c>
      <x:c r="F93" s="42" t="str">
        <x:v>AI components used in production (model providers, foundation models, primary AI libraries such as LangChain or transformers, and MCP servers) are tracked as a distinct class in an inventory, and those libraries fall inside the existing SCA scanning scope.</x:v>
      </x:c>
      <x:c r="G93" s="42" t="str">
        <x:v>Manual</x:v>
      </x:c>
      <x:c r="H93" s="42" t="str">
        <x:v>All</x:v>
      </x:c>
      <x:c r="I93" s="42" t="str">
        <x:v>STA-08 (supply chain inventory), STA-16 (service bill of material), TVM-05 (external library vulnerabilities)</x:v>
      </x:c>
      <x:c r="J93" s="42" t="str">
        <x:v>GOVERN 6.1; MAP 2.3; MAP 5.1; MEASURE 2.6; MANAGE 3.2</x:v>
      </x:c>
      <x:c r="K93" s="42" t="str">
        <x:v>GOVERN 6.1: - Collaboratively establish policies that address third-party AI systems and data. - Establish policies related to: - Transparency into third-party system functions, including knowledge about training data, training and inference algorithms, and assumptions and limitations. - Thorough testing of third-party AI systems. (See MEASURE for more detail) - Requirements for clear and complete instructions for third-party system usage. - Evaluate policies for third-party technology. - Establish policies that address supply chain, full product lifecycle and associated processes, including legal, ethical, and other issues concerning procurement and use of third-party software or hardware systems and data. MAP 2.3: - Identify and document experiment design and statistical techniques that are valid for testing complex socio-technical systems like AI, which involve human factors, emergent properties, and dynamic context(s) of use. - Develop and apply TEVV protocols for models, system and its subcomponents, deployment, and operation. - Demonstrate and document that AI system performance and validation metrics are interpretable and unambiguous for downstream decision making tasks, and take socio-technical factors such as context of use into consideration. - Identify and document assumptions, techniques, and metrics used for testing and evaluation throughout the AI lifecycle including experimental design techniques for data collection, selection, and management practices in accordance with data governance policies established in GOVERN.… MAP 5.1: - Establish assessment scales for measuring AI systems’ impact. Scales may be qualitative, such as red-amber-green (RAG), or may entail simulations or econometric approaches. Document and apply scales uniformly across the organization’s AI portfolio. - Apply TEVV regularly at key stages in the AI lifecycle, connected to system impacts and frequency of system updates. - Identify and document likelihood and magnitude of system benefits and negative impacts in relation to trustworthiness characteristics. - Establish processes for red teaming to identify and connect system limitations to AI lifecycle stage(s) and potential downstream impacts MEASURE 2.6: - Thoroughly measure system performance in development and deployment contexts, and under stress conditions. - Employ test data assessments and simulations before proceeding to production testing. Track multiple performance quality and error metrics. - Stress-test system performance under likely scenarios (e.g., concept drift, high load) and beyond known limitations, in consultation with domain experts. - Test the system under conditions similar to those related to past known incidents or near-misses and measure system performance and safety characteristics - Apply chaos engineering approaches to test systems in extreme conditions and gauge unexpected responses.…</x:v>
      </x:c>
      <x:c r="L93" s="42" t="str">
        <x:v>Derived by CSA domain/theme</x:v>
      </x:c>
      <x:c r="M93" s="42" t="str">
        <x:v>Annex A.4; Annex A.6; Annex A.10</x:v>
      </x:c>
      <x:c r="N93" s="42" t="str">
        <x:v>Annex A.4 – Resources for AI systems: Maintain a register of AI resources including data, tools, systems, people, tooling, compute resources, and relevant operational/environmental impacts. Annex A.6 – AI system life cycle: Define responsible development objectives, specify verification and validation, maintain technical documentation, and record/maintain event logs during system use. Annex A.10 – Third-party and customer relationships: Define lifecycle responsibilities with third parties, manage AI suppliers, capture customer expectations, and review third-party roles through ongoing governance.</x:v>
      </x:c>
      <x:c r="O93" s="42" t="str">
        <x:v>Derived by control theme/domain</x:v>
      </x:c>
      <x:c r="P93" s="42" t="str">
        <x:v>Maintain authoritative AI inventory; link assets to owners, use cases, providers, data classes, and risk tiers. Tie provider/model/library onboarding to supplier risk, licensing, model/data provenance, and AI-BOM/SBOM records.</x:v>
      </x:c>
      <x:c r="Q93" s="42" t="str">
        <x:v>CycloneDX ML-BOM; OWASP LLM03:2025 Supply Chain; NIST SP 800-218 SSDF</x:v>
      </x:c>
      <x:c r="R93" s="42" t="str">
        <x:v>Secure SDLC/ML lifecycle procedures; design reviews; threat models; validation and verification plans; test results; code reviews; change approvals; release records; AI-BOM/SBOM where applicable.</x:v>
      </x:c>
      <x:c r="S93" s="42" t="str">
        <x:v>Trace a sample model/application release from requirements through testing and approval; verify validation gates, independent review, and documented acceptance criteria.</x:v>
      </x:c>
      <x:c r="T93" s="42" t="str">
        <x:v>Yes</x:v>
      </x:c>
      <x:c r="U93" s="42" t="str"/>
      <x:c r="V93" s="42" t="str"/>
      <x:c r="W93" s="42" t="str">
        <x:v>Not Assessed</x:v>
      </x:c>
      <x:c r="X93" s="44" t="n">
        <x:v>0</x:v>
      </x:c>
      <x:c r="Y93" s="44" t="n">
        <x:v>2</x:v>
      </x:c>
      <x:c r="Z93" s="42" t="str">
        <x:v>Not Provided</x:v>
      </x:c>
      <x:c r="AA93" s="42" t="str"/>
      <x:c r="AB93" s="42" t="str">
        <x:v>Not Tested</x:v>
      </x:c>
      <x:c r="AC93" s="46" t="str"/>
      <x:c r="AD93" s="42" t="str"/>
      <x:c r="AE93" s="42" t="str">
        <x:v>Not Assessed</x:v>
      </x:c>
      <x:c r="AF93" s="42" t="n">
        <x:f>IF($T93="No","",MAX(0,$Y93-$X93))</x:f>
        <x:v>2</x:v>
      </x:c>
      <x:c r="AG93" s="42" t="str">
        <x:f>IF($T93="No","Not Applicable",IF($X93&gt;=$C93,"Meets CSA Level","Gap to CSA Level"))</x:f>
        <x:v>Gap to CSA Level</x:v>
      </x:c>
      <x:c r="AH93" s="42" t="str">
        <x:f>IF($T93="No","Not Applicable",IF($J93="","Not Mapped",IF(AND(OR($W93="Implemented",$W93="Optimized"),$Z93="Validated",$AB93="Pass"),"Compliant",IF(AND(OR($W93="Partially Implemented",$W93="Implemented",$W93="Optimized"),OR($Z93="Reviewed",$Z93="Validated"),OR($AB93="Pass with Exceptions",$AB93="Pass")),"Partially Compliant","Not Compliant"))))</x:f>
        <x:v>Not Compliant</x:v>
      </x:c>
      <x:c r="AI93" s="42" t="str">
        <x:f>IF($T93="No","Not Applicable",IF($M93="","Not Mapped",IF(AND(OR($W93="Implemented",$W93="Optimized"),$Z93="Validated",$AB93="Pass"),"Compliant",IF(AND(OR($W93="Partially Implemented",$W93="Implemented",$W93="Optimized"),OR($Z93="Reviewed",$Z93="Validated"),OR($AB93="Pass with Exceptions",$AB93="Pass")),"Partially Compliant","Not Compliant"))))</x:f>
        <x:v>Not Compliant</x:v>
      </x:c>
      <x:c r="AJ93" s="42" t="str">
        <x:f>IF($T93="No","Not Applicable",IF(AND($AG93="Meets CSA Level",$AH93="Compliant",$AI93="Compliant"),"CSA AISMM; NIST AI RMF; ISO/IEC 42001",IF(AND($AG93="Meets CSA Level",$AH93="Compliant"),"CSA AISMM; NIST AI RMF",IF(AND($AG93="Meets CSA Level",$AI93="Compliant"),"CSA AISMM; ISO/IEC 42001",IF(AND($AH93="Compliant",$AI93="Compliant"),"NIST AI RMF; ISO/IEC 42001",IF($AG93="Meets CSA Level","CSA AISMM",IF($AH93="Compliant","NIST AI RMF",IF($AI93="Compliant","ISO/IEC 42001","No mapped framework fully compliant"))))))))</x:f>
        <x:v>No mapped framework fully compliant</x:v>
      </x:c>
      <x:c r="AK93" s="42" t="str"/>
      <x:c r="AL93" s="46" t="str"/>
      <x:c r="AM93" s="42" t="str"/>
      <x:c r="AN93" s="42" t="str">
        <x:v>CSA AISMM uploaded workbook; NIST AI RMF Playbook uploaded workbook; ISO/IEC 42001 checklist uploaded PDF; official CSA/NIST/ISO web sources listed on Sources sheet</x:v>
      </x:c>
    </x:row>
    <x:row r="94" ht="90" customHeight="1">
      <x:c r="A94" s="42" t="str">
        <x:v>AI Dev and Supply Chain</x:v>
      </x:c>
      <x:c r="B94" s="42" t="str">
        <x:v>DEV-03.1</x:v>
      </x:c>
      <x:c r="C94" s="42" t="n">
        <x:v>3</x:v>
      </x:c>
      <x:c r="D94" s="42" t="str">
        <x:v>DEV</x:v>
      </x:c>
      <x:c r="E94" s="42" t="str">
        <x:v>Enterprise AI coding assistant configured to prevent code exposure</x:v>
      </x:c>
      <x:c r="F94" s="42" t="str">
        <x:v>Production code is written only against enterprise-tier AI coding assistants with training and retention opt-out enabled and content exclusions covering secret-bearing paths. Consumer-tier AI chat tools are blocked on developer endpoints that handle production code, with a quarterly fresh-marker test confirming the block holds.</x:v>
      </x:c>
      <x:c r="G94" s="42" t="str">
        <x:v>Either</x:v>
      </x:c>
      <x:c r="H94" s="42" t="str">
        <x:v>All</x:v>
      </x:c>
      <x:c r="I94" s="42" t="str">
        <x:v>CCC-01 (change management policy), CCC-03 (change management technology), TVM-02 (malware / malicious instructions protection)</x:v>
      </x:c>
      <x:c r="J94" s="42" t="str">
        <x:v>GOVERN 6.1; MAP 2.3; MAP 5.1; MEASURE 2.6; MANAGE 3.2</x:v>
      </x:c>
      <x:c r="K94" s="42" t="str">
        <x:v>GOVERN 6.1: - Collaboratively establish policies that address third-party AI systems and data. - Establish policies related to: - Transparency into third-party system functions, including knowledge about training data, training and inference algorithms, and assumptions and limitations. - Thorough testing of third-party AI systems. (See MEASURE for more detail) - Requirements for clear and complete instructions for third-party system usage. - Evaluate policies for third-party technology. - Establish policies that address supply chain, full product lifecycle and associated processes, including legal, ethical, and other issues concerning procurement and use of third-party software or hardware systems and data. MAP 2.3: - Identify and document experiment design and statistical techniques that are valid for testing complex socio-technical systems like AI, which involve human factors, emergent properties, and dynamic context(s) of use. - Develop and apply TEVV protocols for models, system and its subcomponents, deployment, and operation. - Demonstrate and document that AI system performance and validation metrics are interpretable and unambiguous for downstream decision making tasks, and take socio-technical factors such as context of use into consideration. - Identify and document assumptions, techniques, and metrics used for testing and evaluation throughout the AI lifecycle including experimental design techniques for data collection, selection, and management practices in accordance with data governance policies established in GOVERN.… MAP 5.1: - Establish assessment scales for measuring AI systems’ impact. Scales may be qualitative, such as red-amber-green (RAG), or may entail simulations or econometric approaches. Document and apply scales uniformly across the organization’s AI portfolio. - Apply TEVV regularly at key stages in the AI lifecycle, connected to system impacts and frequency of system updates. - Identify and document likelihood and magnitude of system benefits and negative impacts in relation to trustworthiness characteristics. - Establish processes for red teaming to identify and connect system limitations to AI lifecycle stage(s) and potential downstream impacts MEASURE 2.6: - Thoroughly measure system performance in development and deployment contexts, and under stress conditions. - Employ test data assessments and simulations before proceeding to production testing. Track multiple performance quality and error metrics. - Stress-test system performance under likely scenarios (e.g., concept drift, high load) and beyond known limitations, in consultation with domain experts. - Test the system under conditions similar to those related to past known incidents or near-misses and measure system performance and safety characteristics - Apply chaos engineering approaches to test systems in extreme conditions and gauge unexpected responses.…</x:v>
      </x:c>
      <x:c r="L94" s="42" t="str">
        <x:v>Derived by CSA domain/theme</x:v>
      </x:c>
      <x:c r="M94" s="42" t="str">
        <x:v>Annex A.3; Annex A.7; Annex A.8; Annex A.9; Annex A.10</x:v>
      </x:c>
      <x:c r="N94" s="42" t="str">
        <x:v>Annex A.3 – Internal organization: Define AI roles and responsibilities; provide reporting and confidential escalation paths; investigate and resolve AI-related concerns. Annex A.7 – Data for AI systems: Maintain documented AI data management, identify sources and provenance, record intended use, define data quality requirements, and document/justify preparation methods. Annex A.8 – Information for interested parties: Provide necessary documentation to users and interested parties; define incident reporting/escalation, incident communication, and stakeholder information requirements. Annex A.9 – Use of AI systems: Define responsible AI use processes, ethical/appropriate-use objectives, intended-purpose usage boundaries, and monitoring/remediation for misuse or unintended consequences. Annex A.10 – Third-party and customer relationships: Define lifecycle responsibilities with third parties, manage AI suppliers, capture customer expectations, and review third-party roles through ongoing governance.</x:v>
      </x:c>
      <x:c r="O94" s="42" t="str">
        <x:v>Derived by control theme/domain</x:v>
      </x:c>
      <x:c r="P94" s="42" t="str">
        <x:v>Tie provider/model/library onboarding to supplier risk, licensing, model/data provenance, and AI-BOM/SBOM records.</x:v>
      </x:c>
      <x:c r="Q94" s="42" t="str">
        <x:v>GitHub Copilot Business/Enterprise documentation (code referencing, content exclusions, training opt-out); Cursor enterprise privacy mode; Claude Code organization settings; OWASP LLM03:2025 Supply Chain</x:v>
      </x:c>
      <x:c r="R94" s="42" t="str">
        <x:v>Secure SDLC/ML lifecycle procedures; design reviews; threat models; validation and verification plans; test results; code reviews; change approvals; release records; AI-BOM/SBOM where applicable.</x:v>
      </x:c>
      <x:c r="S94" s="42" t="str">
        <x:v>Trace a sample model/application release from requirements through testing and approval; verify validation gates, independent review, and documented acceptance criteria.</x:v>
      </x:c>
      <x:c r="T94" s="42" t="str">
        <x:v>Yes</x:v>
      </x:c>
      <x:c r="U94" s="42" t="str"/>
      <x:c r="V94" s="42" t="str"/>
      <x:c r="W94" s="42" t="str">
        <x:v>Not Assessed</x:v>
      </x:c>
      <x:c r="X94" s="44" t="n">
        <x:v>0</x:v>
      </x:c>
      <x:c r="Y94" s="44" t="n">
        <x:v>3</x:v>
      </x:c>
      <x:c r="Z94" s="42" t="str">
        <x:v>Not Provided</x:v>
      </x:c>
      <x:c r="AA94" s="42" t="str"/>
      <x:c r="AB94" s="42" t="str">
        <x:v>Not Tested</x:v>
      </x:c>
      <x:c r="AC94" s="46" t="str"/>
      <x:c r="AD94" s="42" t="str"/>
      <x:c r="AE94" s="42" t="str">
        <x:v>Not Assessed</x:v>
      </x:c>
      <x:c r="AF94" s="42" t="n">
        <x:f>IF($T94="No","",MAX(0,$Y94-$X94))</x:f>
        <x:v>3</x:v>
      </x:c>
      <x:c r="AG94" s="42" t="str">
        <x:f>IF($T94="No","Not Applicable",IF($X94&gt;=$C94,"Meets CSA Level","Gap to CSA Level"))</x:f>
        <x:v>Gap to CSA Level</x:v>
      </x:c>
      <x:c r="AH94" s="42" t="str">
        <x:f>IF($T94="No","Not Applicable",IF($J94="","Not Mapped",IF(AND(OR($W94="Implemented",$W94="Optimized"),$Z94="Validated",$AB94="Pass"),"Compliant",IF(AND(OR($W94="Partially Implemented",$W94="Implemented",$W94="Optimized"),OR($Z94="Reviewed",$Z94="Validated"),OR($AB94="Pass with Exceptions",$AB94="Pass")),"Partially Compliant","Not Compliant"))))</x:f>
        <x:v>Not Compliant</x:v>
      </x:c>
      <x:c r="AI94" s="42" t="str">
        <x:f>IF($T94="No","Not Applicable",IF($M94="","Not Mapped",IF(AND(OR($W94="Implemented",$W94="Optimized"),$Z94="Validated",$AB94="Pass"),"Compliant",IF(AND(OR($W94="Partially Implemented",$W94="Implemented",$W94="Optimized"),OR($Z94="Reviewed",$Z94="Validated"),OR($AB94="Pass with Exceptions",$AB94="Pass")),"Partially Compliant","Not Compliant"))))</x:f>
        <x:v>Not Compliant</x:v>
      </x:c>
      <x:c r="AJ94" s="42" t="str">
        <x:f>IF($T94="No","Not Applicable",IF(AND($AG94="Meets CSA Level",$AH94="Compliant",$AI94="Compliant"),"CSA AISMM; NIST AI RMF; ISO/IEC 42001",IF(AND($AG94="Meets CSA Level",$AH94="Compliant"),"CSA AISMM; NIST AI RMF",IF(AND($AG94="Meets CSA Level",$AI94="Compliant"),"CSA AISMM; ISO/IEC 42001",IF(AND($AH94="Compliant",$AI94="Compliant"),"NIST AI RMF; ISO/IEC 42001",IF($AG94="Meets CSA Level","CSA AISMM",IF($AH94="Compliant","NIST AI RMF",IF($AI94="Compliant","ISO/IEC 42001","No mapped framework fully compliant"))))))))</x:f>
        <x:v>No mapped framework fully compliant</x:v>
      </x:c>
      <x:c r="AK94" s="42" t="str"/>
      <x:c r="AL94" s="46" t="str"/>
      <x:c r="AM94" s="42" t="str"/>
      <x:c r="AN94" s="42" t="str">
        <x:v>CSA AISMM uploaded workbook; NIST AI RMF Playbook uploaded workbook; ISO/IEC 42001 checklist uploaded PDF; official CSA/NIST/ISO web sources listed on Sources sheet</x:v>
      </x:c>
    </x:row>
    <x:row r="95" ht="90" customHeight="1">
      <x:c r="A95" s="42" t="str">
        <x:v>AI Dev and Supply Chain</x:v>
      </x:c>
      <x:c r="B95" s="42" t="str">
        <x:v>DEV-03.2</x:v>
      </x:c>
      <x:c r="C95" s="42" t="n">
        <x:v>3</x:v>
      </x:c>
      <x:c r="D95" s="42" t="str">
        <x:v>DEV</x:v>
      </x:c>
      <x:c r="E95" s="42" t="str">
        <x:v>Structured AI supply chain inventory with package proxy</x:v>
      </x:c>
      <x:c r="F95" s="42" t="str">
        <x:v>The AI-component inventory uses structured fields per component class with pinned versions. AI libraries reach production builds only through an organization-managed package proxy (e.g. Artifactory, Nexus), so direct public-registry installs are prevented, and open or third-party models carry an integrity and safe-format record before first production use.</x:v>
      </x:c>
      <x:c r="G95" s="42" t="str">
        <x:v>Either</x:v>
      </x:c>
      <x:c r="H95" s="42" t="str">
        <x:v>All</x:v>
      </x:c>
      <x:c r="I95" s="42" t="str">
        <x:v>STA-08 (supply chain inventory), STA-16 (service bill of material), TVM-05 (external library vulnerabilities), TVM-08 (vulnerability prioritization)</x:v>
      </x:c>
      <x:c r="J95" s="42" t="str">
        <x:v>GOVERN 6.1; MAP 2.3; MAP 5.1; MEASURE 2.6; MANAGE 3.2</x:v>
      </x:c>
      <x:c r="K95" s="42" t="str">
        <x:v>GOVERN 6.1: - Collaboratively establish policies that address third-party AI systems and data. - Establish policies related to: - Transparency into third-party system functions, including knowledge about training data, training and inference algorithms, and assumptions and limitations. - Thorough testing of third-party AI systems. (See MEASURE for more detail) - Requirements for clear and complete instructions for third-party system usage. - Evaluate policies for third-party technology. - Establish policies that address supply chain, full product lifecycle and associated processes, including legal, ethical, and other issues concerning procurement and use of third-party software or hardware systems and data. MAP 2.3: - Identify and document experiment design and statistical techniques that are valid for testing complex socio-technical systems like AI, which involve human factors, emergent properties, and dynamic context(s) of use. - Develop and apply TEVV protocols for models, system and its subcomponents, deployment, and operation. - Demonstrate and document that AI system performance and validation metrics are interpretable and unambiguous for downstream decision making tasks, and take socio-technical factors such as context of use into consideration. - Identify and document assumptions, techniques, and metrics used for testing and evaluation throughout the AI lifecycle including experimental design techniques for data collection, selection, and management practices in accordance with data governance policies established in GOVERN.… MAP 5.1: - Establish assessment scales for measuring AI systems’ impact. Scales may be qualitative, such as red-amber-green (RAG), or may entail simulations or econometric approaches. Document and apply scales uniformly across the organization’s AI portfolio. - Apply TEVV regularly at key stages in the AI lifecycle, connected to system impacts and frequency of system updates. - Identify and document likelihood and magnitude of system benefits and negative impacts in relation to trustworthiness characteristics. - Establish processes for red teaming to identify and connect system limitations to AI lifecycle stage(s) and potential downstream impacts MEASURE 2.6: - Thoroughly measure system performance in development and deployment contexts, and under stress conditions. - Employ test data assessments and simulations before proceeding to production testing. Track multiple performance quality and error metrics. - Stress-test system performance under likely scenarios (e.g., concept drift, high load) and beyond known limitations, in consultation with domain experts. - Test the system under conditions similar to those related to past known incidents or near-misses and measure system performance and safety characteristics - Apply chaos engineering approaches to test systems in extreme conditions and gauge unexpected responses.…</x:v>
      </x:c>
      <x:c r="L95" s="42" t="str">
        <x:v>Derived by CSA domain/theme</x:v>
      </x:c>
      <x:c r="M95" s="42" t="str">
        <x:v>Annex A.4; Annex A.6; Annex A.10</x:v>
      </x:c>
      <x:c r="N95" s="42" t="str">
        <x:v>Annex A.4 – Resources for AI systems: Maintain a register of AI resources including data, tools, systems, people, tooling, compute resources, and relevant operational/environmental impacts. Annex A.6 – AI system life cycle: Define responsible development objectives, specify verification and validation, maintain technical documentation, and record/maintain event logs during system use. Annex A.10 – Third-party and customer relationships: Define lifecycle responsibilities with third parties, manage AI suppliers, capture customer expectations, and review third-party roles through ongoing governance.</x:v>
      </x:c>
      <x:c r="O95" s="42" t="str">
        <x:v>Derived by control theme/domain</x:v>
      </x:c>
      <x:c r="P95" s="42" t="str">
        <x:v>Maintain authoritative AI inventory; link assets to owners, use cases, providers, data classes, and risk tiers. Tie provider/model/library onboarding to supplier risk, licensing, model/data provenance, and AI-BOM/SBOM records.</x:v>
      </x:c>
      <x:c r="Q95" s="42" t="str">
        <x:v>CycloneDX ML-BOM schema; NIST SP 800-218 SSDF Task PO.1.3; OWASP LLM03:2025 Supply Chain</x:v>
      </x:c>
      <x:c r="R95" s="42" t="str">
        <x:v>Secure SDLC/ML lifecycle procedures; design reviews; threat models; validation and verification plans; test results; code reviews; change approvals; release records; AI-BOM/SBOM where applicable.</x:v>
      </x:c>
      <x:c r="S95" s="42" t="str">
        <x:v>Trace a sample model/application release from requirements through testing and approval; verify validation gates, independent review, and documented acceptance criteria.</x:v>
      </x:c>
      <x:c r="T95" s="42" t="str">
        <x:v>Yes</x:v>
      </x:c>
      <x:c r="U95" s="42" t="str"/>
      <x:c r="V95" s="42" t="str"/>
      <x:c r="W95" s="42" t="str">
        <x:v>Not Assessed</x:v>
      </x:c>
      <x:c r="X95" s="44" t="n">
        <x:v>0</x:v>
      </x:c>
      <x:c r="Y95" s="44" t="n">
        <x:v>3</x:v>
      </x:c>
      <x:c r="Z95" s="42" t="str">
        <x:v>Not Provided</x:v>
      </x:c>
      <x:c r="AA95" s="42" t="str"/>
      <x:c r="AB95" s="42" t="str">
        <x:v>Not Tested</x:v>
      </x:c>
      <x:c r="AC95" s="46" t="str"/>
      <x:c r="AD95" s="42" t="str"/>
      <x:c r="AE95" s="42" t="str">
        <x:v>Not Assessed</x:v>
      </x:c>
      <x:c r="AF95" s="42" t="n">
        <x:f>IF($T95="No","",MAX(0,$Y95-$X95))</x:f>
        <x:v>3</x:v>
      </x:c>
      <x:c r="AG95" s="42" t="str">
        <x:f>IF($T95="No","Not Applicable",IF($X95&gt;=$C95,"Meets CSA Level","Gap to CSA Level"))</x:f>
        <x:v>Gap to CSA Level</x:v>
      </x:c>
      <x:c r="AH95" s="42" t="str">
        <x:f>IF($T95="No","Not Applicable",IF($J95="","Not Mapped",IF(AND(OR($W95="Implemented",$W95="Optimized"),$Z95="Validated",$AB95="Pass"),"Compliant",IF(AND(OR($W95="Partially Implemented",$W95="Implemented",$W95="Optimized"),OR($Z95="Reviewed",$Z95="Validated"),OR($AB95="Pass with Exceptions",$AB95="Pass")),"Partially Compliant","Not Compliant"))))</x:f>
        <x:v>Not Compliant</x:v>
      </x:c>
      <x:c r="AI95" s="42" t="str">
        <x:f>IF($T95="No","Not Applicable",IF($M95="","Not Mapped",IF(AND(OR($W95="Implemented",$W95="Optimized"),$Z95="Validated",$AB95="Pass"),"Compliant",IF(AND(OR($W95="Partially Implemented",$W95="Implemented",$W95="Optimized"),OR($Z95="Reviewed",$Z95="Validated"),OR($AB95="Pass with Exceptions",$AB95="Pass")),"Partially Compliant","Not Compliant"))))</x:f>
        <x:v>Not Compliant</x:v>
      </x:c>
      <x:c r="AJ95" s="42" t="str">
        <x:f>IF($T95="No","Not Applicable",IF(AND($AG95="Meets CSA Level",$AH95="Compliant",$AI95="Compliant"),"CSA AISMM; NIST AI RMF; ISO/IEC 42001",IF(AND($AG95="Meets CSA Level",$AH95="Compliant"),"CSA AISMM; NIST AI RMF",IF(AND($AG95="Meets CSA Level",$AI95="Compliant"),"CSA AISMM; ISO/IEC 42001",IF(AND($AH95="Compliant",$AI95="Compliant"),"NIST AI RMF; ISO/IEC 42001",IF($AG95="Meets CSA Level","CSA AISMM",IF($AH95="Compliant","NIST AI RMF",IF($AI95="Compliant","ISO/IEC 42001","No mapped framework fully compliant"))))))))</x:f>
        <x:v>No mapped framework fully compliant</x:v>
      </x:c>
      <x:c r="AK95" s="42" t="str"/>
      <x:c r="AL95" s="46" t="str"/>
      <x:c r="AM95" s="42" t="str"/>
      <x:c r="AN95" s="42" t="str">
        <x:v>CSA AISMM uploaded workbook; NIST AI RMF Playbook uploaded workbook; ISO/IEC 42001 checklist uploaded PDF; official CSA/NIST/ISO web sources listed on Sources sheet</x:v>
      </x:c>
    </x:row>
    <x:row r="96" ht="90" customHeight="1">
      <x:c r="A96" s="42" t="str">
        <x:v>AI Dev and Supply Chain</x:v>
      </x:c>
      <x:c r="B96" s="42" t="str">
        <x:v>DEV-03.3</x:v>
      </x:c>
      <x:c r="C96" s="42" t="n">
        <x:v>3</x:v>
      </x:c>
      <x:c r="D96" s="42" t="str">
        <x:v>DEV</x:v>
      </x:c>
      <x:c r="E96" s="42" t="str">
        <x:v>AI security assessment in CI/CD for critical AI applications</x:v>
      </x:c>
      <x:c r="F96" s="42" t="str">
        <x:v>Critical AI applications (customer-facing or processing untrusted content) pass an automated AI security assessment in CI/CD covering AI-specific insecure patterns, AI-library vulnerabilities, and unsafe model formats. Tools include AI security agents and AI-aware SAST/SCA. Critical or High findings block merge unless a named approver logs an exception.</x:v>
      </x:c>
      <x:c r="G96" s="42" t="str">
        <x:v>Automated</x:v>
      </x:c>
      <x:c r="H96" s="42" t="str">
        <x:v>All</x:v>
      </x:c>
      <x:c r="I96" s="42" t="str">
        <x:v>CCC-02 (quality testing), CCC-04 (change authorization), TVM-05 (external library vulnerabilities)</x:v>
      </x:c>
      <x:c r="J96" s="42" t="str">
        <x:v>GOVERN 6.1; MAP 2.3; MAP 5.1; MEASURE 2.6; MANAGE 3.2</x:v>
      </x:c>
      <x:c r="K96" s="42" t="str">
        <x:v>GOVERN 6.1: - Collaboratively establish policies that address third-party AI systems and data. - Establish policies related to: - Transparency into third-party system functions, including knowledge about training data, training and inference algorithms, and assumptions and limitations. - Thorough testing of third-party AI systems. (See MEASURE for more detail) - Requirements for clear and complete instructions for third-party system usage. - Evaluate policies for third-party technology. - Establish policies that address supply chain, full product lifecycle and associated processes, including legal, ethical, and other issues concerning procurement and use of third-party software or hardware systems and data. MAP 2.3: - Identify and document experiment design and statistical techniques that are valid for testing complex socio-technical systems like AI, which involve human factors, emergent properties, and dynamic context(s) of use. - Develop and apply TEVV protocols for models, system and its subcomponents, deployment, and operation. - Demonstrate and document that AI system performance and validation metrics are interpretable and unambiguous for downstream decision making tasks, and take socio-technical factors such as context of use into consideration. - Identify and document assumptions, techniques, and metrics used for testing and evaluation throughout the AI lifecycle including experimental design techniques for data collection, selection, and management practices in accordance with data governance policies established in GOVERN.… MAP 5.1: - Establish assessment scales for measuring AI systems’ impact. Scales may be qualitative, such as red-amber-green (RAG), or may entail simulations or econometric approaches. Document and apply scales uniformly across the organization’s AI portfolio. - Apply TEVV regularly at key stages in the AI lifecycle, connected to system impacts and frequency of system updates. - Identify and document likelihood and magnitude of system benefits and negative impacts in relation to trustworthiness characteristics. - Establish processes for red teaming to identify and connect system limitations to AI lifecycle stage(s) and potential downstream impacts MEASURE 2.6: - Thoroughly measure system performance in development and deployment contexts, and under stress conditions. - Employ test data assessments and simulations before proceeding to production testing. Track multiple performance quality and error metrics. - Stress-test system performance under likely scenarios (e.g., concept drift, high load) and beyond known limitations, in consultation with domain experts. - Test the system under conditions similar to those related to past known incidents or near-misses and measure system performance and safety characteristics - Apply chaos engineering approaches to test systems in extreme conditions and gauge unexpected responses.…</x:v>
      </x:c>
      <x:c r="L96" s="42" t="str">
        <x:v>Derived by CSA domain/theme</x:v>
      </x:c>
      <x:c r="M96" s="42" t="str">
        <x:v>Annex A.6; Annex A.8; Annex A.9; Annex A.10</x:v>
      </x:c>
      <x:c r="N96" s="42" t="str">
        <x:v>Annex A.6 – AI system life cycle: Define responsible development objectives, specify verification and validation, maintain technical documentation, and record/maintain event logs during system use. Annex A.8 – Information for interested parties: Provide necessary documentation to users and interested parties; define incident reporting/escalation, incident communication, and stakeholder information requirements. Annex A.9 – Use of AI systems: Define responsible AI use processes, ethical/appropriate-use objectives, intended-purpose usage boundaries, and monitoring/remediation for misuse or unintended consequences. Annex A.10 – Third-party and customer relationships: Define lifecycle responsibilities with third parties, manage AI suppliers, capture customer expectations, and review third-party roles through ongoing governance.</x:v>
      </x:c>
      <x:c r="O96" s="42" t="str">
        <x:v>Derived by control theme/domain</x:v>
      </x:c>
      <x:c r="P96" s="42" t="str">
        <x:v>Tie provider/model/library onboarding to supplier risk, licensing, model/data provenance, and AI-BOM/SBOM records.</x:v>
      </x:c>
      <x:c r="Q96" s="42" t="str">
        <x:v>OWASP LLM02:2025 Sensitive Information Disclosure; GitHub Copilot Autofix / security-review features; Snyk Code AI; CodeRabbit / Graphite AI code review; NIST SSDF</x:v>
      </x:c>
      <x:c r="R96" s="42" t="str">
        <x:v>Secure SDLC/ML lifecycle procedures; design reviews; threat models; validation and verification plans; test results; code reviews; change approvals; release records; AI-BOM/SBOM where applicable.</x:v>
      </x:c>
      <x:c r="S96" s="42" t="str">
        <x:v>Trace a sample model/application release from requirements through testing and approval; verify validation gates, independent review, and documented acceptance criteria.</x:v>
      </x:c>
      <x:c r="T96" s="42" t="str">
        <x:v>Yes</x:v>
      </x:c>
      <x:c r="U96" s="42" t="str"/>
      <x:c r="V96" s="42" t="str"/>
      <x:c r="W96" s="42" t="str">
        <x:v>Not Assessed</x:v>
      </x:c>
      <x:c r="X96" s="44" t="n">
        <x:v>0</x:v>
      </x:c>
      <x:c r="Y96" s="44" t="n">
        <x:v>3</x:v>
      </x:c>
      <x:c r="Z96" s="42" t="str">
        <x:v>Not Provided</x:v>
      </x:c>
      <x:c r="AA96" s="42" t="str"/>
      <x:c r="AB96" s="42" t="str">
        <x:v>Not Tested</x:v>
      </x:c>
      <x:c r="AC96" s="46" t="str"/>
      <x:c r="AD96" s="42" t="str"/>
      <x:c r="AE96" s="42" t="str">
        <x:v>Not Assessed</x:v>
      </x:c>
      <x:c r="AF96" s="42" t="n">
        <x:f>IF($T96="No","",MAX(0,$Y96-$X96))</x:f>
        <x:v>3</x:v>
      </x:c>
      <x:c r="AG96" s="42" t="str">
        <x:f>IF($T96="No","Not Applicable",IF($X96&gt;=$C96,"Meets CSA Level","Gap to CSA Level"))</x:f>
        <x:v>Gap to CSA Level</x:v>
      </x:c>
      <x:c r="AH96" s="42" t="str">
        <x:f>IF($T96="No","Not Applicable",IF($J96="","Not Mapped",IF(AND(OR($W96="Implemented",$W96="Optimized"),$Z96="Validated",$AB96="Pass"),"Compliant",IF(AND(OR($W96="Partially Implemented",$W96="Implemented",$W96="Optimized"),OR($Z96="Reviewed",$Z96="Validated"),OR($AB96="Pass with Exceptions",$AB96="Pass")),"Partially Compliant","Not Compliant"))))</x:f>
        <x:v>Not Compliant</x:v>
      </x:c>
      <x:c r="AI96" s="42" t="str">
        <x:f>IF($T96="No","Not Applicable",IF($M96="","Not Mapped",IF(AND(OR($W96="Implemented",$W96="Optimized"),$Z96="Validated",$AB96="Pass"),"Compliant",IF(AND(OR($W96="Partially Implemented",$W96="Implemented",$W96="Optimized"),OR($Z96="Reviewed",$Z96="Validated"),OR($AB96="Pass with Exceptions",$AB96="Pass")),"Partially Compliant","Not Compliant"))))</x:f>
        <x:v>Not Compliant</x:v>
      </x:c>
      <x:c r="AJ96" s="42" t="str">
        <x:f>IF($T96="No","Not Applicable",IF(AND($AG96="Meets CSA Level",$AH96="Compliant",$AI96="Compliant"),"CSA AISMM; NIST AI RMF; ISO/IEC 42001",IF(AND($AG96="Meets CSA Level",$AH96="Compliant"),"CSA AISMM; NIST AI RMF",IF(AND($AG96="Meets CSA Level",$AI96="Compliant"),"CSA AISMM; ISO/IEC 42001",IF(AND($AH96="Compliant",$AI96="Compliant"),"NIST AI RMF; ISO/IEC 42001",IF($AG96="Meets CSA Level","CSA AISMM",IF($AH96="Compliant","NIST AI RMF",IF($AI96="Compliant","ISO/IEC 42001","No mapped framework fully compliant"))))))))</x:f>
        <x:v>No mapped framework fully compliant</x:v>
      </x:c>
      <x:c r="AK96" s="42" t="str"/>
      <x:c r="AL96" s="46" t="str"/>
      <x:c r="AM96" s="42" t="str"/>
      <x:c r="AN96" s="42" t="str">
        <x:v>CSA AISMM uploaded workbook; NIST AI RMF Playbook uploaded workbook; ISO/IEC 42001 checklist uploaded PDF; official CSA/NIST/ISO web sources listed on Sources sheet</x:v>
      </x:c>
    </x:row>
    <x:row r="97" ht="90" customHeight="1">
      <x:c r="A97" s="42" t="str">
        <x:v>AI Dev and Supply Chain</x:v>
      </x:c>
      <x:c r="B97" s="42" t="str">
        <x:v>DEV-04.1</x:v>
      </x:c>
      <x:c r="C97" s="42" t="n">
        <x:v>4</x:v>
      </x:c>
      <x:c r="D97" s="42" t="str">
        <x:v>DEV</x:v>
      </x:c>
      <x:c r="E97" s="42" t="str">
        <x:v>AI security assessment expanded to all production \ applications</x:v>
      </x:c>
      <x:c r="F97" s="42" t="str">
        <x:v>All production AI applications, AI-component repositories, and repositories with AI-assisted commits pass generalized security assessments and AI-specific SAST/SCA and security-agent scanning covering insecure AI-SDK usage, prompt and tool-output handling, AI-library vulnerability patterns, and unsafe model formats (e.g. pickle,.pt). Critical and High findings block the build. Vendor-supplied unsigned models receive an ingest-time scan and integrity record before they are re-signed under MOD-04.1.</x:v>
      </x:c>
      <x:c r="G97" s="42" t="str">
        <x:v>Automated</x:v>
      </x:c>
      <x:c r="H97" s="42" t="str">
        <x:v>All</x:v>
      </x:c>
      <x:c r="I97" s="42" t="str">
        <x:v>TVM-04 (vulnerability testing), TVM-05 (external library vulnerabilities), TVM-07 (vulnerability remediation schedule), TVM-08 (SDLC integration of vulnerability management), CCC-02 (quality testing), CCC-07 (detection of baseline deviation)</x:v>
      </x:c>
      <x:c r="J97" s="42" t="str">
        <x:v>GOVERN 6.1; MAP 2.3; MAP 5.1; MEASURE 2.6; MANAGE 3.2</x:v>
      </x:c>
      <x:c r="K97" s="42" t="str">
        <x:v>GOVERN 6.1: - Collaboratively establish policies that address third-party AI systems and data. - Establish policies related to: - Transparency into third-party system functions, including knowledge about training data, training and inference algorithms, and assumptions and limitations. - Thorough testing of third-party AI systems. (See MEASURE for more detail) - Requirements for clear and complete instructions for third-party system usage. - Evaluate policies for third-party technology. - Establish policies that address supply chain, full product lifecycle and associated processes, including legal, ethical, and other issues concerning procurement and use of third-party software or hardware systems and data. MAP 2.3: - Identify and document experiment design and statistical techniques that are valid for testing complex socio-technical systems like AI, which involve human factors, emergent properties, and dynamic context(s) of use. - Develop and apply TEVV protocols for models, system and its subcomponents, deployment, and operation. - Demonstrate and document that AI system performance and validation metrics are interpretable and unambiguous for downstream decision making tasks, and take socio-technical factors such as context of use into consideration. - Identify and document assumptions, techniques, and metrics used for testing and evaluation throughout the AI lifecycle including experimental design techniques for data collection, selection, and management practices in accordance with data governance policies established in GOVERN.… MAP 5.1: - Establish assessment scales for measuring AI systems’ impact. Scales may be qualitative, such as red-amber-green (RAG), or may entail simulations or econometric approaches. Document and apply scales uniformly across the organization’s AI portfolio. - Apply TEVV regularly at key stages in the AI lifecycle, connected to system impacts and frequency of system updates. - Identify and document likelihood and magnitude of system benefits and negative impacts in relation to trustworthiness characteristics. - Establish processes for red teaming to identify and connect system limitations to AI lifecycle stage(s) and potential downstream impacts MEASURE 2.6: - Thoroughly measure system performance in development and deployment contexts, and under stress conditions. - Employ test data assessments and simulations before proceeding to production testing. Track multiple performance quality and error metrics. - Stress-test system performance under likely scenarios (e.g., concept drift, high load) and beyond known limitations, in consultation with domain experts. - Test the system under conditions similar to those related to past known incidents or near-misses and measure system performance and safety characteristics - Apply chaos engineering approaches to test systems in extreme conditions and gauge unexpected responses.…</x:v>
      </x:c>
      <x:c r="L97" s="42" t="str">
        <x:v>Derived by CSA domain/theme</x:v>
      </x:c>
      <x:c r="M97" s="42" t="str">
        <x:v>Annex A.6; Annex A.9; Annex A.10</x:v>
      </x:c>
      <x:c r="N97" s="42" t="str">
        <x:v>Annex A.6 – AI system life cycle: Define responsible development objectives, specify verification and validation, maintain technical documentation, and record/maintain event logs during system use. Annex A.9 – Use of AI systems: Define responsible AI use processes, ethical/appropriate-use objectives, intended-purpose usage boundaries, and monitoring/remediation for misuse or unintended consequences. Annex A.10 – Third-party and customer relationships: Define lifecycle responsibilities with third parties, manage AI suppliers, capture customer expectations, and review third-party roles through ongoing governance.</x:v>
      </x:c>
      <x:c r="O97" s="42" t="str">
        <x:v>Derived by control theme/domain</x:v>
      </x:c>
      <x:c r="P97" s="42" t="str">
        <x:v>Tie provider/model/library onboarding to supplier risk, licensing, model/data provenance, and AI-BOM/SBOM records.</x:v>
      </x:c>
      <x:c r="Q97" s="42" t="str">
        <x:v>OWASP LLM03:2025 Supply Chain; OWASP LLM02:2025 Sensitive Information Disclosure (for AI-generated code patterns); Snyk AI code security; GitHub CodeQL AI-security queries; Protect AI / HiddenLayer model scanners; Picklescan for unsafe model formats</x:v>
      </x:c>
      <x:c r="R97" s="42" t="str">
        <x:v>Secure SDLC/ML lifecycle procedures; design reviews; threat models; validation and verification plans; test results; code reviews; change approvals; release records; AI-BOM/SBOM where applicable.</x:v>
      </x:c>
      <x:c r="S97" s="42" t="str">
        <x:v>Trace a sample model/application release from requirements through testing and approval; verify validation gates, independent review, and documented acceptance criteria.</x:v>
      </x:c>
      <x:c r="T97" s="42" t="str">
        <x:v>Yes</x:v>
      </x:c>
      <x:c r="U97" s="42" t="str"/>
      <x:c r="V97" s="42" t="str"/>
      <x:c r="W97" s="42" t="str">
        <x:v>Not Assessed</x:v>
      </x:c>
      <x:c r="X97" s="44" t="n">
        <x:v>0</x:v>
      </x:c>
      <x:c r="Y97" s="44" t="n">
        <x:v>4</x:v>
      </x:c>
      <x:c r="Z97" s="42" t="str">
        <x:v>Not Provided</x:v>
      </x:c>
      <x:c r="AA97" s="42" t="str"/>
      <x:c r="AB97" s="42" t="str">
        <x:v>Not Tested</x:v>
      </x:c>
      <x:c r="AC97" s="46" t="str"/>
      <x:c r="AD97" s="42" t="str"/>
      <x:c r="AE97" s="42" t="str">
        <x:v>Not Assessed</x:v>
      </x:c>
      <x:c r="AF97" s="42" t="n">
        <x:f>IF($T97="No","",MAX(0,$Y97-$X97))</x:f>
        <x:v>4</x:v>
      </x:c>
      <x:c r="AG97" s="42" t="str">
        <x:f>IF($T97="No","Not Applicable",IF($X97&gt;=$C97,"Meets CSA Level","Gap to CSA Level"))</x:f>
        <x:v>Gap to CSA Level</x:v>
      </x:c>
      <x:c r="AH97" s="42" t="str">
        <x:f>IF($T97="No","Not Applicable",IF($J97="","Not Mapped",IF(AND(OR($W97="Implemented",$W97="Optimized"),$Z97="Validated",$AB97="Pass"),"Compliant",IF(AND(OR($W97="Partially Implemented",$W97="Implemented",$W97="Optimized"),OR($Z97="Reviewed",$Z97="Validated"),OR($AB97="Pass with Exceptions",$AB97="Pass")),"Partially Compliant","Not Compliant"))))</x:f>
        <x:v>Not Compliant</x:v>
      </x:c>
      <x:c r="AI97" s="42" t="str">
        <x:f>IF($T97="No","Not Applicable",IF($M97="","Not Mapped",IF(AND(OR($W97="Implemented",$W97="Optimized"),$Z97="Validated",$AB97="Pass"),"Compliant",IF(AND(OR($W97="Partially Implemented",$W97="Implemented",$W97="Optimized"),OR($Z97="Reviewed",$Z97="Validated"),OR($AB97="Pass with Exceptions",$AB97="Pass")),"Partially Compliant","Not Compliant"))))</x:f>
        <x:v>Not Compliant</x:v>
      </x:c>
      <x:c r="AJ97" s="42" t="str">
        <x:f>IF($T97="No","Not Applicable",IF(AND($AG97="Meets CSA Level",$AH97="Compliant",$AI97="Compliant"),"CSA AISMM; NIST AI RMF; ISO/IEC 42001",IF(AND($AG97="Meets CSA Level",$AH97="Compliant"),"CSA AISMM; NIST AI RMF",IF(AND($AG97="Meets CSA Level",$AI97="Compliant"),"CSA AISMM; ISO/IEC 42001",IF(AND($AH97="Compliant",$AI97="Compliant"),"NIST AI RMF; ISO/IEC 42001",IF($AG97="Meets CSA Level","CSA AISMM",IF($AH97="Compliant","NIST AI RMF",IF($AI97="Compliant","ISO/IEC 42001","No mapped framework fully compliant"))))))))</x:f>
        <x:v>No mapped framework fully compliant</x:v>
      </x:c>
      <x:c r="AK97" s="42" t="str"/>
      <x:c r="AL97" s="46" t="str"/>
      <x:c r="AM97" s="42" t="str"/>
      <x:c r="AN97" s="42" t="str">
        <x:v>CSA AISMM uploaded workbook; NIST AI RMF Playbook uploaded workbook; ISO/IEC 42001 checklist uploaded PDF; official CSA/NIST/ISO web sources listed on Sources sheet</x:v>
      </x:c>
    </x:row>
    <x:row r="98" ht="90" customHeight="1">
      <x:c r="A98" s="42" t="str">
        <x:v>AI Dev and Supply Chain</x:v>
      </x:c>
      <x:c r="B98" s="42" t="str">
        <x:v>DEV-04.2</x:v>
      </x:c>
      <x:c r="C98" s="42" t="n">
        <x:v>4</x:v>
      </x:c>
      <x:c r="D98" s="42" t="str">
        <x:v>DEV</x:v>
      </x:c>
      <x:c r="E98" s="42" t="str">
        <x:v>AI-BOM generated per release as authoritative inventory</x:v>
      </x:c>
      <x:c r="F98" s="42" t="str">
        <x:v>Production AI applications produce an AI-BOM per release covering models, AI libraries, MCP servers, and RAG data sources. Recent releases are retained, the AI-BOM is reconciled against runtime to catch drift, and it serves as the authoritative AI-component inventory consumed by ORG and RSK.</x:v>
      </x:c>
      <x:c r="G98" s="42" t="str">
        <x:v>Automated</x:v>
      </x:c>
      <x:c r="H98" s="42" t="str">
        <x:v>All</x:v>
      </x:c>
      <x:c r="I98" s="42" t="str">
        <x:v>STA-08 (supply chain inventory), STA-16 (service bill of material), TVM-05 (external library vulnerabilities)</x:v>
      </x:c>
      <x:c r="J98" s="42" t="str">
        <x:v>GOVERN 6.1; MAP 2.3; MAP 5.1; MEASURE 2.6; MANAGE 3.2</x:v>
      </x:c>
      <x:c r="K98" s="42" t="str">
        <x:v>GOVERN 6.1: - Collaboratively establish policies that address third-party AI systems and data. - Establish policies related to: - Transparency into third-party system functions, including knowledge about training data, training and inference algorithms, and assumptions and limitations. - Thorough testing of third-party AI systems. (See MEASURE for more detail) - Requirements for clear and complete instructions for third-party system usage. - Evaluate policies for third-party technology. - Establish policies that address supply chain, full product lifecycle and associated processes, including legal, ethical, and other issues concerning procurement and use of third-party software or hardware systems and data. MAP 2.3: - Identify and document experiment design and statistical techniques that are valid for testing complex socio-technical systems like AI, which involve human factors, emergent properties, and dynamic context(s) of use. - Develop and apply TEVV protocols for models, system and its subcomponents, deployment, and operation. - Demonstrate and document that AI system performance and validation metrics are interpretable and unambiguous for downstream decision making tasks, and take socio-technical factors such as context of use into consideration. - Identify and document assumptions, techniques, and metrics used for testing and evaluation throughout the AI lifecycle including experimental design techniques for data collection, selection, and management practices in accordance with data governance policies established in GOVERN.… MAP 5.1: - Establish assessment scales for measuring AI systems’ impact. Scales may be qualitative, such as red-amber-green (RAG), or may entail simulations or econometric approaches. Document and apply scales uniformly across the organization’s AI portfolio. - Apply TEVV regularly at key stages in the AI lifecycle, connected to system impacts and frequency of system updates. - Identify and document likelihood and magnitude of system benefits and negative impacts in relation to trustworthiness characteristics. - Establish processes for red teaming to identify and connect system limitations to AI lifecycle stage(s) and potential downstream impacts MEASURE 2.6: - Thoroughly measure system performance in development and deployment contexts, and under stress conditions. - Employ test data assessments and simulations before proceeding to production testing. Track multiple performance quality and error metrics. - Stress-test system performance under likely scenarios (e.g., concept drift, high load) and beyond known limitations, in consultation with domain experts. - Test the system under conditions similar to those related to past known incidents or near-misses and measure system performance and safety characteristics - Apply chaos engineering approaches to test systems in extreme conditions and gauge unexpected responses.…</x:v>
      </x:c>
      <x:c r="L98" s="42" t="str">
        <x:v>Derived by CSA domain/theme</x:v>
      </x:c>
      <x:c r="M98" s="42" t="str">
        <x:v>Annex A.4; Annex A.6; Annex A.7; Annex A.8</x:v>
      </x:c>
      <x:c r="N98" s="42" t="str">
        <x:v>Annex A.4 – Resources for AI systems: Maintain a register of AI resources including data, tools, systems, people, tooling, compute resources, and relevant operational/environmental impacts. Annex A.6 – AI system life cycle: Define responsible development objectives, specify verification and validation, maintain technical documentation, and record/maintain event logs during system use. Annex A.7 – Data for AI systems: Maintain documented AI data management, identify sources and provenance, record intended use, define data quality requirements, and document/justify preparation methods. Annex A.8 – Information for interested parties: Provide necessary documentation to users and interested parties; define incident reporting/escalation, incident communication, and stakeholder information requirements.</x:v>
      </x:c>
      <x:c r="O98" s="42" t="str">
        <x:v>Derived by control theme/domain</x:v>
      </x:c>
      <x:c r="P98" s="42" t="str">
        <x:v>Maintain authoritative AI inventory; link assets to owners, use cases, providers, data classes, and risk tiers. Tie provider/model/library onboarding to supplier risk, licensing, model/data provenance, and AI-BOM/SBOM records.</x:v>
      </x:c>
      <x:c r="Q98" s="42" t="str">
        <x:v>CycloneDX ML-BOM specification; SPDX AI Profile; NTIA minimum elements for SBOM; EU AI Act documentation requirements; NIST SP 800-218 SSDF Task PO.1.3</x:v>
      </x:c>
      <x:c r="R98" s="42" t="str">
        <x:v>Secure SDLC/ML lifecycle procedures; design reviews; threat models; validation and verification plans; test results; code reviews; change approvals; release records; AI-BOM/SBOM where applicable.</x:v>
      </x:c>
      <x:c r="S98" s="42" t="str">
        <x:v>Trace a sample model/application release from requirements through testing and approval; verify validation gates, independent review, and documented acceptance criteria.</x:v>
      </x:c>
      <x:c r="T98" s="42" t="str">
        <x:v>Yes</x:v>
      </x:c>
      <x:c r="U98" s="42" t="str"/>
      <x:c r="V98" s="42" t="str"/>
      <x:c r="W98" s="42" t="str">
        <x:v>Not Assessed</x:v>
      </x:c>
      <x:c r="X98" s="44" t="n">
        <x:v>0</x:v>
      </x:c>
      <x:c r="Y98" s="44" t="n">
        <x:v>4</x:v>
      </x:c>
      <x:c r="Z98" s="42" t="str">
        <x:v>Not Provided</x:v>
      </x:c>
      <x:c r="AA98" s="42" t="str"/>
      <x:c r="AB98" s="42" t="str">
        <x:v>Not Tested</x:v>
      </x:c>
      <x:c r="AC98" s="46" t="str"/>
      <x:c r="AD98" s="42" t="str"/>
      <x:c r="AE98" s="42" t="str">
        <x:v>Not Assessed</x:v>
      </x:c>
      <x:c r="AF98" s="42" t="n">
        <x:f>IF($T98="No","",MAX(0,$Y98-$X98))</x:f>
        <x:v>4</x:v>
      </x:c>
      <x:c r="AG98" s="42" t="str">
        <x:f>IF($T98="No","Not Applicable",IF($X98&gt;=$C98,"Meets CSA Level","Gap to CSA Level"))</x:f>
        <x:v>Gap to CSA Level</x:v>
      </x:c>
      <x:c r="AH98" s="42" t="str">
        <x:f>IF($T98="No","Not Applicable",IF($J98="","Not Mapped",IF(AND(OR($W98="Implemented",$W98="Optimized"),$Z98="Validated",$AB98="Pass"),"Compliant",IF(AND(OR($W98="Partially Implemented",$W98="Implemented",$W98="Optimized"),OR($Z98="Reviewed",$Z98="Validated"),OR($AB98="Pass with Exceptions",$AB98="Pass")),"Partially Compliant","Not Compliant"))))</x:f>
        <x:v>Not Compliant</x:v>
      </x:c>
      <x:c r="AI98" s="42" t="str">
        <x:f>IF($T98="No","Not Applicable",IF($M98="","Not Mapped",IF(AND(OR($W98="Implemented",$W98="Optimized"),$Z98="Validated",$AB98="Pass"),"Compliant",IF(AND(OR($W98="Partially Implemented",$W98="Implemented",$W98="Optimized"),OR($Z98="Reviewed",$Z98="Validated"),OR($AB98="Pass with Exceptions",$AB98="Pass")),"Partially Compliant","Not Compliant"))))</x:f>
        <x:v>Not Compliant</x:v>
      </x:c>
      <x:c r="AJ98" s="42" t="str">
        <x:f>IF($T98="No","Not Applicable",IF(AND($AG98="Meets CSA Level",$AH98="Compliant",$AI98="Compliant"),"CSA AISMM; NIST AI RMF; ISO/IEC 42001",IF(AND($AG98="Meets CSA Level",$AH98="Compliant"),"CSA AISMM; NIST AI RMF",IF(AND($AG98="Meets CSA Level",$AI98="Compliant"),"CSA AISMM; ISO/IEC 42001",IF(AND($AH98="Compliant",$AI98="Compliant"),"NIST AI RMF; ISO/IEC 42001",IF($AG98="Meets CSA Level","CSA AISMM",IF($AH98="Compliant","NIST AI RMF",IF($AI98="Compliant","ISO/IEC 42001","No mapped framework fully compliant"))))))))</x:f>
        <x:v>No mapped framework fully compliant</x:v>
      </x:c>
      <x:c r="AK98" s="42" t="str"/>
      <x:c r="AL98" s="46" t="str"/>
      <x:c r="AM98" s="42" t="str"/>
      <x:c r="AN98" s="42" t="str">
        <x:v>CSA AISMM uploaded workbook; NIST AI RMF Playbook uploaded workbook; ISO/IEC 42001 checklist uploaded PDF; official CSA/NIST/ISO web sources listed on Sources sheet</x:v>
      </x:c>
    </x:row>
    <x:row r="99" ht="90" customHeight="1">
      <x:c r="A99" s="42" t="str">
        <x:v>AI Dev and Supply Chain</x:v>
      </x:c>
      <x:c r="B99" s="42" t="str">
        <x:v>DEV-05.1</x:v>
      </x:c>
      <x:c r="C99" s="42" t="n">
        <x:v>5</x:v>
      </x:c>
      <x:c r="D99" s="42" t="str">
        <x:v>DEV</x:v>
      </x:c>
      <x:c r="E99" s="42" t="str">
        <x:v>Automated remediation suggestions for AI security findings</x:v>
      </x:c>
      <x:c r="F99" s="42" t="str">
        <x:v>AI security findings come with automated remediation suggestions (inline fix proposals, suggested patches) across the developer workflow at IDE, PR, and pipeline stages. Proposed fixes are tied to verifiable remediations, and developer acceptance rates are tracked to drive tooling improvement.</x:v>
      </x:c>
      <x:c r="G99" s="42" t="str">
        <x:v>Automated</x:v>
      </x:c>
      <x:c r="H99" s="42" t="str">
        <x:v>All</x:v>
      </x:c>
      <x:c r="I99" s="42" t="str">
        <x:v>CCC-02 (quality testing), TVM-08 (SDLC integration of vulnerability management — pre-commit extension)</x:v>
      </x:c>
      <x:c r="J99" s="42" t="str">
        <x:v>GOVERN 6.1; MAP 2.3; MAP 5.1; MEASURE 2.6; MANAGE 3.2</x:v>
      </x:c>
      <x:c r="K99" s="42" t="str">
        <x:v>GOVERN 6.1: - Collaboratively establish policies that address third-party AI systems and data. - Establish policies related to: - Transparency into third-party system functions, including knowledge about training data, training and inference algorithms, and assumptions and limitations. - Thorough testing of third-party AI systems. (See MEASURE for more detail) - Requirements for clear and complete instructions for third-party system usage. - Evaluate policies for third-party technology. - Establish policies that address supply chain, full product lifecycle and associated processes, including legal, ethical, and other issues concerning procurement and use of third-party software or hardware systems and data. MAP 2.3: - Identify and document experiment design and statistical techniques that are valid for testing complex socio-technical systems like AI, which involve human factors, emergent properties, and dynamic context(s) of use. - Develop and apply TEVV protocols for models, system and its subcomponents, deployment, and operation. - Demonstrate and document that AI system performance and validation metrics are interpretable and unambiguous for downstream decision making tasks, and take socio-technical factors such as context of use into consideration. - Identify and document assumptions, techniques, and metrics used for testing and evaluation throughout the AI lifecycle including experimental design techniques for data collection, selection, and management practices in accordance with data governance policies established in GOVERN.… MAP 5.1: - Establish assessment scales for measuring AI systems’ impact. Scales may be qualitative, such as red-amber-green (RAG), or may entail simulations or econometric approaches. Document and apply scales uniformly across the organization’s AI portfolio. - Apply TEVV regularly at key stages in the AI lifecycle, connected to system impacts and frequency of system updates. - Identify and document likelihood and magnitude of system benefits and negative impacts in relation to trustworthiness characteristics. - Establish processes for red teaming to identify and connect system limitations to AI lifecycle stage(s) and potential downstream impacts MEASURE 2.6: - Thoroughly measure system performance in development and deployment contexts, and under stress conditions. - Employ test data assessments and simulations before proceeding to production testing. Track multiple performance quality and error metrics. - Stress-test system performance under likely scenarios (e.g., concept drift, high load) and beyond known limitations, in consultation with domain experts. - Test the system under conditions similar to those related to past known incidents or near-misses and measure system performance and safety characteristics - Apply chaos engineering approaches to test systems in extreme conditions and gauge unexpected responses.…</x:v>
      </x:c>
      <x:c r="L99" s="42" t="str">
        <x:v>Derived by CSA domain/theme</x:v>
      </x:c>
      <x:c r="M99" s="42" t="str">
        <x:v>Annex A.6; Annex A.9</x:v>
      </x:c>
      <x:c r="N99" s="42" t="str">
        <x:v>Annex A.6 – AI system life cycle: Define responsible development objectives, specify verification and validation, maintain technical documentation, and record/maintain event logs during system use. Annex A.9 – Use of AI systems: Define responsible AI use processes, ethical/appropriate-use objectives, intended-purpose usage boundaries, and monitoring/remediation for misuse or unintended consequences.</x:v>
      </x:c>
      <x:c r="O99" s="42" t="str">
        <x:v>Derived by control theme/domain</x:v>
      </x:c>
      <x:c r="P99" s="42" t="str">
        <x:v>Tie provider/model/library onboarding to supplier risk, licensing, model/data provenance, and AI-BOM/SBOM records.</x:v>
      </x:c>
      <x:c r="Q99" s="42" t="str">
        <x:v>GitHub Copilot Autofix in-IDE; Snyk IDE plugin with AI code checks; Cursor and Claude Code agentic security capabilities; OWASP LLM03/LLM02 coverage during authoring</x:v>
      </x:c>
      <x:c r="R99" s="42" t="str">
        <x:v>Secure SDLC/ML lifecycle procedures; design reviews; threat models; validation and verification plans; test results; code reviews; change approvals; release records; AI-BOM/SBOM where applicable.</x:v>
      </x:c>
      <x:c r="S99" s="42" t="str">
        <x:v>Trace a sample model/application release from requirements through testing and approval; verify validation gates, independent review, and documented acceptance criteria.</x:v>
      </x:c>
      <x:c r="T99" s="42" t="str">
        <x:v>Yes</x:v>
      </x:c>
      <x:c r="U99" s="42" t="str"/>
      <x:c r="V99" s="42" t="str"/>
      <x:c r="W99" s="42" t="str">
        <x:v>Not Assessed</x:v>
      </x:c>
      <x:c r="X99" s="44" t="n">
        <x:v>0</x:v>
      </x:c>
      <x:c r="Y99" s="44" t="n">
        <x:v>5</x:v>
      </x:c>
      <x:c r="Z99" s="42" t="str">
        <x:v>Not Provided</x:v>
      </x:c>
      <x:c r="AA99" s="42" t="str"/>
      <x:c r="AB99" s="42" t="str">
        <x:v>Not Tested</x:v>
      </x:c>
      <x:c r="AC99" s="46" t="str"/>
      <x:c r="AD99" s="42" t="str"/>
      <x:c r="AE99" s="42" t="str">
        <x:v>Not Assessed</x:v>
      </x:c>
      <x:c r="AF99" s="42" t="n">
        <x:f>IF($T99="No","",MAX(0,$Y99-$X99))</x:f>
        <x:v>5</x:v>
      </x:c>
      <x:c r="AG99" s="42" t="str">
        <x:f>IF($T99="No","Not Applicable",IF($X99&gt;=$C99,"Meets CSA Level","Gap to CSA Level"))</x:f>
        <x:v>Gap to CSA Level</x:v>
      </x:c>
      <x:c r="AH99" s="42" t="str">
        <x:f>IF($T99="No","Not Applicable",IF($J99="","Not Mapped",IF(AND(OR($W99="Implemented",$W99="Optimized"),$Z99="Validated",$AB99="Pass"),"Compliant",IF(AND(OR($W99="Partially Implemented",$W99="Implemented",$W99="Optimized"),OR($Z99="Reviewed",$Z99="Validated"),OR($AB99="Pass with Exceptions",$AB99="Pass")),"Partially Compliant","Not Compliant"))))</x:f>
        <x:v>Not Compliant</x:v>
      </x:c>
      <x:c r="AI99" s="42" t="str">
        <x:f>IF($T99="No","Not Applicable",IF($M99="","Not Mapped",IF(AND(OR($W99="Implemented",$W99="Optimized"),$Z99="Validated",$AB99="Pass"),"Compliant",IF(AND(OR($W99="Partially Implemented",$W99="Implemented",$W99="Optimized"),OR($Z99="Reviewed",$Z99="Validated"),OR($AB99="Pass with Exceptions",$AB99="Pass")),"Partially Compliant","Not Compliant"))))</x:f>
        <x:v>Not Compliant</x:v>
      </x:c>
      <x:c r="AJ99" s="42" t="str">
        <x:f>IF($T99="No","Not Applicable",IF(AND($AG99="Meets CSA Level",$AH99="Compliant",$AI99="Compliant"),"CSA AISMM; NIST AI RMF; ISO/IEC 42001",IF(AND($AG99="Meets CSA Level",$AH99="Compliant"),"CSA AISMM; NIST AI RMF",IF(AND($AG99="Meets CSA Level",$AI99="Compliant"),"CSA AISMM; ISO/IEC 42001",IF(AND($AH99="Compliant",$AI99="Compliant"),"NIST AI RMF; ISO/IEC 42001",IF($AG99="Meets CSA Level","CSA AISMM",IF($AH99="Compliant","NIST AI RMF",IF($AI99="Compliant","ISO/IEC 42001","No mapped framework fully compliant"))))))))</x:f>
        <x:v>No mapped framework fully compliant</x:v>
      </x:c>
      <x:c r="AK99" s="42" t="str"/>
      <x:c r="AL99" s="46" t="str"/>
      <x:c r="AM99" s="42" t="str"/>
      <x:c r="AN99" s="42" t="str">
        <x:v>CSA AISMM uploaded workbook; NIST AI RMF Playbook uploaded workbook; ISO/IEC 42001 checklist uploaded PDF; official CSA/NIST/ISO web sources listed on Sources sheet</x:v>
      </x:c>
    </x:row>
    <x:row r="100" ht="90" customHeight="1">
      <x:c r="A100" s="42" t="str">
        <x:v>AI Dev and Supply Chain</x:v>
      </x:c>
      <x:c r="B100" s="42" t="str">
        <x:v>DEV-05.2</x:v>
      </x:c>
      <x:c r="C100" s="42" t="n">
        <x:v>5</x:v>
      </x:c>
      <x:c r="D100" s="42" t="str">
        <x:v>DEV</x:v>
      </x:c>
      <x:c r="E100" s="42" t="str">
        <x:v>Proactive AI supply chain vulnerability alerting</x:v>
      </x:c>
      <x:c r="F100" s="42" t="str">
        <x:v>New vulnerabilities in AI-BOM components auto-correlate against the AI-BOM to produce a blast-radius list routed to the named owning team, triaged against a defined SLA, so the time from public disclosure to owning-team action is bounded. Abandoned AI libraries are flagged for replacement before they become a latent supply-chain risk.</x:v>
      </x:c>
      <x:c r="G100" s="42" t="str">
        <x:v>Automated</x:v>
      </x:c>
      <x:c r="H100" s="42" t="str">
        <x:v>All</x:v>
      </x:c>
      <x:c r="I100" s="42" t="str">
        <x:v>STA-08 (supply chain inventory), STA-16 (service bill of material), TVM-04 (detection updates), TVM-05 (external library vulnerabilities), TVM-09 (vulnerability management reporting), CCC-07 (detection of baseline deviation)</x:v>
      </x:c>
      <x:c r="J100" s="42" t="str">
        <x:v>GOVERN 6.1; MAP 2.3; MAP 5.1; MEASURE 2.6; MANAGE 3.2</x:v>
      </x:c>
      <x:c r="K100" s="42" t="str">
        <x:v>GOVERN 6.1: - Collaboratively establish policies that address third-party AI systems and data. - Establish policies related to: - Transparency into third-party system functions, including knowledge about training data, training and inference algorithms, and assumptions and limitations. - Thorough testing of third-party AI systems. (See MEASURE for more detail) - Requirements for clear and complete instructions for third-party system usage. - Evaluate policies for third-party technology. - Establish policies that address supply chain, full product lifecycle and associated processes, including legal, ethical, and other issues concerning procurement and use of third-party software or hardware systems and data. MAP 2.3: - Identify and document experiment design and statistical techniques that are valid for testing complex socio-technical systems like AI, which involve human factors, emergent properties, and dynamic context(s) of use. - Develop and apply TEVV protocols for models, system and its subcomponents, deployment, and operation. - Demonstrate and document that AI system performance and validation metrics are interpretable and unambiguous for downstream decision making tasks, and take socio-technical factors such as context of use into consideration. - Identify and document assumptions, techniques, and metrics used for testing and evaluation throughout the AI lifecycle including experimental design techniques for data collection, selection, and management practices in accordance with data governance policies established in GOVERN.… MAP 5.1: - Establish assessment scales for measuring AI systems’ impact. Scales may be qualitative, such as red-amber-green (RAG), or may entail simulations or econometric approaches. Document and apply scales uniformly across the organization’s AI portfolio. - Apply TEVV regularly at key stages in the AI lifecycle, connected to system impacts and frequency of system updates. - Identify and document likelihood and magnitude of system benefits and negative impacts in relation to trustworthiness characteristics. - Establish processes for red teaming to identify and connect system limitations to AI lifecycle stage(s) and potential downstream impacts MEASURE 2.6: - Thoroughly measure system performance in development and deployment contexts, and under stress conditions. - Employ test data assessments and simulations before proceeding to production testing. Track multiple performance quality and error metrics. - Stress-test system performance under likely scenarios (e.g., concept drift, high load) and beyond known limitations, in consultation with domain experts. - Test the system under conditions similar to those related to past known incidents or near-misses and measure system performance and safety characteristics - Apply chaos engineering approaches to test systems in extreme conditions and gauge unexpected responses.…</x:v>
      </x:c>
      <x:c r="L100" s="42" t="str">
        <x:v>Derived by CSA domain/theme</x:v>
      </x:c>
      <x:c r="M100" s="42" t="str">
        <x:v>Annex A.6; Annex A.7; Annex A.10</x:v>
      </x:c>
      <x:c r="N100" s="42" t="str">
        <x:v>Annex A.6 – AI system life cycle: Define responsible development objectives, specify verification and validation, maintain technical documentation, and record/maintain event logs during system use. Annex A.7 – Data for AI systems: Maintain documented AI data management, identify sources and provenance, record intended use, define data quality requirements, and document/justify preparation methods. Annex A.10 – Third-party and customer relationships: Define lifecycle responsibilities with third parties, manage AI suppliers, capture customer expectations, and review third-party roles through ongoing governance.</x:v>
      </x:c>
      <x:c r="O100" s="42" t="str">
        <x:v>Derived by control theme/domain</x:v>
      </x:c>
      <x:c r="P100" s="42" t="str">
        <x:v>Tie provider/model/library onboarding to supplier risk, licensing, model/data provenance, and AI-BOM/SBOM records.</x:v>
      </x:c>
      <x:c r="Q100" s="42" t="str">
        <x:v>OWASP LLM03:2025 Supply Chain; GitHub Advisory Database; PyPI Advisory Database; LangChain security advisories; HuggingFace model-card change notifications; CycloneDX ML-BOM + VEX integration</x:v>
      </x:c>
      <x:c r="R100" s="42" t="str">
        <x:v>Secure SDLC/ML lifecycle procedures; design reviews; threat models; validation and verification plans; test results; code reviews; change approvals; release records; AI-BOM/SBOM where applicable.</x:v>
      </x:c>
      <x:c r="S100" s="42" t="str">
        <x:v>Trace a sample model/application release from requirements through testing and approval; verify validation gates, independent review, and documented acceptance criteria.</x:v>
      </x:c>
      <x:c r="T100" s="42" t="str">
        <x:v>Yes</x:v>
      </x:c>
      <x:c r="U100" s="42" t="str"/>
      <x:c r="V100" s="42" t="str"/>
      <x:c r="W100" s="42" t="str">
        <x:v>Not Assessed</x:v>
      </x:c>
      <x:c r="X100" s="44" t="n">
        <x:v>0</x:v>
      </x:c>
      <x:c r="Y100" s="44" t="n">
        <x:v>5</x:v>
      </x:c>
      <x:c r="Z100" s="42" t="str">
        <x:v>Not Provided</x:v>
      </x:c>
      <x:c r="AA100" s="42" t="str"/>
      <x:c r="AB100" s="42" t="str">
        <x:v>Not Tested</x:v>
      </x:c>
      <x:c r="AC100" s="46" t="str"/>
      <x:c r="AD100" s="42" t="str"/>
      <x:c r="AE100" s="42" t="str">
        <x:v>Not Assessed</x:v>
      </x:c>
      <x:c r="AF100" s="42" t="n">
        <x:f>IF($T100="No","",MAX(0,$Y100-$X100))</x:f>
        <x:v>5</x:v>
      </x:c>
      <x:c r="AG100" s="42" t="str">
        <x:f>IF($T100="No","Not Applicable",IF($X100&gt;=$C100,"Meets CSA Level","Gap to CSA Level"))</x:f>
        <x:v>Gap to CSA Level</x:v>
      </x:c>
      <x:c r="AH100" s="42" t="str">
        <x:f>IF($T100="No","Not Applicable",IF($J100="","Not Mapped",IF(AND(OR($W100="Implemented",$W100="Optimized"),$Z100="Validated",$AB100="Pass"),"Compliant",IF(AND(OR($W100="Partially Implemented",$W100="Implemented",$W100="Optimized"),OR($Z100="Reviewed",$Z100="Validated"),OR($AB100="Pass with Exceptions",$AB100="Pass")),"Partially Compliant","Not Compliant"))))</x:f>
        <x:v>Not Compliant</x:v>
      </x:c>
      <x:c r="AI100" s="42" t="str">
        <x:f>IF($T100="No","Not Applicable",IF($M100="","Not Mapped",IF(AND(OR($W100="Implemented",$W100="Optimized"),$Z100="Validated",$AB100="Pass"),"Compliant",IF(AND(OR($W100="Partially Implemented",$W100="Implemented",$W100="Optimized"),OR($Z100="Reviewed",$Z100="Validated"),OR($AB100="Pass with Exceptions",$AB100="Pass")),"Partially Compliant","Not Compliant"))))</x:f>
        <x:v>Not Compliant</x:v>
      </x:c>
      <x:c r="AJ100" s="42" t="str">
        <x:f>IF($T100="No","Not Applicable",IF(AND($AG100="Meets CSA Level",$AH100="Compliant",$AI100="Compliant"),"CSA AISMM; NIST AI RMF; ISO/IEC 42001",IF(AND($AG100="Meets CSA Level",$AH100="Compliant"),"CSA AISMM; NIST AI RMF",IF(AND($AG100="Meets CSA Level",$AI100="Compliant"),"CSA AISMM; ISO/IEC 42001",IF(AND($AH100="Compliant",$AI100="Compliant"),"NIST AI RMF; ISO/IEC 42001",IF($AG100="Meets CSA Level","CSA AISMM",IF($AH100="Compliant","NIST AI RMF",IF($AI100="Compliant","ISO/IEC 42001","No mapped framework fully compliant"))))))))</x:f>
        <x:v>No mapped framework fully compliant</x:v>
      </x:c>
      <x:c r="AK100" s="42" t="str"/>
      <x:c r="AL100" s="46" t="str"/>
      <x:c r="AM100" s="42" t="str"/>
      <x:c r="AN100" s="42" t="str">
        <x:v>CSA AISMM uploaded workbook; NIST AI RMF Playbook uploaded workbook; ISO/IEC 42001 checklist uploaded PDF; official CSA/NIST/ISO web sources listed on Sources sheet</x:v>
      </x:c>
    </x:row>
    <x:row r="101" ht="90" customHeight="1">
      <x:c r="A101" s="42" t="str">
        <x:v>Privacy and Compliance</x:v>
      </x:c>
      <x:c r="B101" s="42" t="str">
        <x:v>CMP-02.1</x:v>
      </x:c>
      <x:c r="C101" s="42" t="n">
        <x:v>2</x:v>
      </x:c>
      <x:c r="D101" s="42" t="str">
        <x:v>CMP</x:v>
      </x:c>
      <x:c r="E101" s="42" t="str">
        <x:v>Regulatory applicability per AI deployment</x:v>
      </x:c>
      <x:c r="F101" s="42" t="str">
        <x:v>Major production AI deployments carry a current regulatory applicability record signed by Legal or Compliance, naming which AI rules, privacy regulations, sector rules, and internal policy scopes apply and which do not.</x:v>
      </x:c>
      <x:c r="G101" s="42" t="str">
        <x:v>Manual</x:v>
      </x:c>
      <x:c r="H101" s="42" t="str">
        <x:v>All</x:v>
      </x:c>
      <x:c r="I101" s="42" t="str">
        <x:v>GRC-07 (Information System Regulatory Mapping), A&amp;A-04 (Requirements Compliance)</x:v>
      </x:c>
      <x:c r="J101" s="42" t="str">
        <x:v>GOVERN 1.1; GOVERN 1</x:v>
      </x:c>
      <x:c r="K101" s="42" t="str">
        <x:v>GOVERN 1.1: * Maintain awareness of the applicable legal and regulatory considerations and requirements specific to industry, sector, and business purpose, as well as the application context of the deployed AI system. * Align risk management efforts with applicable legal standards. * Maintain policies for training (and re-training) organizational staff about necessary legal or regulatory considerations that may impact AI-related design, development and deployment activities.</x:v>
      </x:c>
      <x:c r="L101" s="42" t="str">
        <x:v>Direct from AISMM external reference</x:v>
      </x:c>
      <x:c r="M101" s="42" t="str">
        <x:v>Annex A.2</x:v>
      </x:c>
      <x:c r="N101" s="42" t="str">
        <x:v>Annex A.2 – Policies related to AI: Document and approve AI policy, include responsible AI principles and continual improvement, review policy regularly, and align it to other relevant organizational policies.</x:v>
      </x:c>
      <x:c r="O101" s="42" t="str">
        <x:v>Derived by control theme/domain</x:v>
      </x:c>
      <x:c r="P101" s="42" t="str">
        <x:v>Record regulatory applicability, DPIA/PIA status, stakeholder disclosures, and evidence collection.</x:v>
      </x:c>
      <x:c r="Q101" s="42" t="str">
        <x:v>EU AI Act risk classification (prohibited / high-risk / limited-risk / minimal-risk); NIST AI RMF GOVERN-1.1; state AI laws (Colorado AI Act, NYC Local Law 144); sector rules (SR 11-7, HIPAA, GLBA, SEC Marketing Rule)</x:v>
      </x:c>
      <x:c r="R101" s="42" t="str">
        <x:v>Control-specific policy/procedure, implementation record, sample evidence, and monitoring proof.</x:v>
      </x:c>
      <x:c r="S101" s="42" t="str">
        <x:v>Inspect design, sample implementation evidence, interview owner, and verify operating effectiveness.</x:v>
      </x:c>
      <x:c r="T101" s="42" t="str">
        <x:v>Yes</x:v>
      </x:c>
      <x:c r="U101" s="42" t="str"/>
      <x:c r="V101" s="42" t="str"/>
      <x:c r="W101" s="42" t="str">
        <x:v>Not Assessed</x:v>
      </x:c>
      <x:c r="X101" s="44" t="n">
        <x:v>0</x:v>
      </x:c>
      <x:c r="Y101" s="44" t="n">
        <x:v>2</x:v>
      </x:c>
      <x:c r="Z101" s="42" t="str">
        <x:v>Not Provided</x:v>
      </x:c>
      <x:c r="AA101" s="42" t="str"/>
      <x:c r="AB101" s="42" t="str">
        <x:v>Not Tested</x:v>
      </x:c>
      <x:c r="AC101" s="46" t="str"/>
      <x:c r="AD101" s="42" t="str"/>
      <x:c r="AE101" s="42" t="str">
        <x:v>Not Assessed</x:v>
      </x:c>
      <x:c r="AF101" s="42" t="n">
        <x:f>IF($T101="No","",MAX(0,$Y101-$X101))</x:f>
        <x:v>2</x:v>
      </x:c>
      <x:c r="AG101" s="42" t="str">
        <x:f>IF($T101="No","Not Applicable",IF($X101&gt;=$C101,"Meets CSA Level","Gap to CSA Level"))</x:f>
        <x:v>Gap to CSA Level</x:v>
      </x:c>
      <x:c r="AH101" s="42" t="str">
        <x:f>IF($T101="No","Not Applicable",IF($J101="","Not Mapped",IF(AND(OR($W101="Implemented",$W101="Optimized"),$Z101="Validated",$AB101="Pass"),"Compliant",IF(AND(OR($W101="Partially Implemented",$W101="Implemented",$W101="Optimized"),OR($Z101="Reviewed",$Z101="Validated"),OR($AB101="Pass with Exceptions",$AB101="Pass")),"Partially Compliant","Not Compliant"))))</x:f>
        <x:v>Not Compliant</x:v>
      </x:c>
      <x:c r="AI101" s="42" t="str">
        <x:f>IF($T101="No","Not Applicable",IF($M101="","Not Mapped",IF(AND(OR($W101="Implemented",$W101="Optimized"),$Z101="Validated",$AB101="Pass"),"Compliant",IF(AND(OR($W101="Partially Implemented",$W101="Implemented",$W101="Optimized"),OR($Z101="Reviewed",$Z101="Validated"),OR($AB101="Pass with Exceptions",$AB101="Pass")),"Partially Compliant","Not Compliant"))))</x:f>
        <x:v>Not Compliant</x:v>
      </x:c>
      <x:c r="AJ101" s="42" t="str">
        <x:f>IF($T101="No","Not Applicable",IF(AND($AG101="Meets CSA Level",$AH101="Compliant",$AI101="Compliant"),"CSA AISMM; NIST AI RMF; ISO/IEC 42001",IF(AND($AG101="Meets CSA Level",$AH101="Compliant"),"CSA AISMM; NIST AI RMF",IF(AND($AG101="Meets CSA Level",$AI101="Compliant"),"CSA AISMM; ISO/IEC 42001",IF(AND($AH101="Compliant",$AI101="Compliant"),"NIST AI RMF; ISO/IEC 42001",IF($AG101="Meets CSA Level","CSA AISMM",IF($AH101="Compliant","NIST AI RMF",IF($AI101="Compliant","ISO/IEC 42001","No mapped framework fully compliant"))))))))</x:f>
        <x:v>No mapped framework fully compliant</x:v>
      </x:c>
      <x:c r="AK101" s="42" t="str"/>
      <x:c r="AL101" s="46" t="str"/>
      <x:c r="AM101" s="42" t="str"/>
      <x:c r="AN101" s="42" t="str">
        <x:v>CSA AISMM uploaded workbook; NIST AI RMF Playbook uploaded workbook; ISO/IEC 42001 checklist uploaded PDF; official CSA/NIST/ISO web sources listed on Sources sheet</x:v>
      </x:c>
    </x:row>
    <x:row r="102" ht="90" customHeight="1">
      <x:c r="A102" s="42" t="str">
        <x:v>Privacy and Compliance</x:v>
      </x:c>
      <x:c r="B102" s="42" t="str">
        <x:v>CMP-02.2</x:v>
      </x:c>
      <x:c r="C102" s="42" t="n">
        <x:v>2</x:v>
      </x:c>
      <x:c r="D102" s="42" t="str">
        <x:v>CMP</x:v>
      </x:c>
      <x:c r="E102" s="42" t="str">
        <x:v>Model and dataset license inventory</x:v>
      </x:c>
      <x:c r="F102" s="42" t="str">
        <x:v>Major production AI deployments name the licenses governing the model, any organization-owned fine-tuning or RAG data, and any external datasets or retrieval corpora the deployment depends on.</x:v>
      </x:c>
      <x:c r="G102" s="42" t="str">
        <x:v>Manual</x:v>
      </x:c>
      <x:c r="H102" s="42" t="str">
        <x:v>All</x:v>
      </x:c>
      <x:c r="I102" s="42" t="str">
        <x:v>GRC-07 (regulatory mapping — includes licensing/contractual obligations), MDS-12 (open model risk assessment — license item)</x:v>
      </x:c>
      <x:c r="J102" s="42" t="str">
        <x:v>GOVERN 1.1; GOVERN 1.4; MEASURE 1.1; MEASURE 3.1; MANAGE 1.2</x:v>
      </x:c>
      <x:c r="K102" s="42" t="str">
        <x:v>GOVERN 1.1: * Maintain awareness of the applicable legal and regulatory considerations and requirements specific to industry, sector, and business purpose, as well as the application context of the deployed AI system. * Align risk management efforts with applicable legal standards. * Maintain policies for training (and re-training) organizational staff about necessary legal or regulatory considerations that may impact AI-related design, development and deployment activities. GOVERN 1.4: - Establish and regularly review documentation policies that, among others, address information related to: - AI actors contact informations - Business justification - Scope and usages - Expected and potential risks and impacts - Assumptions and limitations - Description and characterization of training data - Algorithmic methodology - Evaluated alternative approaches - Description of output data - Testing and validation results (including explanatory visualizations and information) - Down- and up-stream dependencies - Plans for deployment, monitoring, and change management - Stakeholder engagement plans - Verify documentation policies for AI systems are standardized across the organization and remain current. - Establish policies for a model documentation inventory system and regularly review its completeness, usability, and efficacy.… MEASURE 1.1: - Establish approaches for detecting, tracking and measuring known risks, errors, incidents or negative impacts. - Identify testing procedures and metrics to demonstrate whether or not the system is fit for purpose and functioning as claimed. - Identify testing procedures and metrics to demonstrate AI system trustworthiness - Define acceptable limits for system performance (e.g. distribution of errors), and include course correction suggestions if/when the system performs beyond acceptable limits. - Define metrics for, and regularly assess, AI actor competency for effective system operation, - Identify transparency metrics to assess whether stakeholders have access to necessary information about system design, development, deployment, use, and evaluation.… MEASURE 3.1: - Compare AI system risks with: - simpler or traditional models - human baseline performance - other manual performance benchmarks - Compare end user and community feedback about deployed AI systems to internal measures of system performance. - Assess effectiveness of metrics for identifying and measuring emergent risks. - Measure error response times and track response quality. - Elicit and track feedback from AI actors in user support roles about the type of metrics, explanations and other system information required for fulsome resolution of system issues. Consider: - Instances where explanations are insufficient for investigating possible error sources or identifying responses. - System metrics, including system logs and explanations, for identifying and diagnosing sources of system error.… MANAGE 1.2:…</x:v>
      </x:c>
      <x:c r="L102" s="42" t="str">
        <x:v>Derived by CSA domain/theme</x:v>
      </x:c>
      <x:c r="M102" s="42" t="str">
        <x:v>Annex A.4; Annex A.6; Annex A.7; Annex A.10</x:v>
      </x:c>
      <x:c r="N102" s="42" t="str">
        <x:v>Annex A.4 – Resources for AI systems: Maintain a register of AI resources including data, tools, systems, people, tooling, compute resources, and relevant operational/environmental impacts. Annex A.6 – AI system life cycle: Define responsible development objectives, specify verification and validation, maintain technical documentation, and record/maintain event logs during system use. Annex A.7 – Data for AI systems: Maintain documented AI data management, identify sources and provenance, record intended use, define data quality requirements, and document/justify preparation methods. Annex A.10 – Third-party and customer relationships: Define lifecycle responsibilities with third parties, manage AI suppliers, capture customer expectations, and review third-party roles through ongoing governance.</x:v>
      </x:c>
      <x:c r="O102" s="42" t="str">
        <x:v>Derived by control theme/domain</x:v>
      </x:c>
      <x:c r="P102" s="42" t="str">
        <x:v>Maintain authoritative AI inventory; link assets to owners, use cases, providers, data classes, and risk tiers. Record regulatory applicability, DPIA/PIA status, stakeholder disclosures, and evidence collection. Tie provider/model/library onboarding to supplier risk, licensing, model/data provenance, and AI-BOM/SBOM records.</x:v>
      </x:c>
      <x:c r="Q102" s="42" t="str">
        <x:v>OWASP LLM03:2025 Supply Chain; HuggingFace license taxonomy; provider service terms (AWS Bedrock, Azure OpenAI, Anthropic, OpenAI, Google Vertex AI)</x:v>
      </x:c>
      <x:c r="R102" s="42" t="str">
        <x:v>Control-specific policy/procedure, implementation record, sample evidence, and monitoring proof.</x:v>
      </x:c>
      <x:c r="S102" s="42" t="str">
        <x:v>Inspect design, sample implementation evidence, interview owner, and verify operating effectiveness.</x:v>
      </x:c>
      <x:c r="T102" s="42" t="str">
        <x:v>Yes</x:v>
      </x:c>
      <x:c r="U102" s="42" t="str"/>
      <x:c r="V102" s="42" t="str"/>
      <x:c r="W102" s="42" t="str">
        <x:v>Not Assessed</x:v>
      </x:c>
      <x:c r="X102" s="44" t="n">
        <x:v>0</x:v>
      </x:c>
      <x:c r="Y102" s="44" t="n">
        <x:v>2</x:v>
      </x:c>
      <x:c r="Z102" s="42" t="str">
        <x:v>Not Provided</x:v>
      </x:c>
      <x:c r="AA102" s="42" t="str"/>
      <x:c r="AB102" s="42" t="str">
        <x:v>Not Tested</x:v>
      </x:c>
      <x:c r="AC102" s="46" t="str"/>
      <x:c r="AD102" s="42" t="str"/>
      <x:c r="AE102" s="42" t="str">
        <x:v>Not Assessed</x:v>
      </x:c>
      <x:c r="AF102" s="42" t="n">
        <x:f>IF($T102="No","",MAX(0,$Y102-$X102))</x:f>
        <x:v>2</x:v>
      </x:c>
      <x:c r="AG102" s="42" t="str">
        <x:f>IF($T102="No","Not Applicable",IF($X102&gt;=$C102,"Meets CSA Level","Gap to CSA Level"))</x:f>
        <x:v>Gap to CSA Level</x:v>
      </x:c>
      <x:c r="AH102" s="42" t="str">
        <x:f>IF($T102="No","Not Applicable",IF($J102="","Not Mapped",IF(AND(OR($W102="Implemented",$W102="Optimized"),$Z102="Validated",$AB102="Pass"),"Compliant",IF(AND(OR($W102="Partially Implemented",$W102="Implemented",$W102="Optimized"),OR($Z102="Reviewed",$Z102="Validated"),OR($AB102="Pass with Exceptions",$AB102="Pass")),"Partially Compliant","Not Compliant"))))</x:f>
        <x:v>Not Compliant</x:v>
      </x:c>
      <x:c r="AI102" s="42" t="str">
        <x:f>IF($T102="No","Not Applicable",IF($M102="","Not Mapped",IF(AND(OR($W102="Implemented",$W102="Optimized"),$Z102="Validated",$AB102="Pass"),"Compliant",IF(AND(OR($W102="Partially Implemented",$W102="Implemented",$W102="Optimized"),OR($Z102="Reviewed",$Z102="Validated"),OR($AB102="Pass with Exceptions",$AB102="Pass")),"Partially Compliant","Not Compliant"))))</x:f>
        <x:v>Not Compliant</x:v>
      </x:c>
      <x:c r="AJ102" s="42" t="str">
        <x:f>IF($T102="No","Not Applicable",IF(AND($AG102="Meets CSA Level",$AH102="Compliant",$AI102="Compliant"),"CSA AISMM; NIST AI RMF; ISO/IEC 42001",IF(AND($AG102="Meets CSA Level",$AH102="Compliant"),"CSA AISMM; NIST AI RMF",IF(AND($AG102="Meets CSA Level",$AI102="Compliant"),"CSA AISMM; ISO/IEC 42001",IF(AND($AH102="Compliant",$AI102="Compliant"),"NIST AI RMF; ISO/IEC 42001",IF($AG102="Meets CSA Level","CSA AISMM",IF($AH102="Compliant","NIST AI RMF",IF($AI102="Compliant","ISO/IEC 42001","No mapped framework fully compliant"))))))))</x:f>
        <x:v>No mapped framework fully compliant</x:v>
      </x:c>
      <x:c r="AK102" s="42" t="str"/>
      <x:c r="AL102" s="46" t="str"/>
      <x:c r="AM102" s="42" t="str"/>
      <x:c r="AN102" s="42" t="str">
        <x:v>CSA AISMM uploaded workbook; NIST AI RMF Playbook uploaded workbook; ISO/IEC 42001 checklist uploaded PDF; official CSA/NIST/ISO web sources listed on Sources sheet</x:v>
      </x:c>
    </x:row>
    <x:row r="103" ht="90" customHeight="1">
      <x:c r="A103" s="42" t="str">
        <x:v>Privacy and Compliance</x:v>
      </x:c>
      <x:c r="B103" s="42" t="str">
        <x:v>CMP-03.1</x:v>
      </x:c>
      <x:c r="C103" s="42" t="n">
        <x:v>3</x:v>
      </x:c>
      <x:c r="D103" s="42" t="str">
        <x:v>CMP</x:v>
      </x:c>
      <x:c r="E103" s="42" t="str">
        <x:v>Scheduled compliance assessment against AI policies</x:v>
      </x:c>
      <x:c r="F103" s="42" t="str">
        <x:v>Production AI deployments are assessed on a scheduled cadence against the AI policies Governance has authored, with findings carrying named remediation owners and target dates or signed time-bound risk acceptance.</x:v>
      </x:c>
      <x:c r="G103" s="42" t="str">
        <x:v>Manual</x:v>
      </x:c>
      <x:c r="H103" s="42" t="str">
        <x:v>All</x:v>
      </x:c>
      <x:c r="I103" s="42" t="str">
        <x:v>A&amp;A-02 (Independent Assessments), A&amp;A-05 (Audit Management Process), GRC-09 (Acceptable Use of the AI Service — verification side)</x:v>
      </x:c>
      <x:c r="J103" s="42" t="str">
        <x:v>MEASURE 1</x:v>
      </x:c>
      <x:c r="K103" s="42" t="str">
        <x:v>MEASURE 1: Parent AI RMF category/function referenced; use associated subcategory rows for testable control language.</x:v>
      </x:c>
      <x:c r="L103" s="42" t="str">
        <x:v>Direct from AISMM external reference</x:v>
      </x:c>
      <x:c r="M103" s="42" t="str">
        <x:v>Annex A.7</x:v>
      </x:c>
      <x:c r="N103" s="42" t="str">
        <x:v>Annex A.7 – Data for AI systems: Maintain documented AI data management, identify sources and provenance, record intended use, define data quality requirements, and document/justify preparation methods.</x:v>
      </x:c>
      <x:c r="O103" s="42" t="str">
        <x:v>Direct from AISMM external reference</x:v>
      </x:c>
      <x:c r="P103" s="42" t="str">
        <x:v>Record regulatory applicability, DPIA/PIA status, stakeholder disclosures, and evidence collection.</x:v>
      </x:c>
      <x:c r="Q103" s="42" t="str">
        <x:v>ISO/IEC 42001 AI management system; NIST AI RMF MEASURE-1; EU AI Act Article 17 (quality management system for high-risk AI)</x:v>
      </x:c>
      <x:c r="R103" s="42" t="str">
        <x:v>Control-specific policy/procedure, implementation record, sample evidence, and monitoring proof.</x:v>
      </x:c>
      <x:c r="S103" s="42" t="str">
        <x:v>Inspect design, sample implementation evidence, interview owner, and verify operating effectiveness.</x:v>
      </x:c>
      <x:c r="T103" s="42" t="str">
        <x:v>Yes</x:v>
      </x:c>
      <x:c r="U103" s="42" t="str"/>
      <x:c r="V103" s="42" t="str"/>
      <x:c r="W103" s="42" t="str">
        <x:v>Not Assessed</x:v>
      </x:c>
      <x:c r="X103" s="44" t="n">
        <x:v>0</x:v>
      </x:c>
      <x:c r="Y103" s="44" t="n">
        <x:v>3</x:v>
      </x:c>
      <x:c r="Z103" s="42" t="str">
        <x:v>Not Provided</x:v>
      </x:c>
      <x:c r="AA103" s="42" t="str"/>
      <x:c r="AB103" s="42" t="str">
        <x:v>Not Tested</x:v>
      </x:c>
      <x:c r="AC103" s="46" t="str"/>
      <x:c r="AD103" s="42" t="str"/>
      <x:c r="AE103" s="42" t="str">
        <x:v>Not Assessed</x:v>
      </x:c>
      <x:c r="AF103" s="42" t="n">
        <x:f>IF($T103="No","",MAX(0,$Y103-$X103))</x:f>
        <x:v>3</x:v>
      </x:c>
      <x:c r="AG103" s="42" t="str">
        <x:f>IF($T103="No","Not Applicable",IF($X103&gt;=$C103,"Meets CSA Level","Gap to CSA Level"))</x:f>
        <x:v>Gap to CSA Level</x:v>
      </x:c>
      <x:c r="AH103" s="42" t="str">
        <x:f>IF($T103="No","Not Applicable",IF($J103="","Not Mapped",IF(AND(OR($W103="Implemented",$W103="Optimized"),$Z103="Validated",$AB103="Pass"),"Compliant",IF(AND(OR($W103="Partially Implemented",$W103="Implemented",$W103="Optimized"),OR($Z103="Reviewed",$Z103="Validated"),OR($AB103="Pass with Exceptions",$AB103="Pass")),"Partially Compliant","Not Compliant"))))</x:f>
        <x:v>Not Compliant</x:v>
      </x:c>
      <x:c r="AI103" s="42" t="str">
        <x:f>IF($T103="No","Not Applicable",IF($M103="","Not Mapped",IF(AND(OR($W103="Implemented",$W103="Optimized"),$Z103="Validated",$AB103="Pass"),"Compliant",IF(AND(OR($W103="Partially Implemented",$W103="Implemented",$W103="Optimized"),OR($Z103="Reviewed",$Z103="Validated"),OR($AB103="Pass with Exceptions",$AB103="Pass")),"Partially Compliant","Not Compliant"))))</x:f>
        <x:v>Not Compliant</x:v>
      </x:c>
      <x:c r="AJ103" s="42" t="str">
        <x:f>IF($T103="No","Not Applicable",IF(AND($AG103="Meets CSA Level",$AH103="Compliant",$AI103="Compliant"),"CSA AISMM; NIST AI RMF; ISO/IEC 42001",IF(AND($AG103="Meets CSA Level",$AH103="Compliant"),"CSA AISMM; NIST AI RMF",IF(AND($AG103="Meets CSA Level",$AI103="Compliant"),"CSA AISMM; ISO/IEC 42001",IF(AND($AH103="Compliant",$AI103="Compliant"),"NIST AI RMF; ISO/IEC 42001",IF($AG103="Meets CSA Level","CSA AISMM",IF($AH103="Compliant","NIST AI RMF",IF($AI103="Compliant","ISO/IEC 42001","No mapped framework fully compliant"))))))))</x:f>
        <x:v>No mapped framework fully compliant</x:v>
      </x:c>
      <x:c r="AK103" s="42" t="str"/>
      <x:c r="AL103" s="46" t="str"/>
      <x:c r="AM103" s="42" t="str"/>
      <x:c r="AN103" s="42" t="str">
        <x:v>CSA AISMM uploaded workbook; NIST AI RMF Playbook uploaded workbook; ISO/IEC 42001 checklist uploaded PDF; official CSA/NIST/ISO web sources listed on Sources sheet</x:v>
      </x:c>
    </x:row>
    <x:row r="104" ht="90" customHeight="1">
      <x:c r="A104" s="42" t="str">
        <x:v>Privacy and Compliance</x:v>
      </x:c>
      <x:c r="B104" s="42" t="str">
        <x:v>CMP-03.2</x:v>
      </x:c>
      <x:c r="C104" s="42" t="n">
        <x:v>3</x:v>
      </x:c>
      <x:c r="D104" s="42" t="str">
        <x:v>CMP</x:v>
      </x:c>
      <x:c r="E104" s="42" t="str">
        <x:v>AI privacy impact assessments for personal data</x:v>
      </x:c>
      <x:c r="F104" s="42" t="str">
        <x:v>AI deployments that process personal data carry a current AI-specific privacy impact assessment before reaching production, with reassessment when the model, provider, geography, or processed data category changes.</x:v>
      </x:c>
      <x:c r="G104" s="42" t="str">
        <x:v>Manual</x:v>
      </x:c>
      <x:c r="H104" s="42" t="str">
        <x:v>All</x:v>
      </x:c>
      <x:c r="I104" s="42" t="str">
        <x:v>GRC-10 (AI Impact Assessment — PIA is the privacy slice)</x:v>
      </x:c>
      <x:c r="J104" s="42" t="str">
        <x:v>GOVERN 1.1; GOVERN 1.4; MEASURE 1.1; MEASURE 3.1; MANAGE 1.2</x:v>
      </x:c>
      <x:c r="K104" s="42" t="str">
        <x:v>GOVERN 1.1: * Maintain awareness of the applicable legal and regulatory considerations and requirements specific to industry, sector, and business purpose, as well as the application context of the deployed AI system. * Align risk management efforts with applicable legal standards. * Maintain policies for training (and re-training) organizational staff about necessary legal or regulatory considerations that may impact AI-related design, development and deployment activities. GOVERN 1.4: - Establish and regularly review documentation policies that, among others, address information related to: - AI actors contact informations - Business justification - Scope and usages - Expected and potential risks and impacts - Assumptions and limitations - Description and characterization of training data - Algorithmic methodology - Evaluated alternative approaches - Description of output data - Testing and validation results (including explanatory visualizations and information) - Down- and up-stream dependencies - Plans for deployment, monitoring, and change management - Stakeholder engagement plans - Verify documentation policies for AI systems are standardized across the organization and remain current. - Establish policies for a model documentation inventory system and regularly review its completeness, usability, and efficacy.… MEASURE 1.1: - Establish approaches for detecting, tracking and measuring known risks, errors, incidents or negative impacts. - Identify testing procedures and metrics to demonstrate whether or not the system is fit for purpose and functioning as claimed. - Identify testing procedures and metrics to demonstrate AI system trustworthiness - Define acceptable limits for system performance (e.g. distribution of errors), and include course correction suggestions if/when the system performs beyond acceptable limits. - Define metrics for, and regularly assess, AI actor competency for effective system operation, - Identify transparency metrics to assess whether stakeholders have access to necessary information about system design, development, deployment, use, and evaluation.… MEASURE 3.1: - Compare AI system risks with: - simpler or traditional models - human baseline performance - other manual performance benchmarks - Compare end user and community feedback about deployed AI systems to internal measures of system performance. - Assess effectiveness of metrics for identifying and measuring emergent risks. - Measure error response times and track response quality. - Elicit and track feedback from AI actors in user support roles about the type of metrics, explanations and other system information required for fulsome resolution of system issues. Consider: - Instances where explanations are insufficient for investigating possible error sources or identifying responses. - System metrics, including system logs and explanations, for identifying and diagnosing sources of system error.… MANAGE 1.2:…</x:v>
      </x:c>
      <x:c r="L104" s="42" t="str">
        <x:v>Derived by CSA domain/theme</x:v>
      </x:c>
      <x:c r="M104" s="42" t="str">
        <x:v>Annex A.5; Annex A.6; Annex A.7; Annex A.10</x:v>
      </x:c>
      <x:c r="N104" s="42" t="str">
        <x:v>Annex A.5 – Assessing impacts of AI systems: Perform documented, repeatable impact assessments on individuals, groups, or society; update after significant changes; feed findings into design, controls, and stakeholder communication. Annex A.6 – AI system life cycle: Define responsible development objectives, specify verification and validation, maintain technical documentation, and record/maintain event logs during system use. Annex A.7 – Data for AI systems: Maintain documented AI data management, identify sources and provenance, record intended use, define data quality requirements, and document/justify preparation methods. Annex A.10 – Third-party and customer relationships: Define lifecycle responsibilities with third parties, manage AI suppliers, capture customer expectations, and review third-party roles through ongoing governance.</x:v>
      </x:c>
      <x:c r="O104" s="42" t="str">
        <x:v>Derived by control theme/domain</x:v>
      </x:c>
      <x:c r="P104" s="42" t="str">
        <x:v>Record regulatory applicability, DPIA/PIA status, stakeholder disclosures, and evidence collection.</x:v>
      </x:c>
      <x:c r="Q104" s="42" t="str">
        <x:v>GDPR Article 35 (Data Protection Impact Assessment); CCPA/CPRA risk assessment requirements; NIST Privacy Framework; ICO AI and data protection guidance</x:v>
      </x:c>
      <x:c r="R104" s="42" t="str">
        <x:v>Control-specific policy/procedure, implementation record, sample evidence, and monitoring proof.</x:v>
      </x:c>
      <x:c r="S104" s="42" t="str">
        <x:v>Inspect design, sample implementation evidence, interview owner, and verify operating effectiveness.</x:v>
      </x:c>
      <x:c r="T104" s="42" t="str">
        <x:v>Yes</x:v>
      </x:c>
      <x:c r="U104" s="42" t="str"/>
      <x:c r="V104" s="42" t="str"/>
      <x:c r="W104" s="42" t="str">
        <x:v>Not Assessed</x:v>
      </x:c>
      <x:c r="X104" s="44" t="n">
        <x:v>0</x:v>
      </x:c>
      <x:c r="Y104" s="44" t="n">
        <x:v>3</x:v>
      </x:c>
      <x:c r="Z104" s="42" t="str">
        <x:v>Not Provided</x:v>
      </x:c>
      <x:c r="AA104" s="42" t="str"/>
      <x:c r="AB104" s="42" t="str">
        <x:v>Not Tested</x:v>
      </x:c>
      <x:c r="AC104" s="46" t="str"/>
      <x:c r="AD104" s="42" t="str"/>
      <x:c r="AE104" s="42" t="str">
        <x:v>Not Assessed</x:v>
      </x:c>
      <x:c r="AF104" s="42" t="n">
        <x:f>IF($T104="No","",MAX(0,$Y104-$X104))</x:f>
        <x:v>3</x:v>
      </x:c>
      <x:c r="AG104" s="42" t="str">
        <x:f>IF($T104="No","Not Applicable",IF($X104&gt;=$C104,"Meets CSA Level","Gap to CSA Level"))</x:f>
        <x:v>Gap to CSA Level</x:v>
      </x:c>
      <x:c r="AH104" s="42" t="str">
        <x:f>IF($T104="No","Not Applicable",IF($J104="","Not Mapped",IF(AND(OR($W104="Implemented",$W104="Optimized"),$Z104="Validated",$AB104="Pass"),"Compliant",IF(AND(OR($W104="Partially Implemented",$W104="Implemented",$W104="Optimized"),OR($Z104="Reviewed",$Z104="Validated"),OR($AB104="Pass with Exceptions",$AB104="Pass")),"Partially Compliant","Not Compliant"))))</x:f>
        <x:v>Not Compliant</x:v>
      </x:c>
      <x:c r="AI104" s="42" t="str">
        <x:f>IF($T104="No","Not Applicable",IF($M104="","Not Mapped",IF(AND(OR($W104="Implemented",$W104="Optimized"),$Z104="Validated",$AB104="Pass"),"Compliant",IF(AND(OR($W104="Partially Implemented",$W104="Implemented",$W104="Optimized"),OR($Z104="Reviewed",$Z104="Validated"),OR($AB104="Pass with Exceptions",$AB104="Pass")),"Partially Compliant","Not Compliant"))))</x:f>
        <x:v>Not Compliant</x:v>
      </x:c>
      <x:c r="AJ104" s="42" t="str">
        <x:f>IF($T104="No","Not Applicable",IF(AND($AG104="Meets CSA Level",$AH104="Compliant",$AI104="Compliant"),"CSA AISMM; NIST AI RMF; ISO/IEC 42001",IF(AND($AG104="Meets CSA Level",$AH104="Compliant"),"CSA AISMM; NIST AI RMF",IF(AND($AG104="Meets CSA Level",$AI104="Compliant"),"CSA AISMM; ISO/IEC 42001",IF(AND($AH104="Compliant",$AI104="Compliant"),"NIST AI RMF; ISO/IEC 42001",IF($AG104="Meets CSA Level","CSA AISMM",IF($AH104="Compliant","NIST AI RMF",IF($AI104="Compliant","ISO/IEC 42001","No mapped framework fully compliant"))))))))</x:f>
        <x:v>No mapped framework fully compliant</x:v>
      </x:c>
      <x:c r="AK104" s="42" t="str"/>
      <x:c r="AL104" s="46" t="str"/>
      <x:c r="AM104" s="42" t="str"/>
      <x:c r="AN104" s="42" t="str">
        <x:v>CSA AISMM uploaded workbook; NIST AI RMF Playbook uploaded workbook; ISO/IEC 42001 checklist uploaded PDF; official CSA/NIST/ISO web sources listed on Sources sheet</x:v>
      </x:c>
    </x:row>
    <x:row r="105" ht="90" customHeight="1">
      <x:c r="A105" s="42" t="str">
        <x:v>Privacy and Compliance</x:v>
      </x:c>
      <x:c r="B105" s="42" t="str">
        <x:v>CMP-03.3</x:v>
      </x:c>
      <x:c r="C105" s="42" t="n">
        <x:v>3</x:v>
      </x:c>
      <x:c r="D105" s="42" t="str">
        <x:v>CMP</x:v>
      </x:c>
      <x:c r="E105" s="42" t="str">
        <x:v>License-fit verification and AI-CAIQ for external apps</x:v>
      </x:c>
      <x:c r="F105" s="42" t="str">
        <x:v>Legal verifies that licensed components fit how the organization uses them, and externally-facing AI deployments hold a current AI-CAIQ ready to share with customers on request.</x:v>
      </x:c>
      <x:c r="G105" s="42" t="str">
        <x:v>Manual</x:v>
      </x:c>
      <x:c r="H105" s="42" t="str">
        <x:v>All (AI-CAIQ applies where the deployment is externally facing or offered as a service)</x:v>
      </x:c>
      <x:c r="I105" s="42" t="str">
        <x:v>GRC-07 (regulatory/contractual mapping), A&amp;A-04 (Requirements Compliance)</x:v>
      </x:c>
      <x:c r="J105" s="42" t="str">
        <x:v>GOVERN 1.1; GOVERN 1.4; MEASURE 1.1; MEASURE 3.1; MANAGE 1.2</x:v>
      </x:c>
      <x:c r="K105" s="42" t="str">
        <x:v>GOVERN 1.1: * Maintain awareness of the applicable legal and regulatory considerations and requirements specific to industry, sector, and business purpose, as well as the application context of the deployed AI system. * Align risk management efforts with applicable legal standards. * Maintain policies for training (and re-training) organizational staff about necessary legal or regulatory considerations that may impact AI-related design, development and deployment activities. GOVERN 1.4: - Establish and regularly review documentation policies that, among others, address information related to: - AI actors contact informations - Business justification - Scope and usages - Expected and potential risks and impacts - Assumptions and limitations - Description and characterization of training data - Algorithmic methodology - Evaluated alternative approaches - Description of output data - Testing and validation results (including explanatory visualizations and information) - Down- and up-stream dependencies - Plans for deployment, monitoring, and change management - Stakeholder engagement plans - Verify documentation policies for AI systems are standardized across the organization and remain current. - Establish policies for a model documentation inventory system and regularly review its completeness, usability, and efficacy.… MEASURE 1.1: - Establish approaches for detecting, tracking and measuring known risks, errors, incidents or negative impacts. - Identify testing procedures and metrics to demonstrate whether or not the system is fit for purpose and functioning as claimed. - Identify testing procedures and metrics to demonstrate AI system trustworthiness - Define acceptable limits for system performance (e.g. distribution of errors), and include course correction suggestions if/when the system performs beyond acceptable limits. - Define metrics for, and regularly assess, AI actor competency for effective system operation, - Identify transparency metrics to assess whether stakeholders have access to necessary information about system design, development, deployment, use, and evaluation.… MEASURE 3.1: - Compare AI system risks with: - simpler or traditional models - human baseline performance - other manual performance benchmarks - Compare end user and community feedback about deployed AI systems to internal measures of system performance. - Assess effectiveness of metrics for identifying and measuring emergent risks. - Measure error response times and track response quality. - Elicit and track feedback from AI actors in user support roles about the type of metrics, explanations and other system information required for fulsome resolution of system issues. Consider: - Instances where explanations are insufficient for investigating possible error sources or identifying responses. - System metrics, including system logs and explanations, for identifying and diagnosing sources of system error.… MANAGE 1.2:…</x:v>
      </x:c>
      <x:c r="L105" s="42" t="str">
        <x:v>Derived by CSA domain/theme</x:v>
      </x:c>
      <x:c r="M105" s="42" t="str">
        <x:v>Annex A.6; Annex A.8; Annex A.10</x:v>
      </x:c>
      <x:c r="N105" s="42" t="str">
        <x:v>Annex A.6 – AI system life cycle: Define responsible development objectives, specify verification and validation, maintain technical documentation, and record/maintain event logs during system use. Annex A.8 – Information for interested parties: Provide necessary documentation to users and interested parties; define incident reporting/escalation, incident communication, and stakeholder information requirements. Annex A.10 – Third-party and customer relationships: Define lifecycle responsibilities with third parties, manage AI suppliers, capture customer expectations, and review third-party roles through ongoing governance.</x:v>
      </x:c>
      <x:c r="O105" s="42" t="str">
        <x:v>Derived by control theme/domain</x:v>
      </x:c>
      <x:c r="P105" s="42" t="str">
        <x:v>Record regulatory applicability, DPIA/PIA status, stakeholder disclosures, and evidence collection. Tie provider/model/library onboarding to supplier risk, licensing, model/data provenance, and AI-BOM/SBOM records.</x:v>
      </x:c>
      <x:c r="Q105" s="42" t="str">
        <x:v>CSA AI-CAIQ (Consensus Assessment Initiative Questionnaire for AI); CSA AICM v1.0.3; OWASP LLM03:2025; HuggingFace model-card license taxonomy; provider service terms</x:v>
      </x:c>
      <x:c r="R105" s="42" t="str">
        <x:v>Control-specific policy/procedure, implementation record, sample evidence, and monitoring proof.</x:v>
      </x:c>
      <x:c r="S105" s="42" t="str">
        <x:v>Inspect design, sample implementation evidence, interview owner, and verify operating effectiveness.</x:v>
      </x:c>
      <x:c r="T105" s="42" t="str">
        <x:v>Yes</x:v>
      </x:c>
      <x:c r="U105" s="42" t="str"/>
      <x:c r="V105" s="42" t="str"/>
      <x:c r="W105" s="42" t="str">
        <x:v>Not Assessed</x:v>
      </x:c>
      <x:c r="X105" s="44" t="n">
        <x:v>0</x:v>
      </x:c>
      <x:c r="Y105" s="44" t="n">
        <x:v>3</x:v>
      </x:c>
      <x:c r="Z105" s="42" t="str">
        <x:v>Not Provided</x:v>
      </x:c>
      <x:c r="AA105" s="42" t="str"/>
      <x:c r="AB105" s="42" t="str">
        <x:v>Not Tested</x:v>
      </x:c>
      <x:c r="AC105" s="46" t="str"/>
      <x:c r="AD105" s="42" t="str"/>
      <x:c r="AE105" s="42" t="str">
        <x:v>Not Assessed</x:v>
      </x:c>
      <x:c r="AF105" s="42" t="n">
        <x:f>IF($T105="No","",MAX(0,$Y105-$X105))</x:f>
        <x:v>3</x:v>
      </x:c>
      <x:c r="AG105" s="42" t="str">
        <x:f>IF($T105="No","Not Applicable",IF($X105&gt;=$C105,"Meets CSA Level","Gap to CSA Level"))</x:f>
        <x:v>Gap to CSA Level</x:v>
      </x:c>
      <x:c r="AH105" s="42" t="str">
        <x:f>IF($T105="No","Not Applicable",IF($J105="","Not Mapped",IF(AND(OR($W105="Implemented",$W105="Optimized"),$Z105="Validated",$AB105="Pass"),"Compliant",IF(AND(OR($W105="Partially Implemented",$W105="Implemented",$W105="Optimized"),OR($Z105="Reviewed",$Z105="Validated"),OR($AB105="Pass with Exceptions",$AB105="Pass")),"Partially Compliant","Not Compliant"))))</x:f>
        <x:v>Not Compliant</x:v>
      </x:c>
      <x:c r="AI105" s="42" t="str">
        <x:f>IF($T105="No","Not Applicable",IF($M105="","Not Mapped",IF(AND(OR($W105="Implemented",$W105="Optimized"),$Z105="Validated",$AB105="Pass"),"Compliant",IF(AND(OR($W105="Partially Implemented",$W105="Implemented",$W105="Optimized"),OR($Z105="Reviewed",$Z105="Validated"),OR($AB105="Pass with Exceptions",$AB105="Pass")),"Partially Compliant","Not Compliant"))))</x:f>
        <x:v>Not Compliant</x:v>
      </x:c>
      <x:c r="AJ105" s="42" t="str">
        <x:f>IF($T105="No","Not Applicable",IF(AND($AG105="Meets CSA Level",$AH105="Compliant",$AI105="Compliant"),"CSA AISMM; NIST AI RMF; ISO/IEC 42001",IF(AND($AG105="Meets CSA Level",$AH105="Compliant"),"CSA AISMM; NIST AI RMF",IF(AND($AG105="Meets CSA Level",$AI105="Compliant"),"CSA AISMM; ISO/IEC 42001",IF(AND($AH105="Compliant",$AI105="Compliant"),"NIST AI RMF; ISO/IEC 42001",IF($AG105="Meets CSA Level","CSA AISMM",IF($AH105="Compliant","NIST AI RMF",IF($AI105="Compliant","ISO/IEC 42001","No mapped framework fully compliant"))))))))</x:f>
        <x:v>No mapped framework fully compliant</x:v>
      </x:c>
      <x:c r="AK105" s="42" t="str"/>
      <x:c r="AL105" s="46" t="str"/>
      <x:c r="AM105" s="42" t="str"/>
      <x:c r="AN105" s="42" t="str">
        <x:v>CSA AISMM uploaded workbook; NIST AI RMF Playbook uploaded workbook; ISO/IEC 42001 checklist uploaded PDF; official CSA/NIST/ISO web sources listed on Sources sheet</x:v>
      </x:c>
    </x:row>
    <x:row r="106" ht="90" customHeight="1">
      <x:c r="A106" s="42" t="str">
        <x:v>Privacy and Compliance</x:v>
      </x:c>
      <x:c r="B106" s="42" t="str">
        <x:v>CMP-04.1</x:v>
      </x:c>
      <x:c r="C106" s="42" t="n">
        <x:v>4</x:v>
      </x:c>
      <x:c r="D106" s="42" t="str">
        <x:v>CMP</x:v>
      </x:c>
      <x:c r="E106" s="42" t="str">
        <x:v>Automated compliance evidence tied to deployment registry</x:v>
      </x:c>
      <x:c r="F106" s="42" t="str">
        <x:v>Compliance evidence for AI deployments (guardrail coverage, personal-data handling, access controls, and model-registry conformance) collects automatically from source telemetry and binds to each entry in the AI deployment registry.</x:v>
      </x:c>
      <x:c r="G106" s="42" t="str">
        <x:v>Automated</x:v>
      </x:c>
      <x:c r="H106" s="42" t="str">
        <x:v>All</x:v>
      </x:c>
      <x:c r="I106" s="42" t="str">
        <x:v>A&amp;A-05 (Audit Management Process — automated evidence collection), A&amp;A-06 (Remediation tracking)</x:v>
      </x:c>
      <x:c r="J106" s="42" t="str">
        <x:v>MEASURE 3</x:v>
      </x:c>
      <x:c r="K106" s="42" t="str">
        <x:v>MEASURE 3: Parent AI RMF category/function referenced; use associated subcategory rows for testable control language.</x:v>
      </x:c>
      <x:c r="L106" s="42" t="str">
        <x:v>Direct from AISMM external reference</x:v>
      </x:c>
      <x:c r="M106" s="42" t="str">
        <x:v>Annex A.4; Annex A.6; Annex A.7; Annex A.9</x:v>
      </x:c>
      <x:c r="N106" s="42" t="str">
        <x:v>Annex A.4 – Resources for AI systems: Maintain a register of AI resources including data, tools, systems, people, tooling, compute resources, and relevant operational/environmental impacts. Annex A.6 – AI system life cycle: Define responsible development objectives, specify verification and validation, maintain technical documentation, and record/maintain event logs during system use. Annex A.7 – Data for AI systems: Maintain documented AI data management, identify sources and provenance, record intended use, define data quality requirements, and document/justify preparation methods. Annex A.9 – Use of AI systems: Define responsible AI use processes, ethical/appropriate-use objectives, intended-purpose usage boundaries, and monitoring/remediation for misuse or unintended consequences.</x:v>
      </x:c>
      <x:c r="O106" s="42" t="str">
        <x:v>Direct from AISMM external reference</x:v>
      </x:c>
      <x:c r="P106" s="42" t="str">
        <x:v>Maintain authoritative AI inventory; link assets to owners, use cases, providers, data classes, and risk tiers. Record regulatory applicability, DPIA/PIA status, stakeholder disclosures, and evidence collection.</x:v>
      </x:c>
      <x:c r="Q106" s="42" t="str">
        <x:v>NIST AI RMF MEASURE-3; ISO/IEC 42001; AI-SPM product category (Wiz AI-SPM, Prisma AI-SPM, Orca, SentinelOne); cloud-native tooling (AWS Audit Manager, Azure Purview, GCP Assured Workloads)</x:v>
      </x:c>
      <x:c r="R106" s="42" t="str">
        <x:v>Control-specific policy/procedure, implementation record, sample evidence, and monitoring proof.</x:v>
      </x:c>
      <x:c r="S106" s="42" t="str">
        <x:v>Inspect design, sample implementation evidence, interview owner, and verify operating effectiveness.</x:v>
      </x:c>
      <x:c r="T106" s="42" t="str">
        <x:v>Yes</x:v>
      </x:c>
      <x:c r="U106" s="42" t="str"/>
      <x:c r="V106" s="42" t="str"/>
      <x:c r="W106" s="42" t="str">
        <x:v>Not Assessed</x:v>
      </x:c>
      <x:c r="X106" s="44" t="n">
        <x:v>0</x:v>
      </x:c>
      <x:c r="Y106" s="44" t="n">
        <x:v>4</x:v>
      </x:c>
      <x:c r="Z106" s="42" t="str">
        <x:v>Not Provided</x:v>
      </x:c>
      <x:c r="AA106" s="42" t="str"/>
      <x:c r="AB106" s="42" t="str">
        <x:v>Not Tested</x:v>
      </x:c>
      <x:c r="AC106" s="46" t="str"/>
      <x:c r="AD106" s="42" t="str"/>
      <x:c r="AE106" s="42" t="str">
        <x:v>Not Assessed</x:v>
      </x:c>
      <x:c r="AF106" s="42" t="n">
        <x:f>IF($T106="No","",MAX(0,$Y106-$X106))</x:f>
        <x:v>4</x:v>
      </x:c>
      <x:c r="AG106" s="42" t="str">
        <x:f>IF($T106="No","Not Applicable",IF($X106&gt;=$C106,"Meets CSA Level","Gap to CSA Level"))</x:f>
        <x:v>Gap to CSA Level</x:v>
      </x:c>
      <x:c r="AH106" s="42" t="str">
        <x:f>IF($T106="No","Not Applicable",IF($J106="","Not Mapped",IF(AND(OR($W106="Implemented",$W106="Optimized"),$Z106="Validated",$AB106="Pass"),"Compliant",IF(AND(OR($W106="Partially Implemented",$W106="Implemented",$W106="Optimized"),OR($Z106="Reviewed",$Z106="Validated"),OR($AB106="Pass with Exceptions",$AB106="Pass")),"Partially Compliant","Not Compliant"))))</x:f>
        <x:v>Not Compliant</x:v>
      </x:c>
      <x:c r="AI106" s="42" t="str">
        <x:f>IF($T106="No","Not Applicable",IF($M106="","Not Mapped",IF(AND(OR($W106="Implemented",$W106="Optimized"),$Z106="Validated",$AB106="Pass"),"Compliant",IF(AND(OR($W106="Partially Implemented",$W106="Implemented",$W106="Optimized"),OR($Z106="Reviewed",$Z106="Validated"),OR($AB106="Pass with Exceptions",$AB106="Pass")),"Partially Compliant","Not Compliant"))))</x:f>
        <x:v>Not Compliant</x:v>
      </x:c>
      <x:c r="AJ106" s="42" t="str">
        <x:f>IF($T106="No","Not Applicable",IF(AND($AG106="Meets CSA Level",$AH106="Compliant",$AI106="Compliant"),"CSA AISMM; NIST AI RMF; ISO/IEC 42001",IF(AND($AG106="Meets CSA Level",$AH106="Compliant"),"CSA AISMM; NIST AI RMF",IF(AND($AG106="Meets CSA Level",$AI106="Compliant"),"CSA AISMM; ISO/IEC 42001",IF(AND($AH106="Compliant",$AI106="Compliant"),"NIST AI RMF; ISO/IEC 42001",IF($AG106="Meets CSA Level","CSA AISMM",IF($AH106="Compliant","NIST AI RMF",IF($AI106="Compliant","ISO/IEC 42001","No mapped framework fully compliant"))))))))</x:f>
        <x:v>No mapped framework fully compliant</x:v>
      </x:c>
      <x:c r="AK106" s="42" t="str"/>
      <x:c r="AL106" s="46" t="str"/>
      <x:c r="AM106" s="42" t="str"/>
      <x:c r="AN106" s="42" t="str">
        <x:v>CSA AISMM uploaded workbook; NIST AI RMF Playbook uploaded workbook; ISO/IEC 42001 checklist uploaded PDF; official CSA/NIST/ISO web sources listed on Sources sheet</x:v>
      </x:c>
    </x:row>
    <x:row r="107" ht="90" customHeight="1">
      <x:c r="A107" s="42" t="str">
        <x:v>Privacy and Compliance</x:v>
      </x:c>
      <x:c r="B107" s="42" t="str">
        <x:v>CMP-04.2</x:v>
      </x:c>
      <x:c r="C107" s="42" t="n">
        <x:v>4</x:v>
      </x:c>
      <x:c r="D107" s="42" t="str">
        <x:v>CMP</x:v>
      </x:c>
      <x:c r="E107" s="42" t="str">
        <x:v>Bias and fairness audits for high-risk AI</x:v>
      </x:c>
      <x:c r="F107" s="42" t="str">
        <x:v>High-risk AI deployments (hiring triage, credit decisioning, and other use cases the AI Council has flagged) undergo a documented bias and fairness audit each year, with findings tracked to remediation or signed risk acceptance.</x:v>
      </x:c>
      <x:c r="G107" s="42" t="str">
        <x:v>Either</x:v>
      </x:c>
      <x:c r="H107" s="42" t="str">
        <x:v>All</x:v>
      </x:c>
      <x:c r="I107" s="42" t="str">
        <x:v>GRC-11 (Bias and Fairness Assessment)</x:v>
      </x:c>
      <x:c r="J107" s="42" t="str">
        <x:v>MEASURE 2</x:v>
      </x:c>
      <x:c r="K107" s="42" t="str">
        <x:v>MEASURE 2: Parent AI RMF category/function referenced; use associated subcategory rows for testable control language.</x:v>
      </x:c>
      <x:c r="L107" s="42" t="str">
        <x:v>Direct from AISMM external reference</x:v>
      </x:c>
      <x:c r="M107" s="42" t="str">
        <x:v>Annex A.2; Annex A.3; Annex A.5; Annex A.7; Annex A.9</x:v>
      </x:c>
      <x:c r="N107" s="42" t="str">
        <x:v>Annex A.2 – Policies related to AI: Document and approve AI policy, include responsible AI principles and continual improvement, review policy regularly, and align it to other relevant organizational policies. Annex A.3 – Internal organization: Define AI roles and responsibilities; provide reporting and confidential escalation paths; investigate and resolve AI-related concerns. Annex A.5 – Assessing impacts of AI systems: Perform documented, repeatable impact assessments on individuals, groups, or society; update after significant changes; feed findings into design, controls, and stakeholder communication. Annex A.7 – Data for AI systems: Maintain documented AI data management, identify sources and provenance, record intended use, define data quality requirements, and document/justify preparation methods. Annex A.9 – Use of AI systems: Define responsible AI use processes, ethical/appropriate-use objectives, intended-purpose usage boundaries, and monitoring/remediation for misuse or unintended consequences.</x:v>
      </x:c>
      <x:c r="O107" s="42" t="str">
        <x:v>Derived by control theme/domain</x:v>
      </x:c>
      <x:c r="P107" s="42" t="str">
        <x:v>Record regulatory applicability, DPIA/PIA status, stakeholder disclosures, and evidence collection.</x:v>
      </x:c>
      <x:c r="Q107" s="42" t="str">
        <x:v>NIST AI RMF MEASURE-2.11; EU AI Act Article 10 (data and data governance — bias examination for high-risk AI); NYC Local Law 144 (bias audit for automated employment decision tools); Colorado AI Act (algorithmic discrimination); NIST SP 1270 (Standards for Identifying and Managing Bias in AI); EEOC AI guidance</x:v>
      </x:c>
      <x:c r="R107" s="42" t="str">
        <x:v>Control-specific policy/procedure, implementation record, sample evidence, and monitoring proof.</x:v>
      </x:c>
      <x:c r="S107" s="42" t="str">
        <x:v>Inspect design, sample implementation evidence, interview owner, and verify operating effectiveness.</x:v>
      </x:c>
      <x:c r="T107" s="42" t="str">
        <x:v>Yes</x:v>
      </x:c>
      <x:c r="U107" s="42" t="str"/>
      <x:c r="V107" s="42" t="str"/>
      <x:c r="W107" s="42" t="str">
        <x:v>Not Assessed</x:v>
      </x:c>
      <x:c r="X107" s="44" t="n">
        <x:v>0</x:v>
      </x:c>
      <x:c r="Y107" s="44" t="n">
        <x:v>4</x:v>
      </x:c>
      <x:c r="Z107" s="42" t="str">
        <x:v>Not Provided</x:v>
      </x:c>
      <x:c r="AA107" s="42" t="str"/>
      <x:c r="AB107" s="42" t="str">
        <x:v>Not Tested</x:v>
      </x:c>
      <x:c r="AC107" s="46" t="str"/>
      <x:c r="AD107" s="42" t="str"/>
      <x:c r="AE107" s="42" t="str">
        <x:v>Not Assessed</x:v>
      </x:c>
      <x:c r="AF107" s="42" t="n">
        <x:f>IF($T107="No","",MAX(0,$Y107-$X107))</x:f>
        <x:v>4</x:v>
      </x:c>
      <x:c r="AG107" s="42" t="str">
        <x:f>IF($T107="No","Not Applicable",IF($X107&gt;=$C107,"Meets CSA Level","Gap to CSA Level"))</x:f>
        <x:v>Gap to CSA Level</x:v>
      </x:c>
      <x:c r="AH107" s="42" t="str">
        <x:f>IF($T107="No","Not Applicable",IF($J107="","Not Mapped",IF(AND(OR($W107="Implemented",$W107="Optimized"),$Z107="Validated",$AB107="Pass"),"Compliant",IF(AND(OR($W107="Partially Implemented",$W107="Implemented",$W107="Optimized"),OR($Z107="Reviewed",$Z107="Validated"),OR($AB107="Pass with Exceptions",$AB107="Pass")),"Partially Compliant","Not Compliant"))))</x:f>
        <x:v>Not Compliant</x:v>
      </x:c>
      <x:c r="AI107" s="42" t="str">
        <x:f>IF($T107="No","Not Applicable",IF($M107="","Not Mapped",IF(AND(OR($W107="Implemented",$W107="Optimized"),$Z107="Validated",$AB107="Pass"),"Compliant",IF(AND(OR($W107="Partially Implemented",$W107="Implemented",$W107="Optimized"),OR($Z107="Reviewed",$Z107="Validated"),OR($AB107="Pass with Exceptions",$AB107="Pass")),"Partially Compliant","Not Compliant"))))</x:f>
        <x:v>Not Compliant</x:v>
      </x:c>
      <x:c r="AJ107" s="42" t="str">
        <x:f>IF($T107="No","Not Applicable",IF(AND($AG107="Meets CSA Level",$AH107="Compliant",$AI107="Compliant"),"CSA AISMM; NIST AI RMF; ISO/IEC 42001",IF(AND($AG107="Meets CSA Level",$AH107="Compliant"),"CSA AISMM; NIST AI RMF",IF(AND($AG107="Meets CSA Level",$AI107="Compliant"),"CSA AISMM; ISO/IEC 42001",IF(AND($AH107="Compliant",$AI107="Compliant"),"NIST AI RMF; ISO/IEC 42001",IF($AG107="Meets CSA Level","CSA AISMM",IF($AH107="Compliant","NIST AI RMF",IF($AI107="Compliant","ISO/IEC 42001","No mapped framework fully compliant"))))))))</x:f>
        <x:v>No mapped framework fully compliant</x:v>
      </x:c>
      <x:c r="AK107" s="42" t="str"/>
      <x:c r="AL107" s="46" t="str"/>
      <x:c r="AM107" s="42" t="str"/>
      <x:c r="AN107" s="42" t="str">
        <x:v>CSA AISMM uploaded workbook; NIST AI RMF Playbook uploaded workbook; ISO/IEC 42001 checklist uploaded PDF; official CSA/NIST/ISO web sources listed on Sources sheet</x:v>
      </x:c>
    </x:row>
    <x:row r="108" ht="90" customHeight="1">
      <x:c r="A108" s="42" t="str">
        <x:v>Privacy and Compliance</x:v>
      </x:c>
      <x:c r="B108" s="42" t="str">
        <x:v>CMP-04.3</x:v>
      </x:c>
      <x:c r="C108" s="42" t="n">
        <x:v>4</x:v>
      </x:c>
      <x:c r="D108" s="42" t="str">
        <x:v>CMP</x:v>
      </x:c>
      <x:c r="E108" s="42" t="str">
        <x:v>Automated license tracking and AI-CAIQ generation</x:v>
      </x:c>
      <x:c r="F108" s="42" t="str">
        <x:v>License tracking runs automatically off the AI-BOM with SPDX resolution, and AI-CAIQs for major externally-facing deployments generate from the same pipeline that feeds the compliance dashboard, with quarterly samples cross-checked against source evidence.</x:v>
      </x:c>
      <x:c r="G108" s="42" t="str">
        <x:v>Automated</x:v>
      </x:c>
      <x:c r="H108" s="42" t="str">
        <x:v>All</x:v>
      </x:c>
      <x:c r="I108" s="42" t="str">
        <x:v>A&amp;A-05 (Audit Management Process), GRC-07 (regulatory mapping)</x:v>
      </x:c>
      <x:c r="J108" s="42" t="str">
        <x:v>GOVERN 1.1; GOVERN 1.4; MEASURE 1.1; MEASURE 3.1; MANAGE 1.2</x:v>
      </x:c>
      <x:c r="K108" s="42" t="str">
        <x:v>GOVERN 1.1: * Maintain awareness of the applicable legal and regulatory considerations and requirements specific to industry, sector, and business purpose, as well as the application context of the deployed AI system. * Align risk management efforts with applicable legal standards. * Maintain policies for training (and re-training) organizational staff about necessary legal or regulatory considerations that may impact AI-related design, development and deployment activities. GOVERN 1.4: - Establish and regularly review documentation policies that, among others, address information related to: - AI actors contact informations - Business justification - Scope and usages - Expected and potential risks and impacts - Assumptions and limitations - Description and characterization of training data - Algorithmic methodology - Evaluated alternative approaches - Description of output data - Testing and validation results (including explanatory visualizations and information) - Down- and up-stream dependencies - Plans for deployment, monitoring, and change management - Stakeholder engagement plans - Verify documentation policies for AI systems are standardized across the organization and remain current. - Establish policies for a model documentation inventory system and regularly review its completeness, usability, and efficacy.… MEASURE 1.1: - Establish approaches for detecting, tracking and measuring known risks, errors, incidents or negative impacts. - Identify testing procedures and metrics to demonstrate whether or not the system is fit for purpose and functioning as claimed. - Identify testing procedures and metrics to demonstrate AI system trustworthiness - Define acceptable limits for system performance (e.g. distribution of errors), and include course correction suggestions if/when the system performs beyond acceptable limits. - Define metrics for, and regularly assess, AI actor competency for effective system operation, - Identify transparency metrics to assess whether stakeholders have access to necessary information about system design, development, deployment, use, and evaluation.… MEASURE 3.1: - Compare AI system risks with: - simpler or traditional models - human baseline performance - other manual performance benchmarks - Compare end user and community feedback about deployed AI systems to internal measures of system performance. - Assess effectiveness of metrics for identifying and measuring emergent risks. - Measure error response times and track response quality. - Elicit and track feedback from AI actors in user support roles about the type of metrics, explanations and other system information required for fulsome resolution of system issues. Consider: - Instances where explanations are insufficient for investigating possible error sources or identifying responses. - System metrics, including system logs and explanations, for identifying and diagnosing sources of system error.… MANAGE 1.2:…</x:v>
      </x:c>
      <x:c r="L108" s="42" t="str">
        <x:v>Derived by CSA domain/theme</x:v>
      </x:c>
      <x:c r="M108" s="42" t="str">
        <x:v>Annex A.10</x:v>
      </x:c>
      <x:c r="N108" s="42" t="str">
        <x:v>Annex A.10 – Third-party and customer relationships: Define lifecycle responsibilities with third parties, manage AI suppliers, capture customer expectations, and review third-party roles through ongoing governance.</x:v>
      </x:c>
      <x:c r="O108" s="42" t="str">
        <x:v>Derived by control theme/domain</x:v>
      </x:c>
      <x:c r="P108" s="42" t="str">
        <x:v>Record regulatory applicability, DPIA/PIA status, stakeholder disclosures, and evidence collection. Tie provider/model/library onboarding to supplier risk, licensing, model/data provenance, and AI-BOM/SBOM records.</x:v>
      </x:c>
      <x:c r="Q108" s="42" t="str">
        <x:v>OWASP LLM03:2025 Supply Chain; SPDX license identifiers; AI-BOM (see DEV category); CSA AI-CAIQ</x:v>
      </x:c>
      <x:c r="R108" s="42" t="str">
        <x:v>Control-specific policy/procedure, implementation record, sample evidence, and monitoring proof.</x:v>
      </x:c>
      <x:c r="S108" s="42" t="str">
        <x:v>Inspect design, sample implementation evidence, interview owner, and verify operating effectiveness.</x:v>
      </x:c>
      <x:c r="T108" s="42" t="str">
        <x:v>Yes</x:v>
      </x:c>
      <x:c r="U108" s="42" t="str"/>
      <x:c r="V108" s="42" t="str"/>
      <x:c r="W108" s="42" t="str">
        <x:v>Not Assessed</x:v>
      </x:c>
      <x:c r="X108" s="44" t="n">
        <x:v>0</x:v>
      </x:c>
      <x:c r="Y108" s="44" t="n">
        <x:v>4</x:v>
      </x:c>
      <x:c r="Z108" s="42" t="str">
        <x:v>Not Provided</x:v>
      </x:c>
      <x:c r="AA108" s="42" t="str"/>
      <x:c r="AB108" s="42" t="str">
        <x:v>Not Tested</x:v>
      </x:c>
      <x:c r="AC108" s="46" t="str"/>
      <x:c r="AD108" s="42" t="str"/>
      <x:c r="AE108" s="42" t="str">
        <x:v>Not Assessed</x:v>
      </x:c>
      <x:c r="AF108" s="42" t="n">
        <x:f>IF($T108="No","",MAX(0,$Y108-$X108))</x:f>
        <x:v>4</x:v>
      </x:c>
      <x:c r="AG108" s="42" t="str">
        <x:f>IF($T108="No","Not Applicable",IF($X108&gt;=$C108,"Meets CSA Level","Gap to CSA Level"))</x:f>
        <x:v>Gap to CSA Level</x:v>
      </x:c>
      <x:c r="AH108" s="42" t="str">
        <x:f>IF($T108="No","Not Applicable",IF($J108="","Not Mapped",IF(AND(OR($W108="Implemented",$W108="Optimized"),$Z108="Validated",$AB108="Pass"),"Compliant",IF(AND(OR($W108="Partially Implemented",$W108="Implemented",$W108="Optimized"),OR($Z108="Reviewed",$Z108="Validated"),OR($AB108="Pass with Exceptions",$AB108="Pass")),"Partially Compliant","Not Compliant"))))</x:f>
        <x:v>Not Compliant</x:v>
      </x:c>
      <x:c r="AI108" s="42" t="str">
        <x:f>IF($T108="No","Not Applicable",IF($M108="","Not Mapped",IF(AND(OR($W108="Implemented",$W108="Optimized"),$Z108="Validated",$AB108="Pass"),"Compliant",IF(AND(OR($W108="Partially Implemented",$W108="Implemented",$W108="Optimized"),OR($Z108="Reviewed",$Z108="Validated"),OR($AB108="Pass with Exceptions",$AB108="Pass")),"Partially Compliant","Not Compliant"))))</x:f>
        <x:v>Not Compliant</x:v>
      </x:c>
      <x:c r="AJ108" s="42" t="str">
        <x:f>IF($T108="No","Not Applicable",IF(AND($AG108="Meets CSA Level",$AH108="Compliant",$AI108="Compliant"),"CSA AISMM; NIST AI RMF; ISO/IEC 42001",IF(AND($AG108="Meets CSA Level",$AH108="Compliant"),"CSA AISMM; NIST AI RMF",IF(AND($AG108="Meets CSA Level",$AI108="Compliant"),"CSA AISMM; ISO/IEC 42001",IF(AND($AH108="Compliant",$AI108="Compliant"),"NIST AI RMF; ISO/IEC 42001",IF($AG108="Meets CSA Level","CSA AISMM",IF($AH108="Compliant","NIST AI RMF",IF($AI108="Compliant","ISO/IEC 42001","No mapped framework fully compliant"))))))))</x:f>
        <x:v>No mapped framework fully compliant</x:v>
      </x:c>
      <x:c r="AK108" s="42" t="str"/>
      <x:c r="AL108" s="46" t="str"/>
      <x:c r="AM108" s="42" t="str"/>
      <x:c r="AN108" s="42" t="str">
        <x:v>CSA AISMM uploaded workbook; NIST AI RMF Playbook uploaded workbook; ISO/IEC 42001 checklist uploaded PDF; official CSA/NIST/ISO web sources listed on Sources sheet</x:v>
      </x:c>
    </x:row>
    <x:row r="109" ht="90" customHeight="1">
      <x:c r="A109" s="42" t="str">
        <x:v>Privacy and Compliance</x:v>
      </x:c>
      <x:c r="B109" s="42" t="str">
        <x:v>CMP-05.1</x:v>
      </x:c>
      <x:c r="C109" s="42" t="n">
        <x:v>5</x:v>
      </x:c>
      <x:c r="D109" s="42" t="str">
        <x:v>CMP</x:v>
      </x:c>
      <x:c r="E109" s="42" t="str">
        <x:v>Pipeline-gated safety and ethics policy conformance</x:v>
      </x:c>
      <x:c r="F109" s="42" t="str">
        <x:v>AI deployment pipelines run an automated conformance gate against the safety and ethics policies Governance has authored, encoded as policy-as-code. A failing deployment does not ship without a time-boxed exception carrying a named approver.</x:v>
      </x:c>
      <x:c r="G109" s="42" t="str">
        <x:v>Automated</x:v>
      </x:c>
      <x:c r="H109" s="42" t="str">
        <x:v>All</x:v>
      </x:c>
      <x:c r="I109" s="42" t="str">
        <x:v>GRC-09 (Acceptable Use — verification side), GRC-11 (Bias and Fairness — pipeline integration), A&amp;A-05 (Audit Management Process)</x:v>
      </x:c>
      <x:c r="J109" s="42" t="str">
        <x:v>MANAGE 4</x:v>
      </x:c>
      <x:c r="K109" s="42" t="str">
        <x:v>MANAGE 4: Parent AI RMF category/function referenced; use associated subcategory rows for testable control language.</x:v>
      </x:c>
      <x:c r="L109" s="42" t="str">
        <x:v>Direct from AISMM external reference</x:v>
      </x:c>
      <x:c r="M109" s="42" t="str">
        <x:v>Clause 8</x:v>
      </x:c>
      <x:c r="N109" s="42" t="str">
        <x:v>Clause 8 – Operation: Plan, implement, and control AI operational processes; integrate AI risk assessment/treatment into operations; maintain and update AI system impact assessments.</x:v>
      </x:c>
      <x:c r="O109" s="42" t="str">
        <x:v>Direct from AISMM external reference</x:v>
      </x:c>
      <x:c r="P109" s="42" t="str">
        <x:v>Publish approved AI policy/standard; maintain attestation and exception workflow. Record regulatory applicability, DPIA/PIA status, stakeholder disclosures, and evidence collection.</x:v>
      </x:c>
      <x:c r="Q109" s="42" t="str">
        <x:v>NIST AI RMF MANAGE-4; ISO/IEC 42001 Clause 8 (operation); EU AI Act Article 17 (quality management system); policy-as-code frameworks (OPA/Rego, Kyverno)</x:v>
      </x:c>
      <x:c r="R109" s="42" t="str">
        <x:v>Control-specific policy/procedure, implementation record, sample evidence, and monitoring proof.</x:v>
      </x:c>
      <x:c r="S109" s="42" t="str">
        <x:v>Inspect design, sample implementation evidence, interview owner, and verify operating effectiveness.</x:v>
      </x:c>
      <x:c r="T109" s="42" t="str">
        <x:v>Yes</x:v>
      </x:c>
      <x:c r="U109" s="42" t="str"/>
      <x:c r="V109" s="42" t="str"/>
      <x:c r="W109" s="42" t="str">
        <x:v>Not Assessed</x:v>
      </x:c>
      <x:c r="X109" s="44" t="n">
        <x:v>0</x:v>
      </x:c>
      <x:c r="Y109" s="44" t="n">
        <x:v>5</x:v>
      </x:c>
      <x:c r="Z109" s="42" t="str">
        <x:v>Not Provided</x:v>
      </x:c>
      <x:c r="AA109" s="42" t="str"/>
      <x:c r="AB109" s="42" t="str">
        <x:v>Not Tested</x:v>
      </x:c>
      <x:c r="AC109" s="46" t="str"/>
      <x:c r="AD109" s="42" t="str"/>
      <x:c r="AE109" s="42" t="str">
        <x:v>Not Assessed</x:v>
      </x:c>
      <x:c r="AF109" s="42" t="n">
        <x:f>IF($T109="No","",MAX(0,$Y109-$X109))</x:f>
        <x:v>5</x:v>
      </x:c>
      <x:c r="AG109" s="42" t="str">
        <x:f>IF($T109="No","Not Applicable",IF($X109&gt;=$C109,"Meets CSA Level","Gap to CSA Level"))</x:f>
        <x:v>Gap to CSA Level</x:v>
      </x:c>
      <x:c r="AH109" s="42" t="str">
        <x:f>IF($T109="No","Not Applicable",IF($J109="","Not Mapped",IF(AND(OR($W109="Implemented",$W109="Optimized"),$Z109="Validated",$AB109="Pass"),"Compliant",IF(AND(OR($W109="Partially Implemented",$W109="Implemented",$W109="Optimized"),OR($Z109="Reviewed",$Z109="Validated"),OR($AB109="Pass with Exceptions",$AB109="Pass")),"Partially Compliant","Not Compliant"))))</x:f>
        <x:v>Not Compliant</x:v>
      </x:c>
      <x:c r="AI109" s="42" t="str">
        <x:f>IF($T109="No","Not Applicable",IF($M109="","Not Mapped",IF(AND(OR($W109="Implemented",$W109="Optimized"),$Z109="Validated",$AB109="Pass"),"Compliant",IF(AND(OR($W109="Partially Implemented",$W109="Implemented",$W109="Optimized"),OR($Z109="Reviewed",$Z109="Validated"),OR($AB109="Pass with Exceptions",$AB109="Pass")),"Partially Compliant","Not Compliant"))))</x:f>
        <x:v>Not Compliant</x:v>
      </x:c>
      <x:c r="AJ109" s="42" t="str">
        <x:f>IF($T109="No","Not Applicable",IF(AND($AG109="Meets CSA Level",$AH109="Compliant",$AI109="Compliant"),"CSA AISMM; NIST AI RMF; ISO/IEC 42001",IF(AND($AG109="Meets CSA Level",$AH109="Compliant"),"CSA AISMM; NIST AI RMF",IF(AND($AG109="Meets CSA Level",$AI109="Compliant"),"CSA AISMM; ISO/IEC 42001",IF(AND($AH109="Compliant",$AI109="Compliant"),"NIST AI RMF; ISO/IEC 42001",IF($AG109="Meets CSA Level","CSA AISMM",IF($AH109="Compliant","NIST AI RMF",IF($AI109="Compliant","ISO/IEC 42001","No mapped framework fully compliant"))))))))</x:f>
        <x:v>No mapped framework fully compliant</x:v>
      </x:c>
      <x:c r="AK109" s="42" t="str"/>
      <x:c r="AL109" s="46" t="str"/>
      <x:c r="AM109" s="42" t="str"/>
      <x:c r="AN109" s="42" t="str">
        <x:v>CSA AISMM uploaded workbook; NIST AI RMF Playbook uploaded workbook; ISO/IEC 42001 checklist uploaded PDF; official CSA/NIST/ISO web sources listed on Sources sheet</x:v>
      </x:c>
    </x:row>
    <x:row r="110" ht="90" customHeight="1">
      <x:c r="A110" s="42" t="str">
        <x:v>Privacy and Compliance</x:v>
      </x:c>
      <x:c r="B110" s="42" t="str">
        <x:v>CMP-05.2</x:v>
      </x:c>
      <x:c r="C110" s="42" t="n">
        <x:v>5</x:v>
      </x:c>
      <x:c r="D110" s="42" t="str">
        <x:v>CMP</x:v>
      </x:c>
      <x:c r="E110" s="42" t="str">
        <x:v>Live compliance dashboard with automated evidence</x:v>
      </x:c>
      <x:c r="F110" s="42" t="str">
        <x:v>A live compliance dashboard, refreshed daily from source telemetry, shows AI conformance against regulation, internal policy, and an industry framework. AI-CAIQs for externally-facing deployments generate from the same pipeline, and scheduled compliance reports are produced from the dashboard.</x:v>
      </x:c>
      <x:c r="G110" s="42" t="str">
        <x:v>Automated</x:v>
      </x:c>
      <x:c r="H110" s="42" t="str">
        <x:v>All</x:v>
      </x:c>
      <x:c r="I110" s="42" t="str">
        <x:v>A&amp;A-05 (Audit Management Process), A&amp;A-06 (Remediation), GRC-11 (Bias and Fairness Assessment — pipeline-produced evidence)</x:v>
      </x:c>
      <x:c r="J110" s="42" t="str">
        <x:v>MANAGE 4</x:v>
      </x:c>
      <x:c r="K110" s="42" t="str">
        <x:v>MANAGE 4: Parent AI RMF category/function referenced; use associated subcategory rows for testable control language.</x:v>
      </x:c>
      <x:c r="L110" s="42" t="str">
        <x:v>Direct from AISMM external reference</x:v>
      </x:c>
      <x:c r="M110" s="42" t="str">
        <x:v>Clause 9</x:v>
      </x:c>
      <x:c r="N110" s="42" t="str">
        <x:v>Clause 9 – Performance Evaluation: Monitor, measure, analyze, and evaluate the AIMS; perform internal audits; conduct management review at planned intervals.</x:v>
      </x:c>
      <x:c r="O110" s="42" t="str">
        <x:v>Direct from AISMM external reference</x:v>
      </x:c>
      <x:c r="P110" s="42" t="str">
        <x:v>Record regulatory applicability, DPIA/PIA status, stakeholder disclosures, and evidence collection.</x:v>
      </x:c>
      <x:c r="Q110" s="42" t="str">
        <x:v>NIST AI RMF MANAGE-4; ISO/IEC 42001 Clause 9 (performance evaluation); AWS Audit Manager / Azure Compliance Manager / GCP Assured Workloads; AI-CAIQ automated generation</x:v>
      </x:c>
      <x:c r="R110" s="42" t="str">
        <x:v>Control-specific policy/procedure, implementation record, sample evidence, and monitoring proof.</x:v>
      </x:c>
      <x:c r="S110" s="42" t="str">
        <x:v>Inspect design, sample implementation evidence, interview owner, and verify operating effectiveness.</x:v>
      </x:c>
      <x:c r="T110" s="42" t="str">
        <x:v>Yes</x:v>
      </x:c>
      <x:c r="U110" s="42" t="str"/>
      <x:c r="V110" s="42" t="str"/>
      <x:c r="W110" s="42" t="str">
        <x:v>Not Assessed</x:v>
      </x:c>
      <x:c r="X110" s="44" t="n">
        <x:v>0</x:v>
      </x:c>
      <x:c r="Y110" s="44" t="n">
        <x:v>5</x:v>
      </x:c>
      <x:c r="Z110" s="42" t="str">
        <x:v>Not Provided</x:v>
      </x:c>
      <x:c r="AA110" s="42" t="str"/>
      <x:c r="AB110" s="42" t="str">
        <x:v>Not Tested</x:v>
      </x:c>
      <x:c r="AC110" s="46" t="str"/>
      <x:c r="AD110" s="42" t="str"/>
      <x:c r="AE110" s="42" t="str">
        <x:v>Not Assessed</x:v>
      </x:c>
      <x:c r="AF110" s="42" t="n">
        <x:f>IF($T110="No","",MAX(0,$Y110-$X110))</x:f>
        <x:v>5</x:v>
      </x:c>
      <x:c r="AG110" s="42" t="str">
        <x:f>IF($T110="No","Not Applicable",IF($X110&gt;=$C110,"Meets CSA Level","Gap to CSA Level"))</x:f>
        <x:v>Gap to CSA Level</x:v>
      </x:c>
      <x:c r="AH110" s="42" t="str">
        <x:f>IF($T110="No","Not Applicable",IF($J110="","Not Mapped",IF(AND(OR($W110="Implemented",$W110="Optimized"),$Z110="Validated",$AB110="Pass"),"Compliant",IF(AND(OR($W110="Partially Implemented",$W110="Implemented",$W110="Optimized"),OR($Z110="Reviewed",$Z110="Validated"),OR($AB110="Pass with Exceptions",$AB110="Pass")),"Partially Compliant","Not Compliant"))))</x:f>
        <x:v>Not Compliant</x:v>
      </x:c>
      <x:c r="AI110" s="42" t="str">
        <x:f>IF($T110="No","Not Applicable",IF($M110="","Not Mapped",IF(AND(OR($W110="Implemented",$W110="Optimized"),$Z110="Validated",$AB110="Pass"),"Compliant",IF(AND(OR($W110="Partially Implemented",$W110="Implemented",$W110="Optimized"),OR($Z110="Reviewed",$Z110="Validated"),OR($AB110="Pass with Exceptions",$AB110="Pass")),"Partially Compliant","Not Compliant"))))</x:f>
        <x:v>Not Compliant</x:v>
      </x:c>
      <x:c r="AJ110" s="42" t="str">
        <x:f>IF($T110="No","Not Applicable",IF(AND($AG110="Meets CSA Level",$AH110="Compliant",$AI110="Compliant"),"CSA AISMM; NIST AI RMF; ISO/IEC 42001",IF(AND($AG110="Meets CSA Level",$AH110="Compliant"),"CSA AISMM; NIST AI RMF",IF(AND($AG110="Meets CSA Level",$AI110="Compliant"),"CSA AISMM; ISO/IEC 42001",IF(AND($AH110="Compliant",$AI110="Compliant"),"NIST AI RMF; ISO/IEC 42001",IF($AG110="Meets CSA Level","CSA AISMM",IF($AH110="Compliant","NIST AI RMF",IF($AI110="Compliant","ISO/IEC 42001","No mapped framework fully compliant"))))))))</x:f>
        <x:v>No mapped framework fully compliant</x:v>
      </x:c>
      <x:c r="AK110" s="42" t="str"/>
      <x:c r="AL110" s="46" t="str"/>
      <x:c r="AM110" s="42" t="str"/>
      <x:c r="AN110" s="42" t="str">
        <x:v>CSA AISMM uploaded workbook; NIST AI RMF Playbook uploaded workbook; ISO/IEC 42001 checklist uploaded PDF; official CSA/NIST/ISO web sources listed on Sources sheet</x:v>
      </x:c>
    </x:row>
    <x:row r="111" ht="90" customHeight="1">
      <x:c r="A111" s="42" t="str">
        <x:v>Privacy and Compliance</x:v>
      </x:c>
      <x:c r="B111" s="42" t="str">
        <x:v>CMP-05.3</x:v>
      </x:c>
      <x:c r="C111" s="42" t="n">
        <x:v>5</x:v>
      </x:c>
      <x:c r="D111" s="42" t="str">
        <x:v>CMP</x:v>
      </x:c>
      <x:c r="E111" s="42" t="str">
        <x:v>Regulatory-change intelligence with cascading impact assessment</x:v>
      </x:c>
      <x:c r="F111" s="42" t="str">
        <x:v>An automated regulatory-intelligence feed catches AI rule changes across the jurisdictions the organization operates in, routes each one to a tracked impact assessment, and cascades material findings into applicability records, scheduled assessments, and pipeline gates within defined SLAs.</x:v>
      </x:c>
      <x:c r="G111" s="42" t="str">
        <x:v>Automated</x:v>
      </x:c>
      <x:c r="H111" s="42" t="str">
        <x:v>All</x:v>
      </x:c>
      <x:c r="I111" s="42" t="str">
        <x:v>GRC-07 (regulatory mapping — change detection), GRC-08 (Special Interest Groups — industry tracking)</x:v>
      </x:c>
      <x:c r="J111" s="42" t="str">
        <x:v>GOVERN 1.1; GOVERN 1.4; MEASURE 1.1; MEASURE 3.1; MANAGE 1.2</x:v>
      </x:c>
      <x:c r="K111" s="42" t="str">
        <x:v>GOVERN 1.1: * Maintain awareness of the applicable legal and regulatory considerations and requirements specific to industry, sector, and business purpose, as well as the application context of the deployed AI system. * Align risk management efforts with applicable legal standards. * Maintain policies for training (and re-training) organizational staff about necessary legal or regulatory considerations that may impact AI-related design, development and deployment activities. GOVERN 1.4: - Establish and regularly review documentation policies that, among others, address information related to: - AI actors contact informations - Business justification - Scope and usages - Expected and potential risks and impacts - Assumptions and limitations - Description and characterization of training data - Algorithmic methodology - Evaluated alternative approaches - Description of output data - Testing and validation results (including explanatory visualizations and information) - Down- and up-stream dependencies - Plans for deployment, monitoring, and change management - Stakeholder engagement plans - Verify documentation policies for AI systems are standardized across the organization and remain current. - Establish policies for a model documentation inventory system and regularly review its completeness, usability, and efficacy.… MEASURE 1.1: - Establish approaches for detecting, tracking and measuring known risks, errors, incidents or negative impacts. - Identify testing procedures and metrics to demonstrate whether or not the system is fit for purpose and functioning as claimed. - Identify testing procedures and metrics to demonstrate AI system trustworthiness - Define acceptable limits for system performance (e.g. distribution of errors), and include course correction suggestions if/when the system performs beyond acceptable limits. - Define metrics for, and regularly assess, AI actor competency for effective system operation, - Identify transparency metrics to assess whether stakeholders have access to necessary information about system design, development, deployment, use, and evaluation.… MEASURE 3.1: - Compare AI system risks with: - simpler or traditional models - human baseline performance - other manual performance benchmarks - Compare end user and community feedback about deployed AI systems to internal measures of system performance. - Assess effectiveness of metrics for identifying and measuring emergent risks. - Measure error response times and track response quality. - Elicit and track feedback from AI actors in user support roles about the type of metrics, explanations and other system information required for fulsome resolution of system issues. Consider: - Instances where explanations are insufficient for investigating possible error sources or identifying responses. - System metrics, including system logs and explanations, for identifying and diagnosing sources of system error.… MANAGE 1.2:…</x:v>
      </x:c>
      <x:c r="L111" s="42" t="str">
        <x:v>Derived by CSA domain/theme</x:v>
      </x:c>
      <x:c r="M111" s="42" t="str">
        <x:v>Annex A.5</x:v>
      </x:c>
      <x:c r="N111" s="42" t="str">
        <x:v>Annex A.5 – Assessing impacts of AI systems: Perform documented, repeatable impact assessments on individuals, groups, or society; update after significant changes; feed findings into design, controls, and stakeholder communication.</x:v>
      </x:c>
      <x:c r="O111" s="42" t="str">
        <x:v>Derived by control theme/domain</x:v>
      </x:c>
      <x:c r="P111" s="42" t="str">
        <x:v>Record regulatory applicability, DPIA/PIA status, stakeholder disclosures, and evidence collection.</x:v>
      </x:c>
      <x:c r="Q111" s="42" t="str">
        <x:v>EU AI Act phased implementation (prohibited-practice dates, high-risk obligations phase-in through 2026-2027); US state AI law tracking (Colorado, California, Texas, Illinois); NIST AI RMF updates; sector-specific regulator guidance (SEC, FINRA, HHS, OCC)</x:v>
      </x:c>
      <x:c r="R111" s="42" t="str">
        <x:v>Control-specific policy/procedure, implementation record, sample evidence, and monitoring proof.</x:v>
      </x:c>
      <x:c r="S111" s="42" t="str">
        <x:v>Inspect design, sample implementation evidence, interview owner, and verify operating effectiveness.</x:v>
      </x:c>
      <x:c r="T111" s="42" t="str">
        <x:v>Yes</x:v>
      </x:c>
      <x:c r="U111" s="42" t="str"/>
      <x:c r="V111" s="42" t="str"/>
      <x:c r="W111" s="42" t="str">
        <x:v>Not Assessed</x:v>
      </x:c>
      <x:c r="X111" s="44" t="n">
        <x:v>0</x:v>
      </x:c>
      <x:c r="Y111" s="44" t="n">
        <x:v>5</x:v>
      </x:c>
      <x:c r="Z111" s="42" t="str">
        <x:v>Not Provided</x:v>
      </x:c>
      <x:c r="AA111" s="42" t="str"/>
      <x:c r="AB111" s="42" t="str">
        <x:v>Not Tested</x:v>
      </x:c>
      <x:c r="AC111" s="46" t="str"/>
      <x:c r="AD111" s="42" t="str"/>
      <x:c r="AE111" s="42" t="str">
        <x:v>Not Assessed</x:v>
      </x:c>
      <x:c r="AF111" s="42" t="n">
        <x:f>IF($T111="No","",MAX(0,$Y111-$X111))</x:f>
        <x:v>5</x:v>
      </x:c>
      <x:c r="AG111" s="42" t="str">
        <x:f>IF($T111="No","Not Applicable",IF($X111&gt;=$C111,"Meets CSA Level","Gap to CSA Level"))</x:f>
        <x:v>Gap to CSA Level</x:v>
      </x:c>
      <x:c r="AH111" s="42" t="str">
        <x:f>IF($T111="No","Not Applicable",IF($J111="","Not Mapped",IF(AND(OR($W111="Implemented",$W111="Optimized"),$Z111="Validated",$AB111="Pass"),"Compliant",IF(AND(OR($W111="Partially Implemented",$W111="Implemented",$W111="Optimized"),OR($Z111="Reviewed",$Z111="Validated"),OR($AB111="Pass with Exceptions",$AB111="Pass")),"Partially Compliant","Not Compliant"))))</x:f>
        <x:v>Not Compliant</x:v>
      </x:c>
      <x:c r="AI111" s="42" t="str">
        <x:f>IF($T111="No","Not Applicable",IF($M111="","Not Mapped",IF(AND(OR($W111="Implemented",$W111="Optimized"),$Z111="Validated",$AB111="Pass"),"Compliant",IF(AND(OR($W111="Partially Implemented",$W111="Implemented",$W111="Optimized"),OR($Z111="Reviewed",$Z111="Validated"),OR($AB111="Pass with Exceptions",$AB111="Pass")),"Partially Compliant","Not Compliant"))))</x:f>
        <x:v>Not Compliant</x:v>
      </x:c>
      <x:c r="AJ111" s="42" t="str">
        <x:f>IF($T111="No","Not Applicable",IF(AND($AG111="Meets CSA Level",$AH111="Compliant",$AI111="Compliant"),"CSA AISMM; NIST AI RMF; ISO/IEC 42001",IF(AND($AG111="Meets CSA Level",$AH111="Compliant"),"CSA AISMM; NIST AI RMF",IF(AND($AG111="Meets CSA Level",$AI111="Compliant"),"CSA AISMM; ISO/IEC 42001",IF(AND($AH111="Compliant",$AI111="Compliant"),"NIST AI RMF; ISO/IEC 42001",IF($AG111="Meets CSA Level","CSA AISMM",IF($AH111="Compliant","NIST AI RMF",IF($AI111="Compliant","ISO/IEC 42001","No mapped framework fully compliant"))))))))</x:f>
        <x:v>No mapped framework fully compliant</x:v>
      </x:c>
      <x:c r="AK111" s="42" t="str"/>
      <x:c r="AL111" s="46" t="str"/>
      <x:c r="AM111" s="42" t="str"/>
      <x:c r="AN111" s="42" t="str">
        <x:v>CSA AISMM uploaded workbook; NIST AI RMF Playbook uploaded workbook; ISO/IEC 42001 checklist uploaded PDF; official CSA/NIST/ISO web sources listed on Sources sheet</x:v>
      </x:c>
    </x:row>
    <x:row r="112" ht="90" customHeight="1">
      <x:c r="A112" s="42" t="str">
        <x:v>Incident Response</x:v>
      </x:c>
      <x:c r="B112" s="42" t="str">
        <x:v>IR-02.1</x:v>
      </x:c>
      <x:c r="C112" s="42" t="n">
        <x:v>2</x:v>
      </x:c>
      <x:c r="D112" s="42" t="str">
        <x:v>IR</x:v>
      </x:c>
      <x:c r="E112" s="42" t="str">
        <x:v>Named AI incident response team with AI addendum</x:v>
      </x:c>
      <x:c r="F112" s="42" t="str">
        <x:v>A named IR team with on-call rotation owns AI incidents under a written AI addendum to the enterprise IR plan. The addendum covers AI-specific attack categories, severity criteria, and provider escalation contacts, and has been exercised in an AI-specific tabletop within the trailing 12 months.</x:v>
      </x:c>
      <x:c r="G112" s="42" t="str">
        <x:v>Manual</x:v>
      </x:c>
      <x:c r="H112" s="42" t="str">
        <x:v>All</x:v>
      </x:c>
      <x:c r="I112" s="42" t="str">
        <x:v>SEF-01 (Security Incident Management Policy), SEF-03 (Incident Response Plans), SEF-08 (Points of Contact Maintenance), SEF-09 (Incident Response — AI incident categories and severity)</x:v>
      </x:c>
      <x:c r="J112" s="42" t="str">
        <x:v>MANAGE 4</x:v>
      </x:c>
      <x:c r="K112" s="42" t="str">
        <x:v>MANAGE 4: Parent AI RMF category/function referenced; use associated subcategory rows for testable control language.</x:v>
      </x:c>
      <x:c r="L112" s="42" t="str">
        <x:v>Direct from AISMM external reference</x:v>
      </x:c>
      <x:c r="M112" s="42" t="str">
        <x:v>Annex A.3; Annex A.8; Annex A.10</x:v>
      </x:c>
      <x:c r="N112" s="42" t="str">
        <x:v>Annex A.3 – Internal organization: Define AI roles and responsibilities; provide reporting and confidential escalation paths; investigate and resolve AI-related concerns. Annex A.8 – Information for interested parties: Provide necessary documentation to users and interested parties; define incident reporting/escalation, incident communication, and stakeholder information requirements. Annex A.10 – Third-party and customer relationships: Define lifecycle responsibilities with third parties, manage AI suppliers, capture customer expectations, and review third-party roles through ongoing governance.</x:v>
      </x:c>
      <x:c r="O112" s="42" t="str">
        <x:v>Derived by control theme/domain</x:v>
      </x:c>
      <x:c r="P112" s="42" t="str">
        <x:v>Extend enterprise IR with AI-specific scenarios such as prompt injection, data exfiltration, model abuse, and agent/tool misuse.</x:v>
      </x:c>
      <x:c r="Q112" s="42" t="str">
        <x:v>NIST SP 800-61r3 (Incident Response Recommendations), NIST AI RMF MANAGE-4, MITRE ATLAS</x:v>
      </x:c>
      <x:c r="R112" s="42" t="str">
        <x:v>AI incident response plan; AI incident taxonomy; escalation matrix; tabletop exercises; incident tickets; post-incident reviews; regulatory/customer notification procedures; lessons-learned actions.</x:v>
      </x:c>
      <x:c r="S112" s="42" t="str">
        <x:v>Inspect AI-specific IR procedures; sample incident/tabletop records; verify triage, escalation, notification, root-cause analysis, and corrective action closure.</x:v>
      </x:c>
      <x:c r="T112" s="42" t="str">
        <x:v>Yes</x:v>
      </x:c>
      <x:c r="U112" s="42" t="str"/>
      <x:c r="V112" s="42" t="str"/>
      <x:c r="W112" s="42" t="str">
        <x:v>Not Assessed</x:v>
      </x:c>
      <x:c r="X112" s="44" t="n">
        <x:v>0</x:v>
      </x:c>
      <x:c r="Y112" s="44" t="n">
        <x:v>2</x:v>
      </x:c>
      <x:c r="Z112" s="42" t="str">
        <x:v>Not Provided</x:v>
      </x:c>
      <x:c r="AA112" s="42" t="str"/>
      <x:c r="AB112" s="42" t="str">
        <x:v>Not Tested</x:v>
      </x:c>
      <x:c r="AC112" s="46" t="str"/>
      <x:c r="AD112" s="42" t="str"/>
      <x:c r="AE112" s="42" t="str">
        <x:v>Not Assessed</x:v>
      </x:c>
      <x:c r="AF112" s="42" t="n">
        <x:f>IF($T112="No","",MAX(0,$Y112-$X112))</x:f>
        <x:v>2</x:v>
      </x:c>
      <x:c r="AG112" s="42" t="str">
        <x:f>IF($T112="No","Not Applicable",IF($X112&gt;=$C112,"Meets CSA Level","Gap to CSA Level"))</x:f>
        <x:v>Gap to CSA Level</x:v>
      </x:c>
      <x:c r="AH112" s="42" t="str">
        <x:f>IF($T112="No","Not Applicable",IF($J112="","Not Mapped",IF(AND(OR($W112="Implemented",$W112="Optimized"),$Z112="Validated",$AB112="Pass"),"Compliant",IF(AND(OR($W112="Partially Implemented",$W112="Implemented",$W112="Optimized"),OR($Z112="Reviewed",$Z112="Validated"),OR($AB112="Pass with Exceptions",$AB112="Pass")),"Partially Compliant","Not Compliant"))))</x:f>
        <x:v>Not Compliant</x:v>
      </x:c>
      <x:c r="AI112" s="42" t="str">
        <x:f>IF($T112="No","Not Applicable",IF($M112="","Not Mapped",IF(AND(OR($W112="Implemented",$W112="Optimized"),$Z112="Validated",$AB112="Pass"),"Compliant",IF(AND(OR($W112="Partially Implemented",$W112="Implemented",$W112="Optimized"),OR($Z112="Reviewed",$Z112="Validated"),OR($AB112="Pass with Exceptions",$AB112="Pass")),"Partially Compliant","Not Compliant"))))</x:f>
        <x:v>Not Compliant</x:v>
      </x:c>
      <x:c r="AJ112" s="42" t="str">
        <x:f>IF($T112="No","Not Applicable",IF(AND($AG112="Meets CSA Level",$AH112="Compliant",$AI112="Compliant"),"CSA AISMM; NIST AI RMF; ISO/IEC 42001",IF(AND($AG112="Meets CSA Level",$AH112="Compliant"),"CSA AISMM; NIST AI RMF",IF(AND($AG112="Meets CSA Level",$AI112="Compliant"),"CSA AISMM; ISO/IEC 42001",IF(AND($AH112="Compliant",$AI112="Compliant"),"NIST AI RMF; ISO/IEC 42001",IF($AG112="Meets CSA Level","CSA AISMM",IF($AH112="Compliant","NIST AI RMF",IF($AI112="Compliant","ISO/IEC 42001","No mapped framework fully compliant"))))))))</x:f>
        <x:v>No mapped framework fully compliant</x:v>
      </x:c>
      <x:c r="AK112" s="42" t="str"/>
      <x:c r="AL112" s="46" t="str"/>
      <x:c r="AM112" s="42" t="str"/>
      <x:c r="AN112" s="42" t="str">
        <x:v>CSA AISMM uploaded workbook; NIST AI RMF Playbook uploaded workbook; ISO/IEC 42001 checklist uploaded PDF; official CSA/NIST/ISO web sources listed on Sources sheet</x:v>
      </x:c>
    </x:row>
    <x:row r="113" ht="90" customHeight="1">
      <x:c r="A113" s="42" t="str">
        <x:v>Incident Response</x:v>
      </x:c>
      <x:c r="B113" s="42" t="str">
        <x:v>IR-02.2</x:v>
      </x:c>
      <x:c r="C113" s="42" t="n">
        <x:v>2</x:v>
      </x:c>
      <x:c r="D113" s="42" t="str">
        <x:v>IR</x:v>
      </x:c>
      <x:c r="E113" s="42" t="str">
        <x:v>Baseline AI telemetry preserved for forensic review</x:v>
      </x:c>
      <x:c r="F113" s="42" t="str">
        <x:v>Major AI deployments (customer-facing, regulated, or agentic with tool access) capture prompts, responses, identities, and tool invocations with retention long enough to investigate, and responders can pull the telemetry on demand without filing a new access request.</x:v>
      </x:c>
      <x:c r="G113" s="42" t="str">
        <x:v>Either</x:v>
      </x:c>
      <x:c r="H113" s="42" t="str">
        <x:v>All</x:v>
      </x:c>
      <x:c r="I113" s="42" t="str">
        <x:v>SEF-06 (Event Triage Processes), SEF-09 (Incident Response)</x:v>
      </x:c>
      <x:c r="J113" s="42" t="str">
        <x:v>GOVERN 3.1; GOVERN 3.2; MANAGE 4.1; MANAGE 4.2; MANAGE 4.3</x:v>
      </x:c>
      <x:c r="K113" s="42" t="str">
        <x:v>GOVERN 3.1: Organizational management can: - Define policies and hiring practices at the outset that promote interdisciplinary roles, competencies, skills, and capacity for AI efforts. - Define policies and hiring practices that lead to demographic and domain expertise diversity; empower staff with necessary resources and support, and facilitate the contribution of staff feedback and concerns without fear of reprisal. - Establish policies that facilitate inclusivity and the integration of new insights into existing practice. - Seek external expertise to supplement organizational diversity, equity, inclusion, and accessibility where internal expertise is lacking.… GOVERN 3.2: - Establish policies and procedures that define and differentiate the various human roles and responsibilities when using, interacting with, or monitoring AI systems. - Establish procedures for capturing and tracking risk information related to human-AI configurations and associated outcomes. - Establish policies for the development of proficiency standards for AI actors carrying out system operation tasks and system oversight tasks. - Establish specified risk management training protocols for AI actors carrying out system operation tasks and system oversight tasks. - Establish policies and procedures regarding AI actor roles, and responsibilities for human oversight of deployed systems.… MANAGE 4.1: - Establish and maintain procedures to monitor AI system performance for risks and negative and positive impacts associated with trustworthiness characteristics. - Perform post-deployment TEVV tasks to evaluate AI system validity and reliability, bias and fairness, privacy, and security and resilience. - Evaluate AI system trustworthiness in conditions similar to deployment context of use, and prior to deployment. - Establish and implement red-teaming exercises at a prescribed cadence, and evaluate their efficacy. - Establish procedures for tracking dataset modifications such as data deletion or rectification requests. - Establish mechanisms for regular communication and feedback between relevant AI actors and internal or external stakeholders to capture information about system performance, trustworthiness and impact.… MANAGE 4.2: - Integrate trustworthiness characteristics into protocols and metrics used for continual improvement. - Establish processes for evaluating and integrating feedback into AI system improvements. - Assess and evaluate alignment of proposed improvements with relevant regulatory and legal frameworks - Assess and evaluate alignment of proposed improvements connected to the values and norms within the context of use. - Document the basis for decisions made relative to tradeoffs between trustworthy characteristics, system risks, and system opportunities MANAGE 4.3: - Establish procedures to regularly share information about errors, incidents and negative impacts with relevant stakeholders, operators, practitioners and users, and impacted parties.…</x:v>
      </x:c>
      <x:c r="L113" s="42" t="str">
        <x:v>Derived by CSA domain/theme</x:v>
      </x:c>
      <x:c r="M113" s="42" t="str">
        <x:v>Annex A.6; Annex A.7; Annex A.8; Annex A.9; Annex A.10</x:v>
      </x:c>
      <x:c r="N113" s="42" t="str">
        <x:v>Annex A.6 – AI system life cycle: Define responsible development objectives, specify verification and validation, maintain technical documentation, and record/maintain event logs during system use. Annex A.7 – Data for AI systems: Maintain documented AI data management, identify sources and provenance, record intended use, define data quality requirements, and document/justify preparation methods. Annex A.8 – Information for interested parties: Provide necessary documentation to users and interested parties; define incident reporting/escalation, incident communication, and stakeholder information requirements. Annex A.9 – Use of AI systems: Define responsible AI use processes, ethical/appropriate-use objectives, intended-purpose usage boundaries, and monitoring/remediation for misuse or unintended consequences. Annex A.10 – Third-party and customer relationships: Define lifecycle responsibilities with third parties, manage AI suppliers, capture customer expectations, and review third-party roles through ongoing governance.</x:v>
      </x:c>
      <x:c r="O113" s="42" t="str">
        <x:v>Derived by control theme/domain</x:v>
      </x:c>
      <x:c r="P113" s="42" t="str">
        <x:v>Define log schema, retention, access controls, alerting, and incident triage integration. Extend enterprise IR with AI-specific scenarios such as prompt injection, data exfiltration, model abuse, and agent/tool misuse.</x:v>
      </x:c>
      <x:c r="Q113" s="42" t="str">
        <x:v>NIST SP 800-86 (Guide to Integrating Forensic Techniques into IR), OWASP LLM02:2025 Sensitive Information Disclosure, OWASP LLM06:2025 Excessive Agency</x:v>
      </x:c>
      <x:c r="R113" s="42" t="str">
        <x:v>AI incident response plan; AI incident taxonomy; escalation matrix; tabletop exercises; incident tickets; post-incident reviews; regulatory/customer notification procedures; lessons-learned actions.</x:v>
      </x:c>
      <x:c r="S113" s="42" t="str">
        <x:v>Inspect AI-specific IR procedures; sample incident/tabletop records; verify triage, escalation, notification, root-cause analysis, and corrective action closure.</x:v>
      </x:c>
      <x:c r="T113" s="42" t="str">
        <x:v>Yes</x:v>
      </x:c>
      <x:c r="U113" s="42" t="str"/>
      <x:c r="V113" s="42" t="str"/>
      <x:c r="W113" s="42" t="str">
        <x:v>Not Assessed</x:v>
      </x:c>
      <x:c r="X113" s="44" t="n">
        <x:v>0</x:v>
      </x:c>
      <x:c r="Y113" s="44" t="n">
        <x:v>2</x:v>
      </x:c>
      <x:c r="Z113" s="42" t="str">
        <x:v>Not Provided</x:v>
      </x:c>
      <x:c r="AA113" s="42" t="str"/>
      <x:c r="AB113" s="42" t="str">
        <x:v>Not Tested</x:v>
      </x:c>
      <x:c r="AC113" s="46" t="str"/>
      <x:c r="AD113" s="42" t="str"/>
      <x:c r="AE113" s="42" t="str">
        <x:v>Not Assessed</x:v>
      </x:c>
      <x:c r="AF113" s="42" t="n">
        <x:f>IF($T113="No","",MAX(0,$Y113-$X113))</x:f>
        <x:v>2</x:v>
      </x:c>
      <x:c r="AG113" s="42" t="str">
        <x:f>IF($T113="No","Not Applicable",IF($X113&gt;=$C113,"Meets CSA Level","Gap to CSA Level"))</x:f>
        <x:v>Gap to CSA Level</x:v>
      </x:c>
      <x:c r="AH113" s="42" t="str">
        <x:f>IF($T113="No","Not Applicable",IF($J113="","Not Mapped",IF(AND(OR($W113="Implemented",$W113="Optimized"),$Z113="Validated",$AB113="Pass"),"Compliant",IF(AND(OR($W113="Partially Implemented",$W113="Implemented",$W113="Optimized"),OR($Z113="Reviewed",$Z113="Validated"),OR($AB113="Pass with Exceptions",$AB113="Pass")),"Partially Compliant","Not Compliant"))))</x:f>
        <x:v>Not Compliant</x:v>
      </x:c>
      <x:c r="AI113" s="42" t="str">
        <x:f>IF($T113="No","Not Applicable",IF($M113="","Not Mapped",IF(AND(OR($W113="Implemented",$W113="Optimized"),$Z113="Validated",$AB113="Pass"),"Compliant",IF(AND(OR($W113="Partially Implemented",$W113="Implemented",$W113="Optimized"),OR($Z113="Reviewed",$Z113="Validated"),OR($AB113="Pass with Exceptions",$AB113="Pass")),"Partially Compliant","Not Compliant"))))</x:f>
        <x:v>Not Compliant</x:v>
      </x:c>
      <x:c r="AJ113" s="42" t="str">
        <x:f>IF($T113="No","Not Applicable",IF(AND($AG113="Meets CSA Level",$AH113="Compliant",$AI113="Compliant"),"CSA AISMM; NIST AI RMF; ISO/IEC 42001",IF(AND($AG113="Meets CSA Level",$AH113="Compliant"),"CSA AISMM; NIST AI RMF",IF(AND($AG113="Meets CSA Level",$AI113="Compliant"),"CSA AISMM; ISO/IEC 42001",IF(AND($AH113="Compliant",$AI113="Compliant"),"NIST AI RMF; ISO/IEC 42001",IF($AG113="Meets CSA Level","CSA AISMM",IF($AH113="Compliant","NIST AI RMF",IF($AI113="Compliant","ISO/IEC 42001","No mapped framework fully compliant"))))))))</x:f>
        <x:v>No mapped framework fully compliant</x:v>
      </x:c>
      <x:c r="AK113" s="42" t="str"/>
      <x:c r="AL113" s="46" t="str"/>
      <x:c r="AM113" s="42" t="str"/>
      <x:c r="AN113" s="42" t="str">
        <x:v>CSA AISMM uploaded workbook; NIST AI RMF Playbook uploaded workbook; ISO/IEC 42001 checklist uploaded PDF; official CSA/NIST/ISO web sources listed on Sources sheet</x:v>
      </x:c>
    </x:row>
    <x:row r="114" ht="90" customHeight="1">
      <x:c r="A114" s="42" t="str">
        <x:v>Incident Response</x:v>
      </x:c>
      <x:c r="B114" s="42" t="str">
        <x:v>IR-03.1</x:v>
      </x:c>
      <x:c r="C114" s="42" t="n">
        <x:v>3</x:v>
      </x:c>
      <x:c r="D114" s="42" t="str">
        <x:v>IR</x:v>
      </x:c>
      <x:c r="E114" s="42" t="str">
        <x:v>AI-Specific response playbooks for named attack categories</x:v>
      </x:c>
      <x:c r="F114" s="42" t="str">
        <x:v>Written playbooks cover the named AI attack categories (prompt injection, data exfiltration, model abuse, compromised agent credentials, tool/MCP misuse, agent hijacking) with containment steps that branch by deployment type, and a working majority have been exercised within the trailing 12 months.</x:v>
      </x:c>
      <x:c r="G114" s="42" t="str">
        <x:v>Manual</x:v>
      </x:c>
      <x:c r="H114" s="42" t="str">
        <x:v>All</x:v>
      </x:c>
      <x:c r="I114" s="42" t="str">
        <x:v>SEF-03 (Incident Response Plans), SEF-06 (Event Triage Processes), SEF-09 (Incident Response)</x:v>
      </x:c>
      <x:c r="J114" s="42" t="str">
        <x:v>MANAGE 4</x:v>
      </x:c>
      <x:c r="K114" s="42" t="str">
        <x:v>MANAGE 4: Parent AI RMF category/function referenced; use associated subcategory rows for testable control language.</x:v>
      </x:c>
      <x:c r="L114" s="42" t="str">
        <x:v>Direct from AISMM external reference</x:v>
      </x:c>
      <x:c r="M114" s="42" t="str">
        <x:v>Annex A.6; Annex A.7; Annex A.9</x:v>
      </x:c>
      <x:c r="N114" s="42" t="str">
        <x:v>Annex A.6 – AI system life cycle: Define responsible development objectives, specify verification and validation, maintain technical documentation, and record/maintain event logs during system use. Annex A.7 – Data for AI systems: Maintain documented AI data management, identify sources and provenance, record intended use, define data quality requirements, and document/justify preparation methods. Annex A.9 – Use of AI systems: Define responsible AI use processes, ethical/appropriate-use objectives, intended-purpose usage boundaries, and monitoring/remediation for misuse or unintended consequences.</x:v>
      </x:c>
      <x:c r="O114" s="42" t="str">
        <x:v>Derived by control theme/domain</x:v>
      </x:c>
      <x:c r="P114" s="42" t="str">
        <x:v>Extend enterprise IR with AI-specific scenarios such as prompt injection, data exfiltration, model abuse, and agent/tool misuse.</x:v>
      </x:c>
      <x:c r="Q114" s="42" t="str">
        <x:v>OWASP LLM01:2025 Prompt Injection, OWASP LLM02:2025 Sensitive Information Disclosure, OWASP LLM06:2025 Excessive Agency, OWASP LLM08:2025 Vector and Embedding Weaknesses, OWASP Agentic AI Threats (T3 Tool Misuse, T6 Agent Hijacking, T15 Memory Poisoning), MITRE ATLAS, NIST AI RMF MANAGE-4</x:v>
      </x:c>
      <x:c r="R114" s="42" t="str">
        <x:v>AI incident response plan; AI incident taxonomy; escalation matrix; tabletop exercises; incident tickets; post-incident reviews; regulatory/customer notification procedures; lessons-learned actions.</x:v>
      </x:c>
      <x:c r="S114" s="42" t="str">
        <x:v>Inspect AI-specific IR procedures; sample incident/tabletop records; verify triage, escalation, notification, root-cause analysis, and corrective action closure.</x:v>
      </x:c>
      <x:c r="T114" s="42" t="str">
        <x:v>Yes</x:v>
      </x:c>
      <x:c r="U114" s="42" t="str"/>
      <x:c r="V114" s="42" t="str"/>
      <x:c r="W114" s="42" t="str">
        <x:v>Not Assessed</x:v>
      </x:c>
      <x:c r="X114" s="44" t="n">
        <x:v>0</x:v>
      </x:c>
      <x:c r="Y114" s="44" t="n">
        <x:v>3</x:v>
      </x:c>
      <x:c r="Z114" s="42" t="str">
        <x:v>Not Provided</x:v>
      </x:c>
      <x:c r="AA114" s="42" t="str"/>
      <x:c r="AB114" s="42" t="str">
        <x:v>Not Tested</x:v>
      </x:c>
      <x:c r="AC114" s="46" t="str"/>
      <x:c r="AD114" s="42" t="str"/>
      <x:c r="AE114" s="42" t="str">
        <x:v>Not Assessed</x:v>
      </x:c>
      <x:c r="AF114" s="42" t="n">
        <x:f>IF($T114="No","",MAX(0,$Y114-$X114))</x:f>
        <x:v>3</x:v>
      </x:c>
      <x:c r="AG114" s="42" t="str">
        <x:f>IF($T114="No","Not Applicable",IF($X114&gt;=$C114,"Meets CSA Level","Gap to CSA Level"))</x:f>
        <x:v>Gap to CSA Level</x:v>
      </x:c>
      <x:c r="AH114" s="42" t="str">
        <x:f>IF($T114="No","Not Applicable",IF($J114="","Not Mapped",IF(AND(OR($W114="Implemented",$W114="Optimized"),$Z114="Validated",$AB114="Pass"),"Compliant",IF(AND(OR($W114="Partially Implemented",$W114="Implemented",$W114="Optimized"),OR($Z114="Reviewed",$Z114="Validated"),OR($AB114="Pass with Exceptions",$AB114="Pass")),"Partially Compliant","Not Compliant"))))</x:f>
        <x:v>Not Compliant</x:v>
      </x:c>
      <x:c r="AI114" s="42" t="str">
        <x:f>IF($T114="No","Not Applicable",IF($M114="","Not Mapped",IF(AND(OR($W114="Implemented",$W114="Optimized"),$Z114="Validated",$AB114="Pass"),"Compliant",IF(AND(OR($W114="Partially Implemented",$W114="Implemented",$W114="Optimized"),OR($Z114="Reviewed",$Z114="Validated"),OR($AB114="Pass with Exceptions",$AB114="Pass")),"Partially Compliant","Not Compliant"))))</x:f>
        <x:v>Not Compliant</x:v>
      </x:c>
      <x:c r="AJ114" s="42" t="str">
        <x:f>IF($T114="No","Not Applicable",IF(AND($AG114="Meets CSA Level",$AH114="Compliant",$AI114="Compliant"),"CSA AISMM; NIST AI RMF; ISO/IEC 42001",IF(AND($AG114="Meets CSA Level",$AH114="Compliant"),"CSA AISMM; NIST AI RMF",IF(AND($AG114="Meets CSA Level",$AI114="Compliant"),"CSA AISMM; ISO/IEC 42001",IF(AND($AH114="Compliant",$AI114="Compliant"),"NIST AI RMF; ISO/IEC 42001",IF($AG114="Meets CSA Level","CSA AISMM",IF($AH114="Compliant","NIST AI RMF",IF($AI114="Compliant","ISO/IEC 42001","No mapped framework fully compliant"))))))))</x:f>
        <x:v>No mapped framework fully compliant</x:v>
      </x:c>
      <x:c r="AK114" s="42" t="str"/>
      <x:c r="AL114" s="46" t="str"/>
      <x:c r="AM114" s="42" t="str"/>
      <x:c r="AN114" s="42" t="str">
        <x:v>CSA AISMM uploaded workbook; NIST AI RMF Playbook uploaded workbook; ISO/IEC 42001 checklist uploaded PDF; official CSA/NIST/ISO web sources listed on Sources sheet</x:v>
      </x:c>
    </x:row>
    <x:row r="115" ht="90" customHeight="1">
      <x:c r="A115" s="42" t="str">
        <x:v>Incident Response</x:v>
      </x:c>
      <x:c r="B115" s="42" t="str">
        <x:v>IR-03.2</x:v>
      </x:c>
      <x:c r="C115" s="42" t="n">
        <x:v>3</x:v>
      </x:c>
      <x:c r="D115" s="42" t="str">
        <x:v>IR</x:v>
      </x:c>
      <x:c r="E115" s="42" t="str">
        <x:v>Responder training and Pre-provisioned read access</x:v>
      </x:c>
      <x:c r="F115" s="42" t="str">
        <x:v>Primary AI responders have completed AI-specific IR training within the trailing 12 months (proven by knowledge check or simulated exercise) and hold pre-provisioned read access to telemetry, deployment configs, and provider consoles sufficient to run a playbook without just-in-time provisioning.</x:v>
      </x:c>
      <x:c r="G115" s="42" t="str">
        <x:v>Manual</x:v>
      </x:c>
      <x:c r="H115" s="42" t="str">
        <x:v>All</x:v>
      </x:c>
      <x:c r="I115" s="42" t="str">
        <x:v>SEF-01 (Security Incident Management Policy), SEF-06 (Event Triage Processes)</x:v>
      </x:c>
      <x:c r="J115" s="42" t="str">
        <x:v>GOVERN 3</x:v>
      </x:c>
      <x:c r="K115" s="42" t="str">
        <x:v>GOVERN 3: Parent AI RMF category/function referenced; use associated subcategory rows for testable control language.</x:v>
      </x:c>
      <x:c r="L115" s="42" t="str">
        <x:v>Direct from AISMM external reference</x:v>
      </x:c>
      <x:c r="M115" s="42" t="str">
        <x:v>Annex A.3; Annex A.6; Annex A.10</x:v>
      </x:c>
      <x:c r="N115" s="42" t="str">
        <x:v>Annex A.3 – Internal organization: Define AI roles and responsibilities; provide reporting and confidential escalation paths; investigate and resolve AI-related concerns. Annex A.6 – AI system life cycle: Define responsible development objectives, specify verification and validation, maintain technical documentation, and record/maintain event logs during system use. Annex A.10 – Third-party and customer relationships: Define lifecycle responsibilities with third parties, manage AI suppliers, capture customer expectations, and review third-party roles through ongoing governance.</x:v>
      </x:c>
      <x:c r="O115" s="42" t="str">
        <x:v>Derived by control theme/domain</x:v>
      </x:c>
      <x:c r="P115" s="42" t="str">
        <x:v>Track role-based completion, knowledge checks, and refresh cadence. Extend enterprise IR with AI-specific scenarios such as prompt injection, data exfiltration, model abuse, and agent/tool misuse.</x:v>
      </x:c>
      <x:c r="Q115" s="42" t="str">
        <x:v>NIST AI RMF GOVERN-3, MITRE ATLAS, OWASP Top 10 for LLM Applications (2025)</x:v>
      </x:c>
      <x:c r="R115" s="42" t="str">
        <x:v>AI incident response plan; AI incident taxonomy; escalation matrix; tabletop exercises; incident tickets; post-incident reviews; regulatory/customer notification procedures; lessons-learned actions.</x:v>
      </x:c>
      <x:c r="S115" s="42" t="str">
        <x:v>Inspect AI-specific IR procedures; sample incident/tabletop records; verify triage, escalation, notification, root-cause analysis, and corrective action closure.</x:v>
      </x:c>
      <x:c r="T115" s="42" t="str">
        <x:v>Yes</x:v>
      </x:c>
      <x:c r="U115" s="42" t="str"/>
      <x:c r="V115" s="42" t="str"/>
      <x:c r="W115" s="42" t="str">
        <x:v>Not Assessed</x:v>
      </x:c>
      <x:c r="X115" s="44" t="n">
        <x:v>0</x:v>
      </x:c>
      <x:c r="Y115" s="44" t="n">
        <x:v>3</x:v>
      </x:c>
      <x:c r="Z115" s="42" t="str">
        <x:v>Not Provided</x:v>
      </x:c>
      <x:c r="AA115" s="42" t="str"/>
      <x:c r="AB115" s="42" t="str">
        <x:v>Not Tested</x:v>
      </x:c>
      <x:c r="AC115" s="46" t="str"/>
      <x:c r="AD115" s="42" t="str"/>
      <x:c r="AE115" s="42" t="str">
        <x:v>Not Assessed</x:v>
      </x:c>
      <x:c r="AF115" s="42" t="n">
        <x:f>IF($T115="No","",MAX(0,$Y115-$X115))</x:f>
        <x:v>3</x:v>
      </x:c>
      <x:c r="AG115" s="42" t="str">
        <x:f>IF($T115="No","Not Applicable",IF($X115&gt;=$C115,"Meets CSA Level","Gap to CSA Level"))</x:f>
        <x:v>Gap to CSA Level</x:v>
      </x:c>
      <x:c r="AH115" s="42" t="str">
        <x:f>IF($T115="No","Not Applicable",IF($J115="","Not Mapped",IF(AND(OR($W115="Implemented",$W115="Optimized"),$Z115="Validated",$AB115="Pass"),"Compliant",IF(AND(OR($W115="Partially Implemented",$W115="Implemented",$W115="Optimized"),OR($Z115="Reviewed",$Z115="Validated"),OR($AB115="Pass with Exceptions",$AB115="Pass")),"Partially Compliant","Not Compliant"))))</x:f>
        <x:v>Not Compliant</x:v>
      </x:c>
      <x:c r="AI115" s="42" t="str">
        <x:f>IF($T115="No","Not Applicable",IF($M115="","Not Mapped",IF(AND(OR($W115="Implemented",$W115="Optimized"),$Z115="Validated",$AB115="Pass"),"Compliant",IF(AND(OR($W115="Partially Implemented",$W115="Implemented",$W115="Optimized"),OR($Z115="Reviewed",$Z115="Validated"),OR($AB115="Pass with Exceptions",$AB115="Pass")),"Partially Compliant","Not Compliant"))))</x:f>
        <x:v>Not Compliant</x:v>
      </x:c>
      <x:c r="AJ115" s="42" t="str">
        <x:f>IF($T115="No","Not Applicable",IF(AND($AG115="Meets CSA Level",$AH115="Compliant",$AI115="Compliant"),"CSA AISMM; NIST AI RMF; ISO/IEC 42001",IF(AND($AG115="Meets CSA Level",$AH115="Compliant"),"CSA AISMM; NIST AI RMF",IF(AND($AG115="Meets CSA Level",$AI115="Compliant"),"CSA AISMM; ISO/IEC 42001",IF(AND($AH115="Compliant",$AI115="Compliant"),"NIST AI RMF; ISO/IEC 42001",IF($AG115="Meets CSA Level","CSA AISMM",IF($AH115="Compliant","NIST AI RMF",IF($AI115="Compliant","ISO/IEC 42001","No mapped framework fully compliant"))))))))</x:f>
        <x:v>No mapped framework fully compliant</x:v>
      </x:c>
      <x:c r="AK115" s="42" t="str"/>
      <x:c r="AL115" s="46" t="str"/>
      <x:c r="AM115" s="42" t="str"/>
      <x:c r="AN115" s="42" t="str">
        <x:v>CSA AISMM uploaded workbook; NIST AI RMF Playbook uploaded workbook; ISO/IEC 42001 checklist uploaded PDF; official CSA/NIST/ISO web sources listed on Sources sheet</x:v>
      </x:c>
    </x:row>
    <x:row r="116" ht="90" customHeight="1">
      <x:c r="A116" s="42" t="str">
        <x:v>Incident Response</x:v>
      </x:c>
      <x:c r="B116" s="42" t="str">
        <x:v>IR-04.1</x:v>
      </x:c>
      <x:c r="C116" s="42" t="n">
        <x:v>4</x:v>
      </x:c>
      <x:c r="D116" s="42" t="str">
        <x:v>IR</x:v>
      </x:c>
      <x:c r="E116" s="42" t="str">
        <x:v>AI threat intelligence operationalized into detection and response</x:v>
      </x:c>
      <x:c r="F116" s="42" t="str">
        <x:v>A named AI threat intelligence function turns provider advisories, AI-BOM CVEs, and external research into detection-rule updates, playbook revisions, or owner tickets, with action-required items closing on a defined SLA.</x:v>
      </x:c>
      <x:c r="G116" s="42" t="str">
        <x:v>Either</x:v>
      </x:c>
      <x:c r="H116" s="42" t="str">
        <x:v>All</x:v>
      </x:c>
      <x:c r="I116" s="42" t="str">
        <x:v>SEF-03 (Incident Response Plans), SEF-06 (Event Triage Processes), SEF-09 (Incident Response)</x:v>
      </x:c>
      <x:c r="J116" s="42" t="str">
        <x:v>MANAGE 4.1; MANAGE 4</x:v>
      </x:c>
      <x:c r="K116" s="42" t="str">
        <x:v>MANAGE 4.1: - Establish and maintain procedures to monitor AI system performance for risks and negative and positive impacts associated with trustworthiness characteristics. - Perform post-deployment TEVV tasks to evaluate AI system validity and reliability, bias and fairness, privacy, and security and resilience. - Evaluate AI system trustworthiness in conditions similar to deployment context of use, and prior to deployment. - Establish and implement red-teaming exercises at a prescribed cadence, and evaluate their efficacy. - Establish procedures for tracking dataset modifications such as data deletion or rectification requests. - Establish mechanisms for regular communication and feedback between relevant AI actors and internal or external stakeholders to capture information about system performance, trustworthiness and impact.…</x:v>
      </x:c>
      <x:c r="L116" s="42" t="str">
        <x:v>Direct from AISMM external reference</x:v>
      </x:c>
      <x:c r="M116" s="42" t="str">
        <x:v>Annex A.6; Annex A.10</x:v>
      </x:c>
      <x:c r="N116" s="42" t="str">
        <x:v>Annex A.6 – AI system life cycle: Define responsible development objectives, specify verification and validation, maintain technical documentation, and record/maintain event logs during system use. Annex A.10 – Third-party and customer relationships: Define lifecycle responsibilities with third parties, manage AI suppliers, capture customer expectations, and review third-party roles through ongoing governance.</x:v>
      </x:c>
      <x:c r="O116" s="42" t="str">
        <x:v>Derived by control theme/domain</x:v>
      </x:c>
      <x:c r="P116" s="42" t="str">
        <x:v>Extend enterprise IR with AI-specific scenarios such as prompt injection, data exfiltration, model abuse, and agent/tool misuse.</x:v>
      </x:c>
      <x:c r="Q116" s="42" t="str">
        <x:v>MITRE ATLAS, OWASP Top 10 for LLM Applications (2025), OWASP Agentic AI Threats, NIST AI RMF MANAGE-4.1</x:v>
      </x:c>
      <x:c r="R116" s="42" t="str">
        <x:v>AI incident response plan; AI incident taxonomy; escalation matrix; tabletop exercises; incident tickets; post-incident reviews; regulatory/customer notification procedures; lessons-learned actions.</x:v>
      </x:c>
      <x:c r="S116" s="42" t="str">
        <x:v>Inspect AI-specific IR procedures; sample incident/tabletop records; verify triage, escalation, notification, root-cause analysis, and corrective action closure.</x:v>
      </x:c>
      <x:c r="T116" s="42" t="str">
        <x:v>Yes</x:v>
      </x:c>
      <x:c r="U116" s="42" t="str"/>
      <x:c r="V116" s="42" t="str"/>
      <x:c r="W116" s="42" t="str">
        <x:v>Not Assessed</x:v>
      </x:c>
      <x:c r="X116" s="44" t="n">
        <x:v>0</x:v>
      </x:c>
      <x:c r="Y116" s="44" t="n">
        <x:v>4</x:v>
      </x:c>
      <x:c r="Z116" s="42" t="str">
        <x:v>Not Provided</x:v>
      </x:c>
      <x:c r="AA116" s="42" t="str"/>
      <x:c r="AB116" s="42" t="str">
        <x:v>Not Tested</x:v>
      </x:c>
      <x:c r="AC116" s="46" t="str"/>
      <x:c r="AD116" s="42" t="str"/>
      <x:c r="AE116" s="42" t="str">
        <x:v>Not Assessed</x:v>
      </x:c>
      <x:c r="AF116" s="42" t="n">
        <x:f>IF($T116="No","",MAX(0,$Y116-$X116))</x:f>
        <x:v>4</x:v>
      </x:c>
      <x:c r="AG116" s="42" t="str">
        <x:f>IF($T116="No","Not Applicable",IF($X116&gt;=$C116,"Meets CSA Level","Gap to CSA Level"))</x:f>
        <x:v>Gap to CSA Level</x:v>
      </x:c>
      <x:c r="AH116" s="42" t="str">
        <x:f>IF($T116="No","Not Applicable",IF($J116="","Not Mapped",IF(AND(OR($W116="Implemented",$W116="Optimized"),$Z116="Validated",$AB116="Pass"),"Compliant",IF(AND(OR($W116="Partially Implemented",$W116="Implemented",$W116="Optimized"),OR($Z116="Reviewed",$Z116="Validated"),OR($AB116="Pass with Exceptions",$AB116="Pass")),"Partially Compliant","Not Compliant"))))</x:f>
        <x:v>Not Compliant</x:v>
      </x:c>
      <x:c r="AI116" s="42" t="str">
        <x:f>IF($T116="No","Not Applicable",IF($M116="","Not Mapped",IF(AND(OR($W116="Implemented",$W116="Optimized"),$Z116="Validated",$AB116="Pass"),"Compliant",IF(AND(OR($W116="Partially Implemented",$W116="Implemented",$W116="Optimized"),OR($Z116="Reviewed",$Z116="Validated"),OR($AB116="Pass with Exceptions",$AB116="Pass")),"Partially Compliant","Not Compliant"))))</x:f>
        <x:v>Not Compliant</x:v>
      </x:c>
      <x:c r="AJ116" s="42" t="str">
        <x:f>IF($T116="No","Not Applicable",IF(AND($AG116="Meets CSA Level",$AH116="Compliant",$AI116="Compliant"),"CSA AISMM; NIST AI RMF; ISO/IEC 42001",IF(AND($AG116="Meets CSA Level",$AH116="Compliant"),"CSA AISMM; NIST AI RMF",IF(AND($AG116="Meets CSA Level",$AI116="Compliant"),"CSA AISMM; ISO/IEC 42001",IF(AND($AH116="Compliant",$AI116="Compliant"),"NIST AI RMF; ISO/IEC 42001",IF($AG116="Meets CSA Level","CSA AISMM",IF($AH116="Compliant","NIST AI RMF",IF($AI116="Compliant","ISO/IEC 42001","No mapped framework fully compliant"))))))))</x:f>
        <x:v>No mapped framework fully compliant</x:v>
      </x:c>
      <x:c r="AK116" s="42" t="str"/>
      <x:c r="AL116" s="46" t="str"/>
      <x:c r="AM116" s="42" t="str"/>
      <x:c r="AN116" s="42" t="str">
        <x:v>CSA AISMM uploaded workbook; NIST AI RMF Playbook uploaded workbook; ISO/IEC 42001 checklist uploaded PDF; official CSA/NIST/ISO web sources listed on Sources sheet</x:v>
      </x:c>
    </x:row>
    <x:row r="117" ht="90" customHeight="1">
      <x:c r="A117" s="42" t="str">
        <x:v>Incident Response</x:v>
      </x:c>
      <x:c r="B117" s="42" t="str">
        <x:v>IR-04.2</x:v>
      </x:c>
      <x:c r="C117" s="42" t="n">
        <x:v>4</x:v>
      </x:c>
      <x:c r="D117" s="42" t="str">
        <x:v>IR</x:v>
      </x:c>
      <x:c r="E117" s="42" t="str">
        <x:v>SOAR automation for common AI containment actions</x:v>
      </x:c>
      <x:c r="F117" s="42" t="str">
        <x:v>SOAR playbooks execute common AI containment actions (disabling deployments, revoking agent tool scope, rotating provider keys, rolling back models or memory) across each deployment type in scope, with audited invocation and a measurable MTTR improvement over the manual baseline.</x:v>
      </x:c>
      <x:c r="G117" s="42" t="str">
        <x:v>Automated</x:v>
      </x:c>
      <x:c r="H117" s="42" t="str">
        <x:v>All (automations differ by deployment type; coverage required across the types present in the inventory)</x:v>
      </x:c>
      <x:c r="I117" s="42" t="str">
        <x:v>SEF-06 (Event Triage Processes), SEF-09 (Incident Response — automated response where applicable)</x:v>
      </x:c>
      <x:c r="J117" s="42" t="str">
        <x:v>MANAGE 4</x:v>
      </x:c>
      <x:c r="K117" s="42" t="str">
        <x:v>MANAGE 4: Parent AI RMF category/function referenced; use associated subcategory rows for testable control language.</x:v>
      </x:c>
      <x:c r="L117" s="42" t="str">
        <x:v>Direct from AISMM external reference</x:v>
      </x:c>
      <x:c r="M117" s="42" t="str">
        <x:v>Annex A.6; Annex A.9; Annex A.10</x:v>
      </x:c>
      <x:c r="N117" s="42" t="str">
        <x:v>Annex A.6 – AI system life cycle: Define responsible development objectives, specify verification and validation, maintain technical documentation, and record/maintain event logs during system use. Annex A.9 – Use of AI systems: Define responsible AI use processes, ethical/appropriate-use objectives, intended-purpose usage boundaries, and monitoring/remediation for misuse or unintended consequences. Annex A.10 – Third-party and customer relationships: Define lifecycle responsibilities with third parties, manage AI suppliers, capture customer expectations, and review third-party roles through ongoing governance.</x:v>
      </x:c>
      <x:c r="O117" s="42" t="str">
        <x:v>Derived by control theme/domain</x:v>
      </x:c>
      <x:c r="P117" s="42" t="str">
        <x:v>Extend enterprise IR with AI-specific scenarios such as prompt injection, data exfiltration, model abuse, and agent/tool misuse.</x:v>
      </x:c>
      <x:c r="Q117" s="42" t="str">
        <x:v>NIST AI RMF MANAGE-4, OWASP LLM06:2025 Excessive Agency, OWASP Agentic AI Threats (T3 Tool Misuse, T6 Agent Hijacking)</x:v>
      </x:c>
      <x:c r="R117" s="42" t="str">
        <x:v>AI incident response plan; AI incident taxonomy; escalation matrix; tabletop exercises; incident tickets; post-incident reviews; regulatory/customer notification procedures; lessons-learned actions.</x:v>
      </x:c>
      <x:c r="S117" s="42" t="str">
        <x:v>Inspect AI-specific IR procedures; sample incident/tabletop records; verify triage, escalation, notification, root-cause analysis, and corrective action closure.</x:v>
      </x:c>
      <x:c r="T117" s="42" t="str">
        <x:v>Yes</x:v>
      </x:c>
      <x:c r="U117" s="42" t="str"/>
      <x:c r="V117" s="42" t="str"/>
      <x:c r="W117" s="42" t="str">
        <x:v>Not Assessed</x:v>
      </x:c>
      <x:c r="X117" s="44" t="n">
        <x:v>0</x:v>
      </x:c>
      <x:c r="Y117" s="44" t="n">
        <x:v>4</x:v>
      </x:c>
      <x:c r="Z117" s="42" t="str">
        <x:v>Not Provided</x:v>
      </x:c>
      <x:c r="AA117" s="42" t="str"/>
      <x:c r="AB117" s="42" t="str">
        <x:v>Not Tested</x:v>
      </x:c>
      <x:c r="AC117" s="46" t="str"/>
      <x:c r="AD117" s="42" t="str"/>
      <x:c r="AE117" s="42" t="str">
        <x:v>Not Assessed</x:v>
      </x:c>
      <x:c r="AF117" s="42" t="n">
        <x:f>IF($T117="No","",MAX(0,$Y117-$X117))</x:f>
        <x:v>4</x:v>
      </x:c>
      <x:c r="AG117" s="42" t="str">
        <x:f>IF($T117="No","Not Applicable",IF($X117&gt;=$C117,"Meets CSA Level","Gap to CSA Level"))</x:f>
        <x:v>Gap to CSA Level</x:v>
      </x:c>
      <x:c r="AH117" s="42" t="str">
        <x:f>IF($T117="No","Not Applicable",IF($J117="","Not Mapped",IF(AND(OR($W117="Implemented",$W117="Optimized"),$Z117="Validated",$AB117="Pass"),"Compliant",IF(AND(OR($W117="Partially Implemented",$W117="Implemented",$W117="Optimized"),OR($Z117="Reviewed",$Z117="Validated"),OR($AB117="Pass with Exceptions",$AB117="Pass")),"Partially Compliant","Not Compliant"))))</x:f>
        <x:v>Not Compliant</x:v>
      </x:c>
      <x:c r="AI117" s="42" t="str">
        <x:f>IF($T117="No","Not Applicable",IF($M117="","Not Mapped",IF(AND(OR($W117="Implemented",$W117="Optimized"),$Z117="Validated",$AB117="Pass"),"Compliant",IF(AND(OR($W117="Partially Implemented",$W117="Implemented",$W117="Optimized"),OR($Z117="Reviewed",$Z117="Validated"),OR($AB117="Pass with Exceptions",$AB117="Pass")),"Partially Compliant","Not Compliant"))))</x:f>
        <x:v>Not Compliant</x:v>
      </x:c>
      <x:c r="AJ117" s="42" t="str">
        <x:f>IF($T117="No","Not Applicable",IF(AND($AG117="Meets CSA Level",$AH117="Compliant",$AI117="Compliant"),"CSA AISMM; NIST AI RMF; ISO/IEC 42001",IF(AND($AG117="Meets CSA Level",$AH117="Compliant"),"CSA AISMM; NIST AI RMF",IF(AND($AG117="Meets CSA Level",$AI117="Compliant"),"CSA AISMM; ISO/IEC 42001",IF(AND($AH117="Compliant",$AI117="Compliant"),"NIST AI RMF; ISO/IEC 42001",IF($AG117="Meets CSA Level","CSA AISMM",IF($AH117="Compliant","NIST AI RMF",IF($AI117="Compliant","ISO/IEC 42001","No mapped framework fully compliant"))))))))</x:f>
        <x:v>No mapped framework fully compliant</x:v>
      </x:c>
      <x:c r="AK117" s="42" t="str"/>
      <x:c r="AL117" s="46" t="str"/>
      <x:c r="AM117" s="42" t="str"/>
      <x:c r="AN117" s="42" t="str">
        <x:v>CSA AISMM uploaded workbook; NIST AI RMF Playbook uploaded workbook; ISO/IEC 42001 checklist uploaded PDF; official CSA/NIST/ISO web sources listed on Sources sheet</x:v>
      </x:c>
    </x:row>
    <x:row r="118" ht="90" customHeight="1">
      <x:c r="A118" s="42" t="str">
        <x:v>Incident Response</x:v>
      </x:c>
      <x:c r="B118" s="42" t="str">
        <x:v>IR-04.3</x:v>
      </x:c>
      <x:c r="C118" s="42" t="n">
        <x:v>4</x:v>
      </x:c>
      <x:c r="D118" s="42" t="str">
        <x:v>IR</x:v>
      </x:c>
      <x:c r="E118" s="42" t="str">
        <x:v>Break-Glass administrative containment access</x:v>
      </x:c>
      <x:c r="F118" s="42" t="str">
        <x:v>Responders can stop, isolate, or revoke AI deployments through a time-bounded, audited break-glass path with secondary approval or post-use review, exercised end-to-end across the deployment types in scope within the trailing 12 months.</x:v>
      </x:c>
      <x:c r="G118" s="42" t="str">
        <x:v>Either</x:v>
      </x:c>
      <x:c r="H118" s="42" t="str">
        <x:v>All</x:v>
      </x:c>
      <x:c r="I118" s="42" t="str">
        <x:v>SEF-06 (Event Triage Processes), SEF-09 (Incident Response)</x:v>
      </x:c>
      <x:c r="J118" s="42" t="str">
        <x:v>GOVERN 3</x:v>
      </x:c>
      <x:c r="K118" s="42" t="str">
        <x:v>GOVERN 3: Parent AI RMF category/function referenced; use associated subcategory rows for testable control language.</x:v>
      </x:c>
      <x:c r="L118" s="42" t="str">
        <x:v>Direct from AISMM external reference</x:v>
      </x:c>
      <x:c r="M118" s="42" t="str">
        <x:v>Clause 8; Clause 10; Annex A.6</x:v>
      </x:c>
      <x:c r="N118" s="42" t="str">
        <x:v>Clause 8 – Operation: Plan, implement, and control AI operational processes; integrate AI risk assessment/treatment into operations; maintain and update AI system impact assessments. Clause 10 – Improvement: Determine improvement opportunities and manage nonconformities and corrective actions effectively. Annex A.6 – AI system life cycle: Define responsible development objectives, specify verification and validation, maintain technical documentation, and record/maintain event logs during system use.</x:v>
      </x:c>
      <x:c r="O118" s="42" t="str">
        <x:v>Derived by CSA domain/theme</x:v>
      </x:c>
      <x:c r="P118" s="42" t="str">
        <x:v>Extend enterprise IR with AI-specific scenarios such as prompt injection, data exfiltration, model abuse, and agent/tool misuse.</x:v>
      </x:c>
      <x:c r="Q118" s="42" t="str">
        <x:v>NIST SP 800-61r3, NIST AI RMF GOVERN-3, OWASP LLM06:2025 Excessive Agency</x:v>
      </x:c>
      <x:c r="R118" s="42" t="str">
        <x:v>AI incident response plan; AI incident taxonomy; escalation matrix; tabletop exercises; incident tickets; post-incident reviews; regulatory/customer notification procedures; lessons-learned actions.</x:v>
      </x:c>
      <x:c r="S118" s="42" t="str">
        <x:v>Inspect AI-specific IR procedures; sample incident/tabletop records; verify triage, escalation, notification, root-cause analysis, and corrective action closure.</x:v>
      </x:c>
      <x:c r="T118" s="42" t="str">
        <x:v>Yes</x:v>
      </x:c>
      <x:c r="U118" s="42" t="str"/>
      <x:c r="V118" s="42" t="str"/>
      <x:c r="W118" s="42" t="str">
        <x:v>Not Assessed</x:v>
      </x:c>
      <x:c r="X118" s="44" t="n">
        <x:v>0</x:v>
      </x:c>
      <x:c r="Y118" s="44" t="n">
        <x:v>4</x:v>
      </x:c>
      <x:c r="Z118" s="42" t="str">
        <x:v>Not Provided</x:v>
      </x:c>
      <x:c r="AA118" s="42" t="str"/>
      <x:c r="AB118" s="42" t="str">
        <x:v>Not Tested</x:v>
      </x:c>
      <x:c r="AC118" s="46" t="str"/>
      <x:c r="AD118" s="42" t="str"/>
      <x:c r="AE118" s="42" t="str">
        <x:v>Not Assessed</x:v>
      </x:c>
      <x:c r="AF118" s="42" t="n">
        <x:f>IF($T118="No","",MAX(0,$Y118-$X118))</x:f>
        <x:v>4</x:v>
      </x:c>
      <x:c r="AG118" s="42" t="str">
        <x:f>IF($T118="No","Not Applicable",IF($X118&gt;=$C118,"Meets CSA Level","Gap to CSA Level"))</x:f>
        <x:v>Gap to CSA Level</x:v>
      </x:c>
      <x:c r="AH118" s="42" t="str">
        <x:f>IF($T118="No","Not Applicable",IF($J118="","Not Mapped",IF(AND(OR($W118="Implemented",$W118="Optimized"),$Z118="Validated",$AB118="Pass"),"Compliant",IF(AND(OR($W118="Partially Implemented",$W118="Implemented",$W118="Optimized"),OR($Z118="Reviewed",$Z118="Validated"),OR($AB118="Pass with Exceptions",$AB118="Pass")),"Partially Compliant","Not Compliant"))))</x:f>
        <x:v>Not Compliant</x:v>
      </x:c>
      <x:c r="AI118" s="42" t="str">
        <x:f>IF($T118="No","Not Applicable",IF($M118="","Not Mapped",IF(AND(OR($W118="Implemented",$W118="Optimized"),$Z118="Validated",$AB118="Pass"),"Compliant",IF(AND(OR($W118="Partially Implemented",$W118="Implemented",$W118="Optimized"),OR($Z118="Reviewed",$Z118="Validated"),OR($AB118="Pass with Exceptions",$AB118="Pass")),"Partially Compliant","Not Compliant"))))</x:f>
        <x:v>Not Compliant</x:v>
      </x:c>
      <x:c r="AJ118" s="42" t="str">
        <x:f>IF($T118="No","Not Applicable",IF(AND($AG118="Meets CSA Level",$AH118="Compliant",$AI118="Compliant"),"CSA AISMM; NIST AI RMF; ISO/IEC 42001",IF(AND($AG118="Meets CSA Level",$AH118="Compliant"),"CSA AISMM; NIST AI RMF",IF(AND($AG118="Meets CSA Level",$AI118="Compliant"),"CSA AISMM; ISO/IEC 42001",IF(AND($AH118="Compliant",$AI118="Compliant"),"NIST AI RMF; ISO/IEC 42001",IF($AG118="Meets CSA Level","CSA AISMM",IF($AH118="Compliant","NIST AI RMF",IF($AI118="Compliant","ISO/IEC 42001","No mapped framework fully compliant"))))))))</x:f>
        <x:v>No mapped framework fully compliant</x:v>
      </x:c>
      <x:c r="AK118" s="42" t="str"/>
      <x:c r="AL118" s="46" t="str"/>
      <x:c r="AM118" s="42" t="str"/>
      <x:c r="AN118" s="42" t="str">
        <x:v>CSA AISMM uploaded workbook; NIST AI RMF Playbook uploaded workbook; ISO/IEC 42001 checklist uploaded PDF; official CSA/NIST/ISO web sources listed on Sources sheet</x:v>
      </x:c>
    </x:row>
    <x:row r="119" ht="90" customHeight="1">
      <x:c r="A119" s="42" t="str">
        <x:v>Incident Response</x:v>
      </x:c>
      <x:c r="B119" s="42" t="str">
        <x:v>IR-05.1</x:v>
      </x:c>
      <x:c r="C119" s="42" t="n">
        <x:v>5</x:v>
      </x:c>
      <x:c r="D119" s="42" t="str">
        <x:v>IR</x:v>
      </x:c>
      <x:c r="E119" s="42" t="str">
        <x:v>Automated response for agentic threat patterns</x:v>
      </x:c>
      <x:c r="F119" s="42" t="str">
        <x:v>Production agentic deployments trigger automated containment for agentic-specific threats (agent hijacking, MCP compromise, memory manipulation) with a documented true-positive rate at or above 80% over the trailing 90 days and human-in-the-loop review on each invocation.</x:v>
      </x:c>
      <x:c r="G119" s="42" t="str">
        <x:v>Automated</x:v>
      </x:c>
      <x:c r="H119" s="42" t="str">
        <x:v>All agentic deployments (agents with tool access, MCP connections, or persistent memory); not applicable where no agentic deployments exist</x:v>
      </x:c>
      <x:c r="I119" s="42" t="str">
        <x:v>SEF-06 (Event Triage Processes), SEF-09 (Incident Response — automated response)</x:v>
      </x:c>
      <x:c r="J119" s="42" t="str">
        <x:v>MANAGE 4</x:v>
      </x:c>
      <x:c r="K119" s="42" t="str">
        <x:v>MANAGE 4: Parent AI RMF category/function referenced; use associated subcategory rows for testable control language.</x:v>
      </x:c>
      <x:c r="L119" s="42" t="str">
        <x:v>Direct from AISMM external reference</x:v>
      </x:c>
      <x:c r="M119" s="42" t="str">
        <x:v>Annex A.6; Annex A.9</x:v>
      </x:c>
      <x:c r="N119" s="42" t="str">
        <x:v>Annex A.6 – AI system life cycle: Define responsible development objectives, specify verification and validation, maintain technical documentation, and record/maintain event logs during system use. Annex A.9 – Use of AI systems: Define responsible AI use processes, ethical/appropriate-use objectives, intended-purpose usage boundaries, and monitoring/remediation for misuse or unintended consequences.</x:v>
      </x:c>
      <x:c r="O119" s="42" t="str">
        <x:v>Derived by control theme/domain</x:v>
      </x:c>
      <x:c r="P119" s="42" t="str">
        <x:v>Extend enterprise IR with AI-specific scenarios such as prompt injection, data exfiltration, model abuse, and agent/tool misuse.</x:v>
      </x:c>
      <x:c r="Q119" s="42" t="str">
        <x:v>OWASP Agentic AI Threats (T3 Tool Misuse, T6 Agent Hijacking, T12 Identity Spoofing, T15 Memory Poisoning), CSA MAESTRO framework, NIST AI RMF MANAGE-4</x:v>
      </x:c>
      <x:c r="R119" s="42" t="str">
        <x:v>AI incident response plan; AI incident taxonomy; escalation matrix; tabletop exercises; incident tickets; post-incident reviews; regulatory/customer notification procedures; lessons-learned actions.</x:v>
      </x:c>
      <x:c r="S119" s="42" t="str">
        <x:v>Inspect AI-specific IR procedures; sample incident/tabletop records; verify triage, escalation, notification, root-cause analysis, and corrective action closure.</x:v>
      </x:c>
      <x:c r="T119" s="42" t="str">
        <x:v>Yes</x:v>
      </x:c>
      <x:c r="U119" s="42" t="str"/>
      <x:c r="V119" s="42" t="str"/>
      <x:c r="W119" s="42" t="str">
        <x:v>Not Assessed</x:v>
      </x:c>
      <x:c r="X119" s="44" t="n">
        <x:v>0</x:v>
      </x:c>
      <x:c r="Y119" s="44" t="n">
        <x:v>5</x:v>
      </x:c>
      <x:c r="Z119" s="42" t="str">
        <x:v>Not Provided</x:v>
      </x:c>
      <x:c r="AA119" s="42" t="str"/>
      <x:c r="AB119" s="42" t="str">
        <x:v>Not Tested</x:v>
      </x:c>
      <x:c r="AC119" s="46" t="str"/>
      <x:c r="AD119" s="42" t="str"/>
      <x:c r="AE119" s="42" t="str">
        <x:v>Not Assessed</x:v>
      </x:c>
      <x:c r="AF119" s="42" t="n">
        <x:f>IF($T119="No","",MAX(0,$Y119-$X119))</x:f>
        <x:v>5</x:v>
      </x:c>
      <x:c r="AG119" s="42" t="str">
        <x:f>IF($T119="No","Not Applicable",IF($X119&gt;=$C119,"Meets CSA Level","Gap to CSA Level"))</x:f>
        <x:v>Gap to CSA Level</x:v>
      </x:c>
      <x:c r="AH119" s="42" t="str">
        <x:f>IF($T119="No","Not Applicable",IF($J119="","Not Mapped",IF(AND(OR($W119="Implemented",$W119="Optimized"),$Z119="Validated",$AB119="Pass"),"Compliant",IF(AND(OR($W119="Partially Implemented",$W119="Implemented",$W119="Optimized"),OR($Z119="Reviewed",$Z119="Validated"),OR($AB119="Pass with Exceptions",$AB119="Pass")),"Partially Compliant","Not Compliant"))))</x:f>
        <x:v>Not Compliant</x:v>
      </x:c>
      <x:c r="AI119" s="42" t="str">
        <x:f>IF($T119="No","Not Applicable",IF($M119="","Not Mapped",IF(AND(OR($W119="Implemented",$W119="Optimized"),$Z119="Validated",$AB119="Pass"),"Compliant",IF(AND(OR($W119="Partially Implemented",$W119="Implemented",$W119="Optimized"),OR($Z119="Reviewed",$Z119="Validated"),OR($AB119="Pass with Exceptions",$AB119="Pass")),"Partially Compliant","Not Compliant"))))</x:f>
        <x:v>Not Compliant</x:v>
      </x:c>
      <x:c r="AJ119" s="42" t="str">
        <x:f>IF($T119="No","Not Applicable",IF(AND($AG119="Meets CSA Level",$AH119="Compliant",$AI119="Compliant"),"CSA AISMM; NIST AI RMF; ISO/IEC 42001",IF(AND($AG119="Meets CSA Level",$AH119="Compliant"),"CSA AISMM; NIST AI RMF",IF(AND($AG119="Meets CSA Level",$AI119="Compliant"),"CSA AISMM; ISO/IEC 42001",IF(AND($AH119="Compliant",$AI119="Compliant"),"NIST AI RMF; ISO/IEC 42001",IF($AG119="Meets CSA Level","CSA AISMM",IF($AH119="Compliant","NIST AI RMF",IF($AI119="Compliant","ISO/IEC 42001","No mapped framework fully compliant"))))))))</x:f>
        <x:v>No mapped framework fully compliant</x:v>
      </x:c>
      <x:c r="AK119" s="42" t="str"/>
      <x:c r="AL119" s="46" t="str"/>
      <x:c r="AM119" s="42" t="str"/>
      <x:c r="AN119" s="42" t="str">
        <x:v>CSA AISMM uploaded workbook; NIST AI RMF Playbook uploaded workbook; ISO/IEC 42001 checklist uploaded PDF; official CSA/NIST/ISO web sources listed on Sources sheet</x:v>
      </x:c>
    </x:row>
    <x:row r="120" ht="90" customHeight="1">
      <x:c r="A120" s="42" t="str">
        <x:v>Incident Response</x:v>
      </x:c>
      <x:c r="B120" s="42" t="str">
        <x:v>IR-05.2</x:v>
      </x:c>
      <x:c r="C120" s="42" t="n">
        <x:v>5</x:v>
      </x:c>
      <x:c r="D120" s="42" t="str">
        <x:v>IR</x:v>
      </x:c>
      <x:c r="E120" s="42" t="str">
        <x:v>Tamper-Evident agentic telemetry for forensic reconstruction</x:v>
      </x:c>
      <x:c r="F120" s="42" t="str">
        <x:v>Production agentic deployments preserve tamper-evident, indexed telemetry (prompts, tool I/O, context checkpoints, delegation, memory events) and responders can reconstruct any agent session on demand, validated by a quarterly forensic drill.</x:v>
      </x:c>
      <x:c r="G120" s="42" t="str">
        <x:v>Automated</x:v>
      </x:c>
      <x:c r="H120" s="42" t="str">
        <x:v>All agentic and high-risk deployments; baseline AI deployments covered under IR-02.2. Organizations with a SaaS-dominant footprint document the provider-telemetry boundary (what the provider exposes vs. what is org-controlled) and demonstrate forensic completeness for the org-con… [truncated]</x:v>
      </x:c>
      <x:c r="I120" s="42" t="str">
        <x:v>SEF-06 (Event Triage Processes), SEF-09 (Incident Response)</x:v>
      </x:c>
      <x:c r="J120" s="42" t="str">
        <x:v>MANAGE 4</x:v>
      </x:c>
      <x:c r="K120" s="42" t="str">
        <x:v>MANAGE 4: Parent AI RMF category/function referenced; use associated subcategory rows for testable control language.</x:v>
      </x:c>
      <x:c r="L120" s="42" t="str">
        <x:v>Direct from AISMM external reference</x:v>
      </x:c>
      <x:c r="M120" s="42" t="str">
        <x:v>Annex A.6; Annex A.9</x:v>
      </x:c>
      <x:c r="N120" s="42" t="str">
        <x:v>Annex A.6 – AI system life cycle: Define responsible development objectives, specify verification and validation, maintain technical documentation, and record/maintain event logs during system use. Annex A.9 – Use of AI systems: Define responsible AI use processes, ethical/appropriate-use objectives, intended-purpose usage boundaries, and monitoring/remediation for misuse or unintended consequences.</x:v>
      </x:c>
      <x:c r="O120" s="42" t="str">
        <x:v>Derived by control theme/domain</x:v>
      </x:c>
      <x:c r="P120" s="42" t="str">
        <x:v>Define log schema, retention, access controls, alerting, and incident triage integration. Extend enterprise IR with AI-specific scenarios such as prompt injection, data exfiltration, model abuse, and agent/tool misuse.</x:v>
      </x:c>
      <x:c r="Q120" s="42" t="str">
        <x:v>NIST SP 800-86, OWASP Agentic AI Threats, NIST AI RMF MANAGE-4</x:v>
      </x:c>
      <x:c r="R120" s="42" t="str">
        <x:v>AI incident response plan; AI incident taxonomy; escalation matrix; tabletop exercises; incident tickets; post-incident reviews; regulatory/customer notification procedures; lessons-learned actions.</x:v>
      </x:c>
      <x:c r="S120" s="42" t="str">
        <x:v>Inspect AI-specific IR procedures; sample incident/tabletop records; verify triage, escalation, notification, root-cause analysis, and corrective action closure.</x:v>
      </x:c>
      <x:c r="T120" s="42" t="str">
        <x:v>Yes</x:v>
      </x:c>
      <x:c r="U120" s="42" t="str"/>
      <x:c r="V120" s="42" t="str"/>
      <x:c r="W120" s="42" t="str">
        <x:v>Not Assessed</x:v>
      </x:c>
      <x:c r="X120" s="44" t="n">
        <x:v>0</x:v>
      </x:c>
      <x:c r="Y120" s="44" t="n">
        <x:v>5</x:v>
      </x:c>
      <x:c r="Z120" s="42" t="str">
        <x:v>Not Provided</x:v>
      </x:c>
      <x:c r="AA120" s="42" t="str"/>
      <x:c r="AB120" s="42" t="str">
        <x:v>Not Tested</x:v>
      </x:c>
      <x:c r="AC120" s="46" t="str"/>
      <x:c r="AD120" s="42" t="str"/>
      <x:c r="AE120" s="42" t="str">
        <x:v>Not Assessed</x:v>
      </x:c>
      <x:c r="AF120" s="42" t="n">
        <x:f>IF($T120="No","",MAX(0,$Y120-$X120))</x:f>
        <x:v>5</x:v>
      </x:c>
      <x:c r="AG120" s="42" t="str">
        <x:f>IF($T120="No","Not Applicable",IF($X120&gt;=$C120,"Meets CSA Level","Gap to CSA Level"))</x:f>
        <x:v>Gap to CSA Level</x:v>
      </x:c>
      <x:c r="AH120" s="42" t="str">
        <x:f>IF($T120="No","Not Applicable",IF($J120="","Not Mapped",IF(AND(OR($W120="Implemented",$W120="Optimized"),$Z120="Validated",$AB120="Pass"),"Compliant",IF(AND(OR($W120="Partially Implemented",$W120="Implemented",$W120="Optimized"),OR($Z120="Reviewed",$Z120="Validated"),OR($AB120="Pass with Exceptions",$AB120="Pass")),"Partially Compliant","Not Compliant"))))</x:f>
        <x:v>Not Compliant</x:v>
      </x:c>
      <x:c r="AI120" s="42" t="str">
        <x:f>IF($T120="No","Not Applicable",IF($M120="","Not Mapped",IF(AND(OR($W120="Implemented",$W120="Optimized"),$Z120="Validated",$AB120="Pass"),"Compliant",IF(AND(OR($W120="Partially Implemented",$W120="Implemented",$W120="Optimized"),OR($Z120="Reviewed",$Z120="Validated"),OR($AB120="Pass with Exceptions",$AB120="Pass")),"Partially Compliant","Not Compliant"))))</x:f>
        <x:v>Not Compliant</x:v>
      </x:c>
      <x:c r="AJ120" s="42" t="str">
        <x:f>IF($T120="No","Not Applicable",IF(AND($AG120="Meets CSA Level",$AH120="Compliant",$AI120="Compliant"),"CSA AISMM; NIST AI RMF; ISO/IEC 42001",IF(AND($AG120="Meets CSA Level",$AH120="Compliant"),"CSA AISMM; NIST AI RMF",IF(AND($AG120="Meets CSA Level",$AI120="Compliant"),"CSA AISMM; ISO/IEC 42001",IF(AND($AH120="Compliant",$AI120="Compliant"),"NIST AI RMF; ISO/IEC 42001",IF($AG120="Meets CSA Level","CSA AISMM",IF($AH120="Compliant","NIST AI RMF",IF($AI120="Compliant","ISO/IEC 42001","No mapped framework fully compliant"))))))))</x:f>
        <x:v>No mapped framework fully compliant</x:v>
      </x:c>
      <x:c r="AK120" s="42" t="str"/>
      <x:c r="AL120" s="46" t="str"/>
      <x:c r="AM120" s="42" t="str"/>
      <x:c r="AN120" s="42" t="str">
        <x:v>CSA AISMM uploaded workbook; NIST AI RMF Playbook uploaded workbook; ISO/IEC 42001 checklist uploaded PDF; official CSA/NIST/ISO web sources listed on Sources sheet</x:v>
      </x:c>
    </x:row>
    <x:row r="121" ht="90" customHeight="1">
      <x:c r="A121" s="42" t="str">
        <x:v>Incident Response</x:v>
      </x:c>
      <x:c r="B121" s="42" t="str">
        <x:v>IR-05.3</x:v>
      </x:c>
      <x:c r="C121" s="42" t="n">
        <x:v>5</x:v>
      </x:c>
      <x:c r="D121" s="42" t="str">
        <x:v>IR</x:v>
      </x:c>
      <x:c r="E121" s="42" t="str">
        <x:v>ChatOps engagement and Detection-rule feedback loop</x:v>
      </x:c>
      <x:c r="F121" s="42" t="str">
        <x:v>ChatOps or workflow automation pulls the owning AI or development team into qualifying incidents within 10 minutes, and closed sev-2+ incidents produce a detection-rule, playbook, or intel change with at least 80% implemented within 30 days and reported quarterly to AI governance leadership.</x:v>
      </x:c>
      <x:c r="G121" s="42" t="str">
        <x:v>Automated</x:v>
      </x:c>
      <x:c r="H121" s="42" t="str">
        <x:v>All</x:v>
      </x:c>
      <x:c r="I121" s="42" t="str">
        <x:v>SEF-04 (Incident Response Testing), SEF-05 (Incident Response Metrics), SEF-06 (Event Triage Processes)</x:v>
      </x:c>
      <x:c r="J121" s="42" t="str">
        <x:v>MANAGE 4.1; MANAGE 4</x:v>
      </x:c>
      <x:c r="K121" s="42" t="str">
        <x:v>MANAGE 4.1: - Establish and maintain procedures to monitor AI system performance for risks and negative and positive impacts associated with trustworthiness characteristics. - Perform post-deployment TEVV tasks to evaluate AI system validity and reliability, bias and fairness, privacy, and security and resilience. - Evaluate AI system trustworthiness in conditions similar to deployment context of use, and prior to deployment. - Establish and implement red-teaming exercises at a prescribed cadence, and evaluate their efficacy. - Establish procedures for tracking dataset modifications such as data deletion or rectification requests. - Establish mechanisms for regular communication and feedback between relevant AI actors and internal or external stakeholders to capture information about system performance, trustworthiness and impact.…</x:v>
      </x:c>
      <x:c r="L121" s="42" t="str">
        <x:v>Direct from AISMM external reference</x:v>
      </x:c>
      <x:c r="M121" s="42" t="str">
        <x:v>Annex A.6; Annex A.8</x:v>
      </x:c>
      <x:c r="N121" s="42" t="str">
        <x:v>Annex A.6 – AI system life cycle: Define responsible development objectives, specify verification and validation, maintain technical documentation, and record/maintain event logs during system use. Annex A.8 – Information for interested parties: Provide necessary documentation to users and interested parties; define incident reporting/escalation, incident communication, and stakeholder information requirements.</x:v>
      </x:c>
      <x:c r="O121" s="42" t="str">
        <x:v>Derived by control theme/domain</x:v>
      </x:c>
      <x:c r="P121" s="42" t="str">
        <x:v>Extend enterprise IR with AI-specific scenarios such as prompt injection, data exfiltration, model abuse, and agent/tool misuse.</x:v>
      </x:c>
      <x:c r="Q121" s="42" t="str">
        <x:v>NIST AI RMF MANAGE-4.1, OWASP Top 10 for LLM Applications (2025), MITRE ATLAS</x:v>
      </x:c>
      <x:c r="R121" s="42" t="str">
        <x:v>AI incident response plan; AI incident taxonomy; escalation matrix; tabletop exercises; incident tickets; post-incident reviews; regulatory/customer notification procedures; lessons-learned actions.</x:v>
      </x:c>
      <x:c r="S121" s="42" t="str">
        <x:v>Inspect AI-specific IR procedures; sample incident/tabletop records; verify triage, escalation, notification, root-cause analysis, and corrective action closure.</x:v>
      </x:c>
      <x:c r="T121" s="42" t="str">
        <x:v>Yes</x:v>
      </x:c>
      <x:c r="U121" s="42" t="str"/>
      <x:c r="V121" s="42" t="str"/>
      <x:c r="W121" s="42" t="str">
        <x:v>Not Assessed</x:v>
      </x:c>
      <x:c r="X121" s="44" t="n">
        <x:v>0</x:v>
      </x:c>
      <x:c r="Y121" s="44" t="n">
        <x:v>5</x:v>
      </x:c>
      <x:c r="Z121" s="42" t="str">
        <x:v>Not Provided</x:v>
      </x:c>
      <x:c r="AA121" s="42" t="str"/>
      <x:c r="AB121" s="42" t="str">
        <x:v>Not Tested</x:v>
      </x:c>
      <x:c r="AC121" s="46" t="str"/>
      <x:c r="AD121" s="42" t="str"/>
      <x:c r="AE121" s="42" t="str">
        <x:v>Not Assessed</x:v>
      </x:c>
      <x:c r="AF121" s="42" t="n">
        <x:f>IF($T121="No","",MAX(0,$Y121-$X121))</x:f>
        <x:v>5</x:v>
      </x:c>
      <x:c r="AG121" s="42" t="str">
        <x:f>IF($T121="No","Not Applicable",IF($X121&gt;=$C121,"Meets CSA Level","Gap to CSA Level"))</x:f>
        <x:v>Gap to CSA Level</x:v>
      </x:c>
      <x:c r="AH121" s="42" t="str">
        <x:f>IF($T121="No","Not Applicable",IF($J121="","Not Mapped",IF(AND(OR($W121="Implemented",$W121="Optimized"),$Z121="Validated",$AB121="Pass"),"Compliant",IF(AND(OR($W121="Partially Implemented",$W121="Implemented",$W121="Optimized"),OR($Z121="Reviewed",$Z121="Validated"),OR($AB121="Pass with Exceptions",$AB121="Pass")),"Partially Compliant","Not Compliant"))))</x:f>
        <x:v>Not Compliant</x:v>
      </x:c>
      <x:c r="AI121" s="42" t="str">
        <x:f>IF($T121="No","Not Applicable",IF($M121="","Not Mapped",IF(AND(OR($W121="Implemented",$W121="Optimized"),$Z121="Validated",$AB121="Pass"),"Compliant",IF(AND(OR($W121="Partially Implemented",$W121="Implemented",$W121="Optimized"),OR($Z121="Reviewed",$Z121="Validated"),OR($AB121="Pass with Exceptions",$AB121="Pass")),"Partially Compliant","Not Compliant"))))</x:f>
        <x:v>Not Compliant</x:v>
      </x:c>
      <x:c r="AJ121" s="42" t="str">
        <x:f>IF($T121="No","Not Applicable",IF(AND($AG121="Meets CSA Level",$AH121="Compliant",$AI121="Compliant"),"CSA AISMM; NIST AI RMF; ISO/IEC 42001",IF(AND($AG121="Meets CSA Level",$AH121="Compliant"),"CSA AISMM; NIST AI RMF",IF(AND($AG121="Meets CSA Level",$AI121="Compliant"),"CSA AISMM; ISO/IEC 42001",IF(AND($AH121="Compliant",$AI121="Compliant"),"NIST AI RMF; ISO/IEC 42001",IF($AG121="Meets CSA Level","CSA AISMM",IF($AH121="Compliant","NIST AI RMF",IF($AI121="Compliant","ISO/IEC 42001","No mapped framework fully compliant"))))))))</x:f>
        <x:v>No mapped framework fully compliant</x:v>
      </x:c>
      <x:c r="AK121" s="42" t="str"/>
      <x:c r="AL121" s="46" t="str"/>
      <x:c r="AM121" s="42" t="str"/>
      <x:c r="AN121" s="42" t="str">
        <x:v>CSA AISMM uploaded workbook; NIST AI RMF Playbook uploaded workbook; ISO/IEC 42001 checklist uploaded PDF; official CSA/NIST/ISO web sources listed on Sources sheet</x:v>
      </x:c>
    </x:row>
    <x:row r="122">
      <x:c r="A122" s="59"/>
      <x:c r="B122" s="59"/>
      <x:c r="C122" s="59"/>
      <x:c r="D122" s="59"/>
      <x:c r="E122" s="59"/>
      <x:c r="F122" s="59"/>
      <x:c r="G122" s="59"/>
      <x:c r="H122" s="59"/>
      <x:c r="I122" s="59"/>
      <x:c r="J122" s="59"/>
      <x:c r="K122" s="59"/>
      <x:c r="L122" s="59"/>
      <x:c r="M122" s="59"/>
      <x:c r="N122" s="59"/>
      <x:c r="O122" s="59"/>
      <x:c r="P122" s="59"/>
      <x:c r="Q122" s="59"/>
      <x:c r="R122" s="59"/>
      <x:c r="S122" s="59"/>
      <x:c r="T122" s="59"/>
      <x:c r="U122" s="59"/>
      <x:c r="V122" s="59"/>
      <x:c r="W122" s="59"/>
      <x:c r="X122" s="59"/>
      <x:c r="Y122" s="59"/>
      <x:c r="Z122" s="59"/>
      <x:c r="AA122" s="59"/>
      <x:c r="AB122" s="59"/>
      <x:c r="AC122" s="59"/>
      <x:c r="AD122" s="59"/>
      <x:c r="AE122" s="59"/>
      <x:c r="AF122" s="59"/>
      <x:c r="AG122" s="59"/>
      <x:c r="AH122" s="59"/>
      <x:c r="AI122" s="59"/>
      <x:c r="AJ122" s="59"/>
      <x:c r="AK122" s="59"/>
      <x:c r="AL122" s="59"/>
      <x:c r="AM122" s="59"/>
      <x:c r="AN122" s="59"/>
    </x:row>
    <x:row r="123">
      <x:c r="A123" s="59"/>
      <x:c r="B123" s="59"/>
      <x:c r="C123" s="59"/>
      <x:c r="D123" s="59"/>
      <x:c r="E123" s="59"/>
      <x:c r="F123" s="59"/>
      <x:c r="G123" s="59"/>
      <x:c r="H123" s="59"/>
      <x:c r="I123" s="59"/>
      <x:c r="J123" s="59"/>
      <x:c r="K123" s="59"/>
      <x:c r="L123" s="59"/>
      <x:c r="M123" s="59"/>
      <x:c r="N123" s="59"/>
      <x:c r="O123" s="59"/>
      <x:c r="P123" s="59"/>
      <x:c r="Q123" s="59"/>
      <x:c r="R123" s="59"/>
      <x:c r="S123" s="59"/>
      <x:c r="T123" s="59"/>
      <x:c r="U123" s="59"/>
      <x:c r="V123" s="59"/>
      <x:c r="W123" s="59"/>
      <x:c r="X123" s="59"/>
      <x:c r="Y123" s="59"/>
      <x:c r="Z123" s="59"/>
      <x:c r="AA123" s="59"/>
      <x:c r="AB123" s="59"/>
      <x:c r="AC123" s="59"/>
      <x:c r="AD123" s="59"/>
      <x:c r="AE123" s="59"/>
      <x:c r="AF123" s="59"/>
      <x:c r="AG123" s="59"/>
      <x:c r="AH123" s="59"/>
      <x:c r="AI123" s="59"/>
      <x:c r="AJ123" s="59"/>
      <x:c r="AK123" s="59"/>
      <x:c r="AL123" s="59"/>
      <x:c r="AM123" s="59"/>
      <x:c r="AN123" s="59"/>
    </x:row>
    <x:row r="124">
      <x:c r="A124" s="59"/>
      <x:c r="B124" s="59"/>
      <x:c r="C124" s="59"/>
      <x:c r="D124" s="59"/>
      <x:c r="E124" s="59"/>
      <x:c r="F124" s="59"/>
      <x:c r="G124" s="59"/>
      <x:c r="H124" s="59"/>
      <x:c r="I124" s="59"/>
      <x:c r="J124" s="59"/>
      <x:c r="K124" s="59"/>
      <x:c r="L124" s="59"/>
      <x:c r="M124" s="59"/>
      <x:c r="N124" s="59"/>
      <x:c r="O124" s="59"/>
      <x:c r="P124" s="59"/>
      <x:c r="Q124" s="59"/>
      <x:c r="R124" s="59"/>
      <x:c r="S124" s="59"/>
      <x:c r="T124" s="59"/>
      <x:c r="U124" s="59"/>
      <x:c r="V124" s="59"/>
      <x:c r="W124" s="59"/>
      <x:c r="X124" s="59"/>
      <x:c r="Y124" s="59"/>
      <x:c r="Z124" s="59"/>
      <x:c r="AA124" s="59"/>
      <x:c r="AB124" s="59"/>
      <x:c r="AC124" s="59"/>
      <x:c r="AD124" s="59"/>
      <x:c r="AE124" s="59"/>
      <x:c r="AF124" s="59"/>
      <x:c r="AG124" s="59"/>
      <x:c r="AH124" s="59"/>
      <x:c r="AI124" s="59"/>
      <x:c r="AJ124" s="59"/>
      <x:c r="AK124" s="59"/>
      <x:c r="AL124" s="59"/>
      <x:c r="AM124" s="59"/>
      <x:c r="AN124" s="59"/>
    </x:row>
    <x:row r="125">
      <x:c r="A125" s="59"/>
      <x:c r="B125" s="59"/>
      <x:c r="C125" s="59"/>
      <x:c r="D125" s="59"/>
      <x:c r="E125" s="59"/>
      <x:c r="F125" s="59"/>
      <x:c r="G125" s="59"/>
      <x:c r="H125" s="59"/>
      <x:c r="I125" s="59"/>
      <x:c r="J125" s="59"/>
      <x:c r="K125" s="59"/>
      <x:c r="L125" s="59"/>
      <x:c r="M125" s="59"/>
      <x:c r="N125" s="59"/>
      <x:c r="O125" s="59"/>
      <x:c r="P125" s="59"/>
      <x:c r="Q125" s="59"/>
      <x:c r="R125" s="59"/>
      <x:c r="S125" s="59"/>
      <x:c r="T125" s="59"/>
      <x:c r="U125" s="59"/>
      <x:c r="V125" s="59"/>
      <x:c r="W125" s="59"/>
      <x:c r="X125" s="59"/>
      <x:c r="Y125" s="59"/>
      <x:c r="Z125" s="59"/>
      <x:c r="AA125" s="59"/>
      <x:c r="AB125" s="59"/>
      <x:c r="AC125" s="59"/>
      <x:c r="AD125" s="59"/>
      <x:c r="AE125" s="59"/>
      <x:c r="AF125" s="59"/>
      <x:c r="AG125" s="59"/>
      <x:c r="AH125" s="59"/>
      <x:c r="AI125" s="59"/>
      <x:c r="AJ125" s="59"/>
      <x:c r="AK125" s="59"/>
      <x:c r="AL125" s="59"/>
      <x:c r="AM125" s="59"/>
      <x:c r="AN125" s="59"/>
    </x:row>
    <x:row r="126">
      <x:c r="A126" s="59"/>
      <x:c r="B126" s="59"/>
      <x:c r="C126" s="59"/>
      <x:c r="D126" s="59"/>
      <x:c r="E126" s="59"/>
      <x:c r="F126" s="59"/>
      <x:c r="G126" s="59"/>
      <x:c r="H126" s="59"/>
      <x:c r="I126" s="59"/>
      <x:c r="J126" s="59"/>
      <x:c r="K126" s="59"/>
      <x:c r="L126" s="59"/>
      <x:c r="M126" s="59"/>
      <x:c r="N126" s="59"/>
      <x:c r="O126" s="59"/>
      <x:c r="P126" s="59"/>
      <x:c r="Q126" s="59"/>
      <x:c r="R126" s="59"/>
      <x:c r="S126" s="59"/>
      <x:c r="T126" s="59"/>
      <x:c r="U126" s="59"/>
      <x:c r="V126" s="59"/>
      <x:c r="W126" s="59"/>
      <x:c r="X126" s="59"/>
      <x:c r="Y126" s="59"/>
      <x:c r="Z126" s="59"/>
      <x:c r="AA126" s="59"/>
      <x:c r="AB126" s="59"/>
      <x:c r="AC126" s="59"/>
      <x:c r="AD126" s="59"/>
      <x:c r="AE126" s="59"/>
      <x:c r="AF126" s="59"/>
      <x:c r="AG126" s="59"/>
      <x:c r="AH126" s="59"/>
      <x:c r="AI126" s="59"/>
      <x:c r="AJ126" s="59"/>
      <x:c r="AK126" s="59"/>
      <x:c r="AL126" s="59"/>
      <x:c r="AM126" s="59"/>
      <x:c r="AN126" s="59"/>
    </x:row>
    <x:row r="127">
      <x:c r="A127" s="59"/>
      <x:c r="B127" s="59"/>
      <x:c r="C127" s="59"/>
      <x:c r="D127" s="59"/>
      <x:c r="E127" s="59"/>
      <x:c r="F127" s="59"/>
      <x:c r="G127" s="59"/>
      <x:c r="H127" s="59"/>
      <x:c r="I127" s="59"/>
      <x:c r="J127" s="59"/>
      <x:c r="K127" s="59"/>
      <x:c r="L127" s="59"/>
      <x:c r="M127" s="59"/>
      <x:c r="N127" s="59"/>
      <x:c r="O127" s="59"/>
      <x:c r="P127" s="59"/>
      <x:c r="Q127" s="59"/>
      <x:c r="R127" s="59"/>
      <x:c r="S127" s="59"/>
      <x:c r="T127" s="59"/>
      <x:c r="U127" s="59"/>
      <x:c r="V127" s="59"/>
      <x:c r="W127" s="59"/>
      <x:c r="X127" s="59"/>
      <x:c r="Y127" s="59"/>
      <x:c r="Z127" s="59"/>
      <x:c r="AA127" s="59"/>
      <x:c r="AB127" s="59"/>
      <x:c r="AC127" s="59"/>
      <x:c r="AD127" s="59"/>
      <x:c r="AE127" s="59"/>
      <x:c r="AF127" s="59"/>
      <x:c r="AG127" s="59"/>
      <x:c r="AH127" s="59"/>
      <x:c r="AI127" s="59"/>
      <x:c r="AJ127" s="59"/>
      <x:c r="AK127" s="59"/>
      <x:c r="AL127" s="59"/>
      <x:c r="AM127" s="59"/>
      <x:c r="AN127" s="59"/>
    </x:row>
    <x:row r="128">
      <x:c r="A128" s="59"/>
      <x:c r="B128" s="59"/>
      <x:c r="C128" s="59"/>
      <x:c r="D128" s="59"/>
      <x:c r="E128" s="59"/>
      <x:c r="F128" s="59"/>
      <x:c r="G128" s="59"/>
      <x:c r="H128" s="59"/>
      <x:c r="I128" s="59"/>
      <x:c r="J128" s="59"/>
      <x:c r="K128" s="59"/>
      <x:c r="L128" s="59"/>
      <x:c r="M128" s="59"/>
      <x:c r="N128" s="59"/>
      <x:c r="O128" s="59"/>
      <x:c r="P128" s="59"/>
      <x:c r="Q128" s="59"/>
      <x:c r="R128" s="59"/>
      <x:c r="S128" s="59"/>
      <x:c r="T128" s="59"/>
      <x:c r="U128" s="59"/>
      <x:c r="V128" s="59"/>
      <x:c r="W128" s="59"/>
      <x:c r="X128" s="59"/>
      <x:c r="Y128" s="59"/>
      <x:c r="Z128" s="59"/>
      <x:c r="AA128" s="59"/>
      <x:c r="AB128" s="59"/>
      <x:c r="AC128" s="59"/>
      <x:c r="AD128" s="59"/>
      <x:c r="AE128" s="59"/>
      <x:c r="AF128" s="59"/>
      <x:c r="AG128" s="59"/>
      <x:c r="AH128" s="59"/>
      <x:c r="AI128" s="59"/>
      <x:c r="AJ128" s="59"/>
      <x:c r="AK128" s="59"/>
      <x:c r="AL128" s="59"/>
      <x:c r="AM128" s="59"/>
      <x:c r="AN128" s="59"/>
    </x:row>
    <x:row r="129">
      <x:c r="A129" s="59"/>
      <x:c r="B129" s="59"/>
      <x:c r="C129" s="59"/>
      <x:c r="D129" s="59"/>
      <x:c r="E129" s="59"/>
      <x:c r="F129" s="59"/>
      <x:c r="G129" s="59"/>
      <x:c r="H129" s="59"/>
      <x:c r="I129" s="59"/>
      <x:c r="J129" s="59"/>
      <x:c r="K129" s="59"/>
      <x:c r="L129" s="59"/>
      <x:c r="M129" s="59"/>
      <x:c r="N129" s="59"/>
      <x:c r="O129" s="59"/>
      <x:c r="P129" s="59"/>
      <x:c r="Q129" s="59"/>
      <x:c r="R129" s="59"/>
      <x:c r="S129" s="59"/>
      <x:c r="T129" s="59"/>
      <x:c r="U129" s="59"/>
      <x:c r="V129" s="59"/>
      <x:c r="W129" s="59"/>
      <x:c r="X129" s="59"/>
      <x:c r="Y129" s="59"/>
      <x:c r="Z129" s="59"/>
      <x:c r="AA129" s="59"/>
      <x:c r="AB129" s="59"/>
      <x:c r="AC129" s="59"/>
      <x:c r="AD129" s="59"/>
      <x:c r="AE129" s="59"/>
      <x:c r="AF129" s="59"/>
      <x:c r="AG129" s="59"/>
      <x:c r="AH129" s="59"/>
      <x:c r="AI129" s="59"/>
      <x:c r="AJ129" s="59"/>
      <x:c r="AK129" s="59"/>
      <x:c r="AL129" s="59"/>
      <x:c r="AM129" s="59"/>
      <x:c r="AN129" s="59"/>
    </x:row>
    <x:row r="130">
      <x:c r="A130" s="59"/>
      <x:c r="B130" s="59"/>
      <x:c r="C130" s="59"/>
      <x:c r="D130" s="59"/>
      <x:c r="E130" s="59"/>
      <x:c r="F130" s="59"/>
      <x:c r="G130" s="59"/>
      <x:c r="H130" s="59"/>
      <x:c r="I130" s="59"/>
      <x:c r="J130" s="59"/>
      <x:c r="K130" s="59"/>
      <x:c r="L130" s="59"/>
      <x:c r="M130" s="59"/>
      <x:c r="N130" s="59"/>
      <x:c r="O130" s="59"/>
      <x:c r="P130" s="59"/>
      <x:c r="Q130" s="59"/>
      <x:c r="R130" s="59"/>
      <x:c r="S130" s="59"/>
      <x:c r="T130" s="59"/>
      <x:c r="U130" s="59"/>
      <x:c r="V130" s="59"/>
      <x:c r="W130" s="59"/>
      <x:c r="X130" s="59"/>
      <x:c r="Y130" s="59"/>
      <x:c r="Z130" s="59"/>
      <x:c r="AA130" s="59"/>
      <x:c r="AB130" s="59"/>
      <x:c r="AC130" s="59"/>
      <x:c r="AD130" s="59"/>
      <x:c r="AE130" s="59"/>
      <x:c r="AF130" s="59"/>
      <x:c r="AG130" s="59"/>
      <x:c r="AH130" s="59"/>
      <x:c r="AI130" s="59"/>
      <x:c r="AJ130" s="59"/>
      <x:c r="AK130" s="59"/>
      <x:c r="AL130" s="59"/>
      <x:c r="AM130" s="59"/>
      <x:c r="AN130" s="59"/>
    </x:row>
    <x:row r="131">
      <x:c r="A131" s="59"/>
      <x:c r="B131" s="59"/>
      <x:c r="C131" s="59"/>
      <x:c r="D131" s="59"/>
      <x:c r="E131" s="59"/>
      <x:c r="F131" s="59"/>
      <x:c r="G131" s="59"/>
      <x:c r="H131" s="59"/>
      <x:c r="I131" s="59"/>
      <x:c r="J131" s="59"/>
      <x:c r="K131" s="59"/>
      <x:c r="L131" s="59"/>
      <x:c r="M131" s="59"/>
      <x:c r="N131" s="59"/>
      <x:c r="O131" s="59"/>
      <x:c r="P131" s="59"/>
      <x:c r="Q131" s="59"/>
      <x:c r="R131" s="59"/>
      <x:c r="S131" s="59"/>
      <x:c r="T131" s="59"/>
      <x:c r="U131" s="59"/>
      <x:c r="V131" s="59"/>
      <x:c r="W131" s="59"/>
      <x:c r="X131" s="59"/>
      <x:c r="Y131" s="59"/>
      <x:c r="Z131" s="59"/>
      <x:c r="AA131" s="59"/>
      <x:c r="AB131" s="59"/>
      <x:c r="AC131" s="59"/>
      <x:c r="AD131" s="59"/>
      <x:c r="AE131" s="59"/>
      <x:c r="AF131" s="59"/>
      <x:c r="AG131" s="59"/>
      <x:c r="AH131" s="59"/>
      <x:c r="AI131" s="59"/>
      <x:c r="AJ131" s="59"/>
      <x:c r="AK131" s="59"/>
      <x:c r="AL131" s="59"/>
      <x:c r="AM131" s="59"/>
      <x:c r="AN131" s="59"/>
    </x:row>
    <x:row r="132">
      <x:c r="A132" s="59"/>
      <x:c r="B132" s="59"/>
      <x:c r="C132" s="59"/>
      <x:c r="D132" s="59"/>
      <x:c r="E132" s="59"/>
      <x:c r="F132" s="59"/>
      <x:c r="G132" s="59"/>
      <x:c r="H132" s="59"/>
      <x:c r="I132" s="59"/>
      <x:c r="J132" s="59"/>
      <x:c r="K132" s="59"/>
      <x:c r="L132" s="59"/>
      <x:c r="M132" s="59"/>
      <x:c r="N132" s="59"/>
      <x:c r="O132" s="59"/>
      <x:c r="P132" s="59"/>
      <x:c r="Q132" s="59"/>
      <x:c r="R132" s="59"/>
      <x:c r="S132" s="59"/>
      <x:c r="T132" s="59"/>
      <x:c r="U132" s="59"/>
      <x:c r="V132" s="59"/>
      <x:c r="W132" s="59"/>
      <x:c r="X132" s="59"/>
      <x:c r="Y132" s="59"/>
      <x:c r="Z132" s="59"/>
      <x:c r="AA132" s="59"/>
      <x:c r="AB132" s="59"/>
      <x:c r="AC132" s="59"/>
      <x:c r="AD132" s="59"/>
      <x:c r="AE132" s="59"/>
      <x:c r="AF132" s="59"/>
      <x:c r="AG132" s="59"/>
      <x:c r="AH132" s="59"/>
      <x:c r="AI132" s="59"/>
      <x:c r="AJ132" s="59"/>
      <x:c r="AK132" s="59"/>
      <x:c r="AL132" s="59"/>
      <x:c r="AM132" s="59"/>
      <x:c r="AN132" s="59"/>
    </x:row>
    <x:row r="133">
      <x:c r="A133" s="59"/>
      <x:c r="B133" s="59"/>
      <x:c r="C133" s="59"/>
      <x:c r="D133" s="59"/>
      <x:c r="E133" s="59"/>
      <x:c r="F133" s="59"/>
      <x:c r="G133" s="59"/>
      <x:c r="H133" s="59"/>
      <x:c r="I133" s="59"/>
      <x:c r="J133" s="59"/>
      <x:c r="K133" s="59"/>
      <x:c r="L133" s="59"/>
      <x:c r="M133" s="59"/>
      <x:c r="N133" s="59"/>
      <x:c r="O133" s="59"/>
      <x:c r="P133" s="59"/>
      <x:c r="Q133" s="59"/>
      <x:c r="R133" s="59"/>
      <x:c r="S133" s="59"/>
      <x:c r="T133" s="59"/>
      <x:c r="U133" s="59"/>
      <x:c r="V133" s="59"/>
      <x:c r="W133" s="59"/>
      <x:c r="X133" s="59"/>
      <x:c r="Y133" s="59"/>
      <x:c r="Z133" s="59"/>
      <x:c r="AA133" s="59"/>
      <x:c r="AB133" s="59"/>
      <x:c r="AC133" s="59"/>
      <x:c r="AD133" s="59"/>
      <x:c r="AE133" s="59"/>
      <x:c r="AF133" s="59"/>
      <x:c r="AG133" s="59"/>
      <x:c r="AH133" s="59"/>
      <x:c r="AI133" s="59"/>
      <x:c r="AJ133" s="59"/>
      <x:c r="AK133" s="59"/>
      <x:c r="AL133" s="59"/>
      <x:c r="AM133" s="59"/>
      <x:c r="AN133" s="59"/>
    </x:row>
    <x:row r="134">
      <x:c r="A134" s="59"/>
      <x:c r="B134" s="59"/>
      <x:c r="C134" s="59"/>
      <x:c r="D134" s="59"/>
      <x:c r="E134" s="59"/>
      <x:c r="F134" s="59"/>
      <x:c r="G134" s="59"/>
      <x:c r="H134" s="59"/>
      <x:c r="I134" s="59"/>
      <x:c r="J134" s="59"/>
      <x:c r="K134" s="59"/>
      <x:c r="L134" s="59"/>
      <x:c r="M134" s="59"/>
      <x:c r="N134" s="59"/>
      <x:c r="O134" s="59"/>
      <x:c r="P134" s="59"/>
      <x:c r="Q134" s="59"/>
      <x:c r="R134" s="59"/>
      <x:c r="S134" s="59"/>
      <x:c r="T134" s="59"/>
      <x:c r="U134" s="59"/>
      <x:c r="V134" s="59"/>
      <x:c r="W134" s="59"/>
      <x:c r="X134" s="59"/>
      <x:c r="Y134" s="59"/>
      <x:c r="Z134" s="59"/>
      <x:c r="AA134" s="59"/>
      <x:c r="AB134" s="59"/>
      <x:c r="AC134" s="59"/>
      <x:c r="AD134" s="59"/>
      <x:c r="AE134" s="59"/>
      <x:c r="AF134" s="59"/>
      <x:c r="AG134" s="59"/>
      <x:c r="AH134" s="59"/>
      <x:c r="AI134" s="59"/>
      <x:c r="AJ134" s="59"/>
      <x:c r="AK134" s="59"/>
      <x:c r="AL134" s="59"/>
      <x:c r="AM134" s="59"/>
      <x:c r="AN134" s="59"/>
    </x:row>
    <x:row r="135">
      <x:c r="A135" s="59"/>
      <x:c r="B135" s="59"/>
      <x:c r="C135" s="59"/>
      <x:c r="D135" s="59"/>
      <x:c r="E135" s="59"/>
      <x:c r="F135" s="59"/>
      <x:c r="G135" s="59"/>
      <x:c r="H135" s="59"/>
      <x:c r="I135" s="59"/>
      <x:c r="J135" s="59"/>
      <x:c r="K135" s="59"/>
      <x:c r="L135" s="59"/>
      <x:c r="M135" s="59"/>
      <x:c r="N135" s="59"/>
      <x:c r="O135" s="59"/>
      <x:c r="P135" s="59"/>
      <x:c r="Q135" s="59"/>
      <x:c r="R135" s="59"/>
      <x:c r="S135" s="59"/>
      <x:c r="T135" s="59"/>
      <x:c r="U135" s="59"/>
      <x:c r="V135" s="59"/>
      <x:c r="W135" s="59"/>
      <x:c r="X135" s="59"/>
      <x:c r="Y135" s="59"/>
      <x:c r="Z135" s="59"/>
      <x:c r="AA135" s="59"/>
      <x:c r="AB135" s="59"/>
      <x:c r="AC135" s="59"/>
      <x:c r="AD135" s="59"/>
      <x:c r="AE135" s="59"/>
      <x:c r="AF135" s="59"/>
      <x:c r="AG135" s="59"/>
      <x:c r="AH135" s="59"/>
      <x:c r="AI135" s="59"/>
      <x:c r="AJ135" s="59"/>
      <x:c r="AK135" s="59"/>
      <x:c r="AL135" s="59"/>
      <x:c r="AM135" s="59"/>
      <x:c r="AN135" s="59"/>
    </x:row>
    <x:row r="136">
      <x:c r="A136" s="59"/>
      <x:c r="B136" s="59"/>
      <x:c r="C136" s="59"/>
      <x:c r="D136" s="59"/>
      <x:c r="E136" s="59"/>
      <x:c r="F136" s="59"/>
      <x:c r="G136" s="59"/>
      <x:c r="H136" s="59"/>
      <x:c r="I136" s="59"/>
      <x:c r="J136" s="59"/>
      <x:c r="K136" s="59"/>
      <x:c r="L136" s="59"/>
      <x:c r="M136" s="59"/>
      <x:c r="N136" s="59"/>
      <x:c r="O136" s="59"/>
      <x:c r="P136" s="59"/>
      <x:c r="Q136" s="59"/>
      <x:c r="R136" s="59"/>
      <x:c r="S136" s="59"/>
      <x:c r="T136" s="59"/>
      <x:c r="U136" s="59"/>
      <x:c r="V136" s="59"/>
      <x:c r="W136" s="59"/>
      <x:c r="X136" s="59"/>
      <x:c r="Y136" s="59"/>
      <x:c r="Z136" s="59"/>
      <x:c r="AA136" s="59"/>
      <x:c r="AB136" s="59"/>
      <x:c r="AC136" s="59"/>
      <x:c r="AD136" s="59"/>
      <x:c r="AE136" s="59"/>
      <x:c r="AF136" s="59"/>
      <x:c r="AG136" s="59"/>
      <x:c r="AH136" s="59"/>
      <x:c r="AI136" s="59"/>
      <x:c r="AJ136" s="59"/>
      <x:c r="AK136" s="59"/>
      <x:c r="AL136" s="59"/>
      <x:c r="AM136" s="59"/>
      <x:c r="AN136" s="59"/>
    </x:row>
    <x:row r="137">
      <x:c r="A137" s="59"/>
      <x:c r="B137" s="59"/>
      <x:c r="C137" s="59"/>
      <x:c r="D137" s="59"/>
      <x:c r="E137" s="59"/>
      <x:c r="F137" s="59"/>
      <x:c r="G137" s="59"/>
      <x:c r="H137" s="59"/>
      <x:c r="I137" s="59"/>
      <x:c r="J137" s="59"/>
      <x:c r="K137" s="59"/>
      <x:c r="L137" s="59"/>
      <x:c r="M137" s="59"/>
      <x:c r="N137" s="59"/>
      <x:c r="O137" s="59"/>
      <x:c r="P137" s="59"/>
      <x:c r="Q137" s="59"/>
      <x:c r="R137" s="59"/>
      <x:c r="S137" s="59"/>
      <x:c r="T137" s="59"/>
      <x:c r="U137" s="59"/>
      <x:c r="V137" s="59"/>
      <x:c r="W137" s="59"/>
      <x:c r="X137" s="59"/>
      <x:c r="Y137" s="59"/>
      <x:c r="Z137" s="59"/>
      <x:c r="AA137" s="59"/>
      <x:c r="AB137" s="59"/>
      <x:c r="AC137" s="59"/>
      <x:c r="AD137" s="59"/>
      <x:c r="AE137" s="59"/>
      <x:c r="AF137" s="59"/>
      <x:c r="AG137" s="59"/>
      <x:c r="AH137" s="59"/>
      <x:c r="AI137" s="59"/>
      <x:c r="AJ137" s="59"/>
      <x:c r="AK137" s="59"/>
      <x:c r="AL137" s="59"/>
      <x:c r="AM137" s="59"/>
      <x:c r="AN137" s="59"/>
    </x:row>
    <x:row r="138">
      <x:c r="A138" s="59"/>
      <x:c r="B138" s="59"/>
      <x:c r="C138" s="59"/>
      <x:c r="D138" s="59"/>
      <x:c r="E138" s="59"/>
      <x:c r="F138" s="59"/>
      <x:c r="G138" s="59"/>
      <x:c r="H138" s="59"/>
      <x:c r="I138" s="59"/>
      <x:c r="J138" s="59"/>
      <x:c r="K138" s="59"/>
      <x:c r="L138" s="59"/>
      <x:c r="M138" s="59"/>
      <x:c r="N138" s="59"/>
      <x:c r="O138" s="59"/>
      <x:c r="P138" s="59"/>
      <x:c r="Q138" s="59"/>
      <x:c r="R138" s="59"/>
      <x:c r="S138" s="59"/>
      <x:c r="T138" s="59"/>
      <x:c r="U138" s="59"/>
      <x:c r="V138" s="59"/>
      <x:c r="W138" s="59"/>
      <x:c r="X138" s="59"/>
      <x:c r="Y138" s="59"/>
      <x:c r="Z138" s="59"/>
      <x:c r="AA138" s="59"/>
      <x:c r="AB138" s="59"/>
      <x:c r="AC138" s="59"/>
      <x:c r="AD138" s="59"/>
      <x:c r="AE138" s="59"/>
      <x:c r="AF138" s="59"/>
      <x:c r="AG138" s="59"/>
      <x:c r="AH138" s="59"/>
      <x:c r="AI138" s="59"/>
      <x:c r="AJ138" s="59"/>
      <x:c r="AK138" s="59"/>
      <x:c r="AL138" s="59"/>
      <x:c r="AM138" s="59"/>
      <x:c r="AN138" s="59"/>
    </x:row>
    <x:row r="139">
      <x:c r="A139" s="59"/>
      <x:c r="B139" s="59"/>
      <x:c r="C139" s="59"/>
      <x:c r="D139" s="59"/>
      <x:c r="E139" s="59"/>
      <x:c r="F139" s="59"/>
      <x:c r="G139" s="59"/>
      <x:c r="H139" s="59"/>
      <x:c r="I139" s="59"/>
      <x:c r="J139" s="59"/>
      <x:c r="K139" s="59"/>
      <x:c r="L139" s="59"/>
      <x:c r="M139" s="59"/>
      <x:c r="N139" s="59"/>
      <x:c r="O139" s="59"/>
      <x:c r="P139" s="59"/>
      <x:c r="Q139" s="59"/>
      <x:c r="R139" s="59"/>
      <x:c r="S139" s="59"/>
      <x:c r="T139" s="59"/>
      <x:c r="U139" s="59"/>
      <x:c r="V139" s="59"/>
      <x:c r="W139" s="59"/>
      <x:c r="X139" s="59"/>
      <x:c r="Y139" s="59"/>
      <x:c r="Z139" s="59"/>
      <x:c r="AA139" s="59"/>
      <x:c r="AB139" s="59"/>
      <x:c r="AC139" s="59"/>
      <x:c r="AD139" s="59"/>
      <x:c r="AE139" s="59"/>
      <x:c r="AF139" s="59"/>
      <x:c r="AG139" s="59"/>
      <x:c r="AH139" s="59"/>
      <x:c r="AI139" s="59"/>
      <x:c r="AJ139" s="59"/>
      <x:c r="AK139" s="59"/>
      <x:c r="AL139" s="59"/>
      <x:c r="AM139" s="59"/>
      <x:c r="AN139" s="59"/>
    </x:row>
    <x:row r="140">
      <x:c r="A140" s="59"/>
      <x:c r="B140" s="59"/>
      <x:c r="C140" s="59"/>
      <x:c r="D140" s="59"/>
      <x:c r="E140" s="59"/>
      <x:c r="F140" s="59"/>
      <x:c r="G140" s="59"/>
      <x:c r="H140" s="59"/>
      <x:c r="I140" s="59"/>
      <x:c r="J140" s="59"/>
      <x:c r="K140" s="59"/>
      <x:c r="L140" s="59"/>
      <x:c r="M140" s="59"/>
      <x:c r="N140" s="59"/>
      <x:c r="O140" s="59"/>
      <x:c r="P140" s="59"/>
      <x:c r="Q140" s="59"/>
      <x:c r="R140" s="59"/>
      <x:c r="S140" s="59"/>
      <x:c r="T140" s="59"/>
      <x:c r="U140" s="59"/>
      <x:c r="V140" s="59"/>
      <x:c r="W140" s="59"/>
      <x:c r="X140" s="59"/>
      <x:c r="Y140" s="59"/>
      <x:c r="Z140" s="59"/>
      <x:c r="AA140" s="59"/>
      <x:c r="AB140" s="59"/>
      <x:c r="AC140" s="59"/>
      <x:c r="AD140" s="59"/>
      <x:c r="AE140" s="59"/>
      <x:c r="AF140" s="59"/>
      <x:c r="AG140" s="59"/>
      <x:c r="AH140" s="59"/>
      <x:c r="AI140" s="59"/>
      <x:c r="AJ140" s="59"/>
      <x:c r="AK140" s="59"/>
      <x:c r="AL140" s="59"/>
      <x:c r="AM140" s="59"/>
      <x:c r="AN140" s="59"/>
    </x:row>
    <x:row r="141">
      <x:c r="A141" s="59"/>
      <x:c r="B141" s="59"/>
      <x:c r="C141" s="59"/>
      <x:c r="D141" s="59"/>
      <x:c r="E141" s="59"/>
      <x:c r="F141" s="59"/>
      <x:c r="G141" s="59"/>
      <x:c r="H141" s="59"/>
      <x:c r="I141" s="59"/>
      <x:c r="J141" s="59"/>
      <x:c r="K141" s="59"/>
      <x:c r="L141" s="59"/>
      <x:c r="M141" s="59"/>
      <x:c r="N141" s="59"/>
      <x:c r="O141" s="59"/>
      <x:c r="P141" s="59"/>
      <x:c r="Q141" s="59"/>
      <x:c r="R141" s="59"/>
      <x:c r="S141" s="59"/>
      <x:c r="T141" s="59"/>
      <x:c r="U141" s="59"/>
      <x:c r="V141" s="59"/>
      <x:c r="W141" s="59"/>
      <x:c r="X141" s="59"/>
      <x:c r="Y141" s="59"/>
      <x:c r="Z141" s="59"/>
      <x:c r="AA141" s="59"/>
      <x:c r="AB141" s="59"/>
      <x:c r="AC141" s="59"/>
      <x:c r="AD141" s="59"/>
      <x:c r="AE141" s="59"/>
      <x:c r="AF141" s="59"/>
      <x:c r="AG141" s="59"/>
      <x:c r="AH141" s="59"/>
      <x:c r="AI141" s="59"/>
      <x:c r="AJ141" s="59"/>
      <x:c r="AK141" s="59"/>
      <x:c r="AL141" s="59"/>
      <x:c r="AM141" s="59"/>
      <x:c r="AN141" s="59"/>
    </x:row>
    <x:row r="142">
      <x:c r="A142" s="59"/>
      <x:c r="B142" s="59"/>
      <x:c r="C142" s="59"/>
      <x:c r="D142" s="59"/>
      <x:c r="E142" s="59"/>
      <x:c r="F142" s="59"/>
      <x:c r="G142" s="59"/>
      <x:c r="H142" s="59"/>
      <x:c r="I142" s="59"/>
      <x:c r="J142" s="59"/>
      <x:c r="K142" s="59"/>
      <x:c r="L142" s="59"/>
      <x:c r="M142" s="59"/>
      <x:c r="N142" s="59"/>
      <x:c r="O142" s="59"/>
      <x:c r="P142" s="59"/>
      <x:c r="Q142" s="59"/>
      <x:c r="R142" s="59"/>
      <x:c r="S142" s="59"/>
      <x:c r="T142" s="59"/>
      <x:c r="U142" s="59"/>
      <x:c r="V142" s="59"/>
      <x:c r="W142" s="59"/>
      <x:c r="X142" s="59"/>
      <x:c r="Y142" s="59"/>
      <x:c r="Z142" s="59"/>
      <x:c r="AA142" s="59"/>
      <x:c r="AB142" s="59"/>
      <x:c r="AC142" s="59"/>
      <x:c r="AD142" s="59"/>
      <x:c r="AE142" s="59"/>
      <x:c r="AF142" s="59"/>
      <x:c r="AG142" s="59"/>
      <x:c r="AH142" s="59"/>
      <x:c r="AI142" s="59"/>
      <x:c r="AJ142" s="59"/>
      <x:c r="AK142" s="59"/>
      <x:c r="AL142" s="59"/>
      <x:c r="AM142" s="59"/>
      <x:c r="AN142" s="59"/>
    </x:row>
    <x:row r="143">
      <x:c r="A143" s="59"/>
      <x:c r="B143" s="59"/>
      <x:c r="C143" s="59"/>
      <x:c r="D143" s="59"/>
      <x:c r="E143" s="59"/>
      <x:c r="F143" s="59"/>
      <x:c r="G143" s="59"/>
      <x:c r="H143" s="59"/>
      <x:c r="I143" s="59"/>
      <x:c r="J143" s="59"/>
      <x:c r="K143" s="59"/>
      <x:c r="L143" s="59"/>
      <x:c r="M143" s="59"/>
      <x:c r="N143" s="59"/>
      <x:c r="O143" s="59"/>
      <x:c r="P143" s="59"/>
      <x:c r="Q143" s="59"/>
      <x:c r="R143" s="59"/>
      <x:c r="S143" s="59"/>
      <x:c r="T143" s="59"/>
      <x:c r="U143" s="59"/>
      <x:c r="V143" s="59"/>
      <x:c r="W143" s="59"/>
      <x:c r="X143" s="59"/>
      <x:c r="Y143" s="59"/>
      <x:c r="Z143" s="59"/>
      <x:c r="AA143" s="59"/>
      <x:c r="AB143" s="59"/>
      <x:c r="AC143" s="59"/>
      <x:c r="AD143" s="59"/>
      <x:c r="AE143" s="59"/>
      <x:c r="AF143" s="59"/>
      <x:c r="AG143" s="59"/>
      <x:c r="AH143" s="59"/>
      <x:c r="AI143" s="59"/>
      <x:c r="AJ143" s="59"/>
      <x:c r="AK143" s="59"/>
      <x:c r="AL143" s="59"/>
      <x:c r="AM143" s="59"/>
      <x:c r="AN143" s="59"/>
    </x:row>
    <x:row r="144">
      <x:c r="A144" s="59"/>
      <x:c r="B144" s="59"/>
      <x:c r="C144" s="59"/>
      <x:c r="D144" s="59"/>
      <x:c r="E144" s="59"/>
      <x:c r="F144" s="59"/>
      <x:c r="G144" s="59"/>
      <x:c r="H144" s="59"/>
      <x:c r="I144" s="59"/>
      <x:c r="J144" s="59"/>
      <x:c r="K144" s="59"/>
      <x:c r="L144" s="59"/>
      <x:c r="M144" s="59"/>
      <x:c r="N144" s="59"/>
      <x:c r="O144" s="59"/>
      <x:c r="P144" s="59"/>
      <x:c r="Q144" s="59"/>
      <x:c r="R144" s="59"/>
      <x:c r="S144" s="59"/>
      <x:c r="T144" s="59"/>
      <x:c r="U144" s="59"/>
      <x:c r="V144" s="59"/>
      <x:c r="W144" s="59"/>
      <x:c r="X144" s="59"/>
      <x:c r="Y144" s="59"/>
      <x:c r="Z144" s="59"/>
      <x:c r="AA144" s="59"/>
      <x:c r="AB144" s="59"/>
      <x:c r="AC144" s="59"/>
      <x:c r="AD144" s="59"/>
      <x:c r="AE144" s="59"/>
      <x:c r="AF144" s="59"/>
      <x:c r="AG144" s="59"/>
      <x:c r="AH144" s="59"/>
      <x:c r="AI144" s="59"/>
      <x:c r="AJ144" s="59"/>
      <x:c r="AK144" s="59"/>
      <x:c r="AL144" s="59"/>
      <x:c r="AM144" s="59"/>
      <x:c r="AN144" s="59"/>
    </x:row>
    <x:row r="145">
      <x:c r="A145" s="59"/>
      <x:c r="B145" s="59"/>
      <x:c r="C145" s="59"/>
      <x:c r="D145" s="59"/>
      <x:c r="E145" s="59"/>
      <x:c r="F145" s="59"/>
      <x:c r="G145" s="59"/>
      <x:c r="H145" s="59"/>
      <x:c r="I145" s="59"/>
      <x:c r="J145" s="59"/>
      <x:c r="K145" s="59"/>
      <x:c r="L145" s="59"/>
      <x:c r="M145" s="59"/>
      <x:c r="N145" s="59"/>
      <x:c r="O145" s="59"/>
      <x:c r="P145" s="59"/>
      <x:c r="Q145" s="59"/>
      <x:c r="R145" s="59"/>
      <x:c r="S145" s="59"/>
      <x:c r="T145" s="59"/>
      <x:c r="U145" s="59"/>
      <x:c r="V145" s="59"/>
      <x:c r="W145" s="59"/>
      <x:c r="X145" s="59"/>
      <x:c r="Y145" s="59"/>
      <x:c r="Z145" s="59"/>
      <x:c r="AA145" s="59"/>
      <x:c r="AB145" s="59"/>
      <x:c r="AC145" s="59"/>
      <x:c r="AD145" s="59"/>
      <x:c r="AE145" s="59"/>
      <x:c r="AF145" s="59"/>
      <x:c r="AG145" s="59"/>
      <x:c r="AH145" s="59"/>
      <x:c r="AI145" s="59"/>
      <x:c r="AJ145" s="59"/>
      <x:c r="AK145" s="59"/>
      <x:c r="AL145" s="59"/>
      <x:c r="AM145" s="59"/>
      <x:c r="AN145" s="59"/>
    </x:row>
    <x:row r="146">
      <x:c r="A146" s="59"/>
      <x:c r="B146" s="59"/>
      <x:c r="C146" s="59"/>
      <x:c r="D146" s="59"/>
      <x:c r="E146" s="59"/>
      <x:c r="F146" s="59"/>
      <x:c r="G146" s="59"/>
      <x:c r="H146" s="59"/>
      <x:c r="I146" s="59"/>
      <x:c r="J146" s="59"/>
      <x:c r="K146" s="59"/>
      <x:c r="L146" s="59"/>
      <x:c r="M146" s="59"/>
      <x:c r="N146" s="59"/>
      <x:c r="O146" s="59"/>
      <x:c r="P146" s="59"/>
      <x:c r="Q146" s="59"/>
      <x:c r="R146" s="59"/>
      <x:c r="S146" s="59"/>
      <x:c r="T146" s="59"/>
      <x:c r="U146" s="59"/>
      <x:c r="V146" s="59"/>
      <x:c r="W146" s="59"/>
      <x:c r="X146" s="59"/>
      <x:c r="Y146" s="59"/>
      <x:c r="Z146" s="59"/>
      <x:c r="AA146" s="59"/>
      <x:c r="AB146" s="59"/>
      <x:c r="AC146" s="59"/>
      <x:c r="AD146" s="59"/>
      <x:c r="AE146" s="59"/>
      <x:c r="AF146" s="59"/>
      <x:c r="AG146" s="59"/>
      <x:c r="AH146" s="59"/>
      <x:c r="AI146" s="59"/>
      <x:c r="AJ146" s="59"/>
      <x:c r="AK146" s="59"/>
      <x:c r="AL146" s="59"/>
      <x:c r="AM146" s="59"/>
      <x:c r="AN146" s="59"/>
    </x:row>
    <x:row r="147">
      <x:c r="A147" s="59"/>
      <x:c r="B147" s="59"/>
      <x:c r="C147" s="59"/>
      <x:c r="D147" s="59"/>
      <x:c r="E147" s="59"/>
      <x:c r="F147" s="59"/>
      <x:c r="G147" s="59"/>
      <x:c r="H147" s="59"/>
      <x:c r="I147" s="59"/>
      <x:c r="J147" s="59"/>
      <x:c r="K147" s="59"/>
      <x:c r="L147" s="59"/>
      <x:c r="M147" s="59"/>
      <x:c r="N147" s="59"/>
      <x:c r="O147" s="59"/>
      <x:c r="P147" s="59"/>
      <x:c r="Q147" s="59"/>
      <x:c r="R147" s="59"/>
      <x:c r="S147" s="59"/>
      <x:c r="T147" s="59"/>
      <x:c r="U147" s="59"/>
      <x:c r="V147" s="59"/>
      <x:c r="W147" s="59"/>
      <x:c r="X147" s="59"/>
      <x:c r="Y147" s="59"/>
      <x:c r="Z147" s="59"/>
      <x:c r="AA147" s="59"/>
      <x:c r="AB147" s="59"/>
      <x:c r="AC147" s="59"/>
      <x:c r="AD147" s="59"/>
      <x:c r="AE147" s="59"/>
      <x:c r="AF147" s="59"/>
      <x:c r="AG147" s="59"/>
      <x:c r="AH147" s="59"/>
      <x:c r="AI147" s="59"/>
      <x:c r="AJ147" s="59"/>
      <x:c r="AK147" s="59"/>
      <x:c r="AL147" s="59"/>
      <x:c r="AM147" s="59"/>
      <x:c r="AN147" s="59"/>
    </x:row>
    <x:row r="148">
      <x:c r="A148" s="59"/>
      <x:c r="B148" s="59"/>
      <x:c r="C148" s="59"/>
      <x:c r="D148" s="59"/>
      <x:c r="E148" s="59"/>
      <x:c r="F148" s="59"/>
      <x:c r="G148" s="59"/>
      <x:c r="H148" s="59"/>
      <x:c r="I148" s="59"/>
      <x:c r="J148" s="59"/>
      <x:c r="K148" s="59"/>
      <x:c r="L148" s="59"/>
      <x:c r="M148" s="59"/>
      <x:c r="N148" s="59"/>
      <x:c r="O148" s="59"/>
      <x:c r="P148" s="59"/>
      <x:c r="Q148" s="59"/>
      <x:c r="R148" s="59"/>
      <x:c r="S148" s="59"/>
      <x:c r="T148" s="59"/>
      <x:c r="U148" s="59"/>
      <x:c r="V148" s="59"/>
      <x:c r="W148" s="59"/>
      <x:c r="X148" s="59"/>
      <x:c r="Y148" s="59"/>
      <x:c r="Z148" s="59"/>
      <x:c r="AA148" s="59"/>
      <x:c r="AB148" s="59"/>
      <x:c r="AC148" s="59"/>
      <x:c r="AD148" s="59"/>
      <x:c r="AE148" s="59"/>
      <x:c r="AF148" s="59"/>
      <x:c r="AG148" s="59"/>
      <x:c r="AH148" s="59"/>
      <x:c r="AI148" s="59"/>
      <x:c r="AJ148" s="59"/>
      <x:c r="AK148" s="59"/>
      <x:c r="AL148" s="59"/>
      <x:c r="AM148" s="59"/>
      <x:c r="AN148" s="59"/>
    </x:row>
    <x:row r="149">
      <x:c r="A149" s="59"/>
      <x:c r="B149" s="59"/>
      <x:c r="C149" s="59"/>
      <x:c r="D149" s="59"/>
      <x:c r="E149" s="59"/>
      <x:c r="F149" s="59"/>
      <x:c r="G149" s="59"/>
      <x:c r="H149" s="59"/>
      <x:c r="I149" s="59"/>
      <x:c r="J149" s="59"/>
      <x:c r="K149" s="59"/>
      <x:c r="L149" s="59"/>
      <x:c r="M149" s="59"/>
      <x:c r="N149" s="59"/>
      <x:c r="O149" s="59"/>
      <x:c r="P149" s="59"/>
      <x:c r="Q149" s="59"/>
      <x:c r="R149" s="59"/>
      <x:c r="S149" s="59"/>
      <x:c r="T149" s="59"/>
      <x:c r="U149" s="59"/>
      <x:c r="V149" s="59"/>
      <x:c r="W149" s="59"/>
      <x:c r="X149" s="59"/>
      <x:c r="Y149" s="59"/>
      <x:c r="Z149" s="59"/>
      <x:c r="AA149" s="59"/>
      <x:c r="AB149" s="59"/>
      <x:c r="AC149" s="59"/>
      <x:c r="AD149" s="59"/>
      <x:c r="AE149" s="59"/>
      <x:c r="AF149" s="59"/>
      <x:c r="AG149" s="59"/>
      <x:c r="AH149" s="59"/>
      <x:c r="AI149" s="59"/>
      <x:c r="AJ149" s="59"/>
      <x:c r="AK149" s="59"/>
      <x:c r="AL149" s="59"/>
      <x:c r="AM149" s="59"/>
      <x:c r="AN149" s="59"/>
    </x:row>
    <x:row r="150">
      <x:c r="A150" s="59"/>
      <x:c r="B150" s="59"/>
      <x:c r="C150" s="59"/>
      <x:c r="D150" s="59"/>
      <x:c r="E150" s="59"/>
      <x:c r="F150" s="59"/>
      <x:c r="G150" s="59"/>
      <x:c r="H150" s="59"/>
      <x:c r="I150" s="59"/>
      <x:c r="J150" s="59"/>
      <x:c r="K150" s="59"/>
      <x:c r="L150" s="59"/>
      <x:c r="M150" s="59"/>
      <x:c r="N150" s="59"/>
      <x:c r="O150" s="59"/>
      <x:c r="P150" s="59"/>
      <x:c r="Q150" s="59"/>
      <x:c r="R150" s="59"/>
      <x:c r="S150" s="59"/>
      <x:c r="T150" s="59"/>
      <x:c r="U150" s="59"/>
      <x:c r="V150" s="59"/>
      <x:c r="W150" s="59"/>
      <x:c r="X150" s="59"/>
      <x:c r="Y150" s="59"/>
      <x:c r="Z150" s="59"/>
      <x:c r="AA150" s="59"/>
      <x:c r="AB150" s="59"/>
      <x:c r="AC150" s="59"/>
      <x:c r="AD150" s="59"/>
      <x:c r="AE150" s="59"/>
      <x:c r="AF150" s="59"/>
      <x:c r="AG150" s="59"/>
      <x:c r="AH150" s="59"/>
      <x:c r="AI150" s="59"/>
      <x:c r="AJ150" s="59"/>
      <x:c r="AK150" s="59"/>
      <x:c r="AL150" s="59"/>
      <x:c r="AM150" s="59"/>
      <x:c r="AN150" s="59"/>
    </x:row>
    <x:row r="151">
      <x:c r="A151" s="59"/>
      <x:c r="B151" s="59"/>
      <x:c r="C151" s="59"/>
      <x:c r="D151" s="59"/>
      <x:c r="E151" s="59"/>
      <x:c r="F151" s="59"/>
      <x:c r="G151" s="59"/>
      <x:c r="H151" s="59"/>
      <x:c r="I151" s="59"/>
      <x:c r="J151" s="59"/>
      <x:c r="K151" s="59"/>
      <x:c r="L151" s="59"/>
      <x:c r="M151" s="59"/>
      <x:c r="N151" s="59"/>
      <x:c r="O151" s="59"/>
      <x:c r="P151" s="59"/>
      <x:c r="Q151" s="59"/>
      <x:c r="R151" s="59"/>
      <x:c r="S151" s="59"/>
      <x:c r="T151" s="59"/>
      <x:c r="U151" s="59"/>
      <x:c r="V151" s="59"/>
      <x:c r="W151" s="59"/>
      <x:c r="X151" s="59"/>
      <x:c r="Y151" s="59"/>
      <x:c r="Z151" s="59"/>
      <x:c r="AA151" s="59"/>
      <x:c r="AB151" s="59"/>
      <x:c r="AC151" s="59"/>
      <x:c r="AD151" s="59"/>
      <x:c r="AE151" s="59"/>
      <x:c r="AF151" s="59"/>
      <x:c r="AG151" s="59"/>
      <x:c r="AH151" s="59"/>
      <x:c r="AI151" s="59"/>
      <x:c r="AJ151" s="59"/>
      <x:c r="AK151" s="59"/>
      <x:c r="AL151" s="59"/>
      <x:c r="AM151" s="59"/>
      <x:c r="AN151" s="59"/>
    </x:row>
    <x:row r="152">
      <x:c r="A152" s="59"/>
      <x:c r="B152" s="59"/>
      <x:c r="C152" s="59"/>
      <x:c r="D152" s="59"/>
      <x:c r="E152" s="59"/>
      <x:c r="F152" s="59"/>
      <x:c r="G152" s="59"/>
      <x:c r="H152" s="59"/>
      <x:c r="I152" s="59"/>
      <x:c r="J152" s="59"/>
      <x:c r="K152" s="59"/>
      <x:c r="L152" s="59"/>
      <x:c r="M152" s="59"/>
      <x:c r="N152" s="59"/>
      <x:c r="O152" s="59"/>
      <x:c r="P152" s="59"/>
      <x:c r="Q152" s="59"/>
      <x:c r="R152" s="59"/>
      <x:c r="S152" s="59"/>
      <x:c r="T152" s="59"/>
      <x:c r="U152" s="59"/>
      <x:c r="V152" s="59"/>
      <x:c r="W152" s="59"/>
      <x:c r="X152" s="59"/>
      <x:c r="Y152" s="59"/>
      <x:c r="Z152" s="59"/>
      <x:c r="AA152" s="59"/>
      <x:c r="AB152" s="59"/>
      <x:c r="AC152" s="59"/>
      <x:c r="AD152" s="59"/>
      <x:c r="AE152" s="59"/>
      <x:c r="AF152" s="59"/>
      <x:c r="AG152" s="59"/>
      <x:c r="AH152" s="59"/>
      <x:c r="AI152" s="59"/>
      <x:c r="AJ152" s="59"/>
      <x:c r="AK152" s="59"/>
      <x:c r="AL152" s="59"/>
      <x:c r="AM152" s="59"/>
      <x:c r="AN152" s="59"/>
    </x:row>
    <x:row r="153">
      <x:c r="A153" s="59"/>
      <x:c r="B153" s="59"/>
      <x:c r="C153" s="59"/>
      <x:c r="D153" s="59"/>
      <x:c r="E153" s="59"/>
      <x:c r="F153" s="59"/>
      <x:c r="G153" s="59"/>
      <x:c r="H153" s="59"/>
      <x:c r="I153" s="59"/>
      <x:c r="J153" s="59"/>
      <x:c r="K153" s="59"/>
      <x:c r="L153" s="59"/>
      <x:c r="M153" s="59"/>
      <x:c r="N153" s="59"/>
      <x:c r="O153" s="59"/>
      <x:c r="P153" s="59"/>
      <x:c r="Q153" s="59"/>
      <x:c r="R153" s="59"/>
      <x:c r="S153" s="59"/>
      <x:c r="T153" s="59"/>
      <x:c r="U153" s="59"/>
      <x:c r="V153" s="59"/>
      <x:c r="W153" s="59"/>
      <x:c r="X153" s="59"/>
      <x:c r="Y153" s="59"/>
      <x:c r="Z153" s="59"/>
      <x:c r="AA153" s="59"/>
      <x:c r="AB153" s="59"/>
      <x:c r="AC153" s="59"/>
      <x:c r="AD153" s="59"/>
      <x:c r="AE153" s="59"/>
      <x:c r="AF153" s="59"/>
      <x:c r="AG153" s="59"/>
      <x:c r="AH153" s="59"/>
      <x:c r="AI153" s="59"/>
      <x:c r="AJ153" s="59"/>
      <x:c r="AK153" s="59"/>
      <x:c r="AL153" s="59"/>
      <x:c r="AM153" s="59"/>
      <x:c r="AN153" s="59"/>
    </x:row>
    <x:row r="154">
      <x:c r="A154" s="59"/>
      <x:c r="B154" s="59"/>
      <x:c r="C154" s="59"/>
      <x:c r="D154" s="59"/>
      <x:c r="E154" s="59"/>
      <x:c r="F154" s="59"/>
      <x:c r="G154" s="59"/>
      <x:c r="H154" s="59"/>
      <x:c r="I154" s="59"/>
      <x:c r="J154" s="59"/>
      <x:c r="K154" s="59"/>
      <x:c r="L154" s="59"/>
      <x:c r="M154" s="59"/>
      <x:c r="N154" s="59"/>
      <x:c r="O154" s="59"/>
      <x:c r="P154" s="59"/>
      <x:c r="Q154" s="59"/>
      <x:c r="R154" s="59"/>
      <x:c r="S154" s="59"/>
      <x:c r="T154" s="59"/>
      <x:c r="U154" s="59"/>
      <x:c r="V154" s="59"/>
      <x:c r="W154" s="59"/>
      <x:c r="X154" s="59"/>
      <x:c r="Y154" s="59"/>
      <x:c r="Z154" s="59"/>
      <x:c r="AA154" s="59"/>
      <x:c r="AB154" s="59"/>
      <x:c r="AC154" s="59"/>
      <x:c r="AD154" s="59"/>
      <x:c r="AE154" s="59"/>
      <x:c r="AF154" s="59"/>
      <x:c r="AG154" s="59"/>
      <x:c r="AH154" s="59"/>
      <x:c r="AI154" s="59"/>
      <x:c r="AJ154" s="59"/>
      <x:c r="AK154" s="59"/>
      <x:c r="AL154" s="59"/>
      <x:c r="AM154" s="59"/>
      <x:c r="AN154" s="59"/>
    </x:row>
    <x:row r="155">
      <x:c r="A155" s="59"/>
      <x:c r="B155" s="59"/>
      <x:c r="C155" s="59"/>
      <x:c r="D155" s="59"/>
      <x:c r="E155" s="59"/>
      <x:c r="F155" s="59"/>
      <x:c r="G155" s="59"/>
      <x:c r="H155" s="59"/>
      <x:c r="I155" s="59"/>
      <x:c r="J155" s="59"/>
      <x:c r="K155" s="59"/>
      <x:c r="L155" s="59"/>
      <x:c r="M155" s="59"/>
      <x:c r="N155" s="59"/>
      <x:c r="O155" s="59"/>
      <x:c r="P155" s="59"/>
      <x:c r="Q155" s="59"/>
      <x:c r="R155" s="59"/>
      <x:c r="S155" s="59"/>
      <x:c r="T155" s="59"/>
      <x:c r="U155" s="59"/>
      <x:c r="V155" s="59"/>
      <x:c r="W155" s="59"/>
      <x:c r="X155" s="59"/>
      <x:c r="Y155" s="59"/>
      <x:c r="Z155" s="59"/>
      <x:c r="AA155" s="59"/>
      <x:c r="AB155" s="59"/>
      <x:c r="AC155" s="59"/>
      <x:c r="AD155" s="59"/>
      <x:c r="AE155" s="59"/>
      <x:c r="AF155" s="59"/>
      <x:c r="AG155" s="59"/>
      <x:c r="AH155" s="59"/>
      <x:c r="AI155" s="59"/>
      <x:c r="AJ155" s="59"/>
      <x:c r="AK155" s="59"/>
      <x:c r="AL155" s="59"/>
      <x:c r="AM155" s="59"/>
      <x:c r="AN155" s="59"/>
    </x:row>
    <x:row r="156">
      <x:c r="A156" s="59"/>
      <x:c r="B156" s="59"/>
      <x:c r="C156" s="59"/>
      <x:c r="D156" s="59"/>
      <x:c r="E156" s="59"/>
      <x:c r="F156" s="59"/>
      <x:c r="G156" s="59"/>
      <x:c r="H156" s="59"/>
      <x:c r="I156" s="59"/>
      <x:c r="J156" s="59"/>
      <x:c r="K156" s="59"/>
      <x:c r="L156" s="59"/>
      <x:c r="M156" s="59"/>
      <x:c r="N156" s="59"/>
      <x:c r="O156" s="59"/>
      <x:c r="P156" s="59"/>
      <x:c r="Q156" s="59"/>
      <x:c r="R156" s="59"/>
      <x:c r="S156" s="59"/>
      <x:c r="T156" s="59"/>
      <x:c r="U156" s="59"/>
      <x:c r="V156" s="59"/>
      <x:c r="W156" s="59"/>
      <x:c r="X156" s="59"/>
      <x:c r="Y156" s="59"/>
      <x:c r="Z156" s="59"/>
      <x:c r="AA156" s="59"/>
      <x:c r="AB156" s="59"/>
      <x:c r="AC156" s="59"/>
      <x:c r="AD156" s="59"/>
      <x:c r="AE156" s="59"/>
      <x:c r="AF156" s="59"/>
      <x:c r="AG156" s="59"/>
      <x:c r="AH156" s="59"/>
      <x:c r="AI156" s="59"/>
      <x:c r="AJ156" s="59"/>
      <x:c r="AK156" s="59"/>
      <x:c r="AL156" s="59"/>
      <x:c r="AM156" s="59"/>
      <x:c r="AN156" s="59"/>
    </x:row>
    <x:row r="157">
      <x:c r="A157" s="59"/>
      <x:c r="B157" s="59"/>
      <x:c r="C157" s="59"/>
      <x:c r="D157" s="59"/>
      <x:c r="E157" s="59"/>
      <x:c r="F157" s="59"/>
      <x:c r="G157" s="59"/>
      <x:c r="H157" s="59"/>
      <x:c r="I157" s="59"/>
      <x:c r="J157" s="59"/>
      <x:c r="K157" s="59"/>
      <x:c r="L157" s="59"/>
      <x:c r="M157" s="59"/>
      <x:c r="N157" s="59"/>
      <x:c r="O157" s="59"/>
      <x:c r="P157" s="59"/>
      <x:c r="Q157" s="59"/>
      <x:c r="R157" s="59"/>
      <x:c r="S157" s="59"/>
      <x:c r="T157" s="59"/>
      <x:c r="U157" s="59"/>
      <x:c r="V157" s="59"/>
      <x:c r="W157" s="59"/>
      <x:c r="X157" s="59"/>
      <x:c r="Y157" s="59"/>
      <x:c r="Z157" s="59"/>
      <x:c r="AA157" s="59"/>
      <x:c r="AB157" s="59"/>
      <x:c r="AC157" s="59"/>
      <x:c r="AD157" s="59"/>
      <x:c r="AE157" s="59"/>
      <x:c r="AF157" s="59"/>
      <x:c r="AG157" s="59"/>
      <x:c r="AH157" s="59"/>
      <x:c r="AI157" s="59"/>
      <x:c r="AJ157" s="59"/>
      <x:c r="AK157" s="59"/>
      <x:c r="AL157" s="59"/>
      <x:c r="AM157" s="59"/>
      <x:c r="AN157" s="59"/>
    </x:row>
    <x:row r="158">
      <x:c r="A158" s="59"/>
      <x:c r="B158" s="59"/>
      <x:c r="C158" s="59"/>
      <x:c r="D158" s="59"/>
      <x:c r="E158" s="59"/>
      <x:c r="F158" s="59"/>
      <x:c r="G158" s="59"/>
      <x:c r="H158" s="59"/>
      <x:c r="I158" s="59"/>
      <x:c r="J158" s="59"/>
      <x:c r="K158" s="59"/>
      <x:c r="L158" s="59"/>
      <x:c r="M158" s="59"/>
      <x:c r="N158" s="59"/>
      <x:c r="O158" s="59"/>
      <x:c r="P158" s="59"/>
      <x:c r="Q158" s="59"/>
      <x:c r="R158" s="59"/>
      <x:c r="S158" s="59"/>
      <x:c r="T158" s="59"/>
      <x:c r="U158" s="59"/>
      <x:c r="V158" s="59"/>
      <x:c r="W158" s="59"/>
      <x:c r="X158" s="59"/>
      <x:c r="Y158" s="59"/>
      <x:c r="Z158" s="59"/>
      <x:c r="AA158" s="59"/>
      <x:c r="AB158" s="59"/>
      <x:c r="AC158" s="59"/>
      <x:c r="AD158" s="59"/>
      <x:c r="AE158" s="59"/>
      <x:c r="AF158" s="59"/>
      <x:c r="AG158" s="59"/>
      <x:c r="AH158" s="59"/>
      <x:c r="AI158" s="59"/>
      <x:c r="AJ158" s="59"/>
      <x:c r="AK158" s="59"/>
      <x:c r="AL158" s="59"/>
      <x:c r="AM158" s="59"/>
      <x:c r="AN158" s="59"/>
    </x:row>
    <x:row r="159">
      <x:c r="A159" s="59"/>
      <x:c r="B159" s="59"/>
      <x:c r="C159" s="59"/>
      <x:c r="D159" s="59"/>
      <x:c r="E159" s="59"/>
      <x:c r="F159" s="59"/>
      <x:c r="G159" s="59"/>
      <x:c r="H159" s="59"/>
      <x:c r="I159" s="59"/>
      <x:c r="J159" s="59"/>
      <x:c r="K159" s="59"/>
      <x:c r="L159" s="59"/>
      <x:c r="M159" s="59"/>
      <x:c r="N159" s="59"/>
      <x:c r="O159" s="59"/>
      <x:c r="P159" s="59"/>
      <x:c r="Q159" s="59"/>
      <x:c r="R159" s="59"/>
      <x:c r="S159" s="59"/>
      <x:c r="T159" s="59"/>
      <x:c r="U159" s="59"/>
      <x:c r="V159" s="59"/>
      <x:c r="W159" s="59"/>
      <x:c r="X159" s="59"/>
      <x:c r="Y159" s="59"/>
      <x:c r="Z159" s="59"/>
      <x:c r="AA159" s="59"/>
      <x:c r="AB159" s="59"/>
      <x:c r="AC159" s="59"/>
      <x:c r="AD159" s="59"/>
      <x:c r="AE159" s="59"/>
      <x:c r="AF159" s="59"/>
      <x:c r="AG159" s="59"/>
      <x:c r="AH159" s="59"/>
      <x:c r="AI159" s="59"/>
      <x:c r="AJ159" s="59"/>
      <x:c r="AK159" s="59"/>
      <x:c r="AL159" s="59"/>
      <x:c r="AM159" s="59"/>
      <x:c r="AN159" s="59"/>
    </x:row>
    <x:row r="160">
      <x:c r="A160" s="59"/>
      <x:c r="B160" s="59"/>
      <x:c r="C160" s="59"/>
      <x:c r="D160" s="59"/>
      <x:c r="E160" s="59"/>
      <x:c r="F160" s="59"/>
      <x:c r="G160" s="59"/>
      <x:c r="H160" s="59"/>
      <x:c r="I160" s="59"/>
      <x:c r="J160" s="59"/>
      <x:c r="K160" s="59"/>
      <x:c r="L160" s="59"/>
      <x:c r="M160" s="59"/>
      <x:c r="N160" s="59"/>
      <x:c r="O160" s="59"/>
      <x:c r="P160" s="59"/>
      <x:c r="Q160" s="59"/>
      <x:c r="R160" s="59"/>
      <x:c r="S160" s="59"/>
      <x:c r="T160" s="59"/>
      <x:c r="U160" s="59"/>
      <x:c r="V160" s="59"/>
      <x:c r="W160" s="59"/>
      <x:c r="X160" s="59"/>
      <x:c r="Y160" s="59"/>
      <x:c r="Z160" s="59"/>
      <x:c r="AA160" s="59"/>
      <x:c r="AB160" s="59"/>
      <x:c r="AC160" s="59"/>
      <x:c r="AD160" s="59"/>
      <x:c r="AE160" s="59"/>
      <x:c r="AF160" s="59"/>
      <x:c r="AG160" s="59"/>
      <x:c r="AH160" s="59"/>
      <x:c r="AI160" s="59"/>
      <x:c r="AJ160" s="59"/>
      <x:c r="AK160" s="59"/>
      <x:c r="AL160" s="59"/>
      <x:c r="AM160" s="59"/>
      <x:c r="AN160" s="59"/>
    </x:row>
    <x:row r="161">
      <x:c r="A161" s="59"/>
      <x:c r="B161" s="59"/>
      <x:c r="C161" s="59"/>
      <x:c r="D161" s="59"/>
      <x:c r="E161" s="59"/>
      <x:c r="F161" s="59"/>
      <x:c r="G161" s="59"/>
      <x:c r="H161" s="59"/>
      <x:c r="I161" s="59"/>
      <x:c r="J161" s="59"/>
      <x:c r="K161" s="59"/>
      <x:c r="L161" s="59"/>
      <x:c r="M161" s="59"/>
      <x:c r="N161" s="59"/>
      <x:c r="O161" s="59"/>
      <x:c r="P161" s="59"/>
      <x:c r="Q161" s="59"/>
      <x:c r="R161" s="59"/>
      <x:c r="S161" s="59"/>
      <x:c r="T161" s="59"/>
      <x:c r="U161" s="59"/>
      <x:c r="V161" s="59"/>
      <x:c r="W161" s="59"/>
      <x:c r="X161" s="59"/>
      <x:c r="Y161" s="59"/>
      <x:c r="Z161" s="59"/>
      <x:c r="AA161" s="59"/>
      <x:c r="AB161" s="59"/>
      <x:c r="AC161" s="59"/>
      <x:c r="AD161" s="59"/>
      <x:c r="AE161" s="59"/>
      <x:c r="AF161" s="59"/>
      <x:c r="AG161" s="59"/>
      <x:c r="AH161" s="59"/>
      <x:c r="AI161" s="59"/>
      <x:c r="AJ161" s="59"/>
      <x:c r="AK161" s="59"/>
      <x:c r="AL161" s="59"/>
      <x:c r="AM161" s="59"/>
      <x:c r="AN161" s="59"/>
    </x:row>
    <x:row r="162">
      <x:c r="A162" s="59"/>
      <x:c r="B162" s="59"/>
      <x:c r="C162" s="59"/>
      <x:c r="D162" s="59"/>
      <x:c r="E162" s="59"/>
      <x:c r="F162" s="59"/>
      <x:c r="G162" s="59"/>
      <x:c r="H162" s="59"/>
      <x:c r="I162" s="59"/>
      <x:c r="J162" s="59"/>
      <x:c r="K162" s="59"/>
      <x:c r="L162" s="59"/>
      <x:c r="M162" s="59"/>
      <x:c r="N162" s="59"/>
      <x:c r="O162" s="59"/>
      <x:c r="P162" s="59"/>
      <x:c r="Q162" s="59"/>
      <x:c r="R162" s="59"/>
      <x:c r="S162" s="59"/>
      <x:c r="T162" s="59"/>
      <x:c r="U162" s="59"/>
      <x:c r="V162" s="59"/>
      <x:c r="W162" s="59"/>
      <x:c r="X162" s="59"/>
      <x:c r="Y162" s="59"/>
      <x:c r="Z162" s="59"/>
      <x:c r="AA162" s="59"/>
      <x:c r="AB162" s="59"/>
      <x:c r="AC162" s="59"/>
      <x:c r="AD162" s="59"/>
      <x:c r="AE162" s="59"/>
      <x:c r="AF162" s="59"/>
      <x:c r="AG162" s="59"/>
      <x:c r="AH162" s="59"/>
      <x:c r="AI162" s="59"/>
      <x:c r="AJ162" s="59"/>
      <x:c r="AK162" s="59"/>
      <x:c r="AL162" s="59"/>
      <x:c r="AM162" s="59"/>
      <x:c r="AN162" s="59"/>
    </x:row>
    <x:row r="163">
      <x:c r="A163" s="59"/>
      <x:c r="B163" s="59"/>
      <x:c r="C163" s="59"/>
      <x:c r="D163" s="59"/>
      <x:c r="E163" s="59"/>
      <x:c r="F163" s="59"/>
      <x:c r="G163" s="59"/>
      <x:c r="H163" s="59"/>
      <x:c r="I163" s="59"/>
      <x:c r="J163" s="59"/>
      <x:c r="K163" s="59"/>
      <x:c r="L163" s="59"/>
      <x:c r="M163" s="59"/>
      <x:c r="N163" s="59"/>
      <x:c r="O163" s="59"/>
      <x:c r="P163" s="59"/>
      <x:c r="Q163" s="59"/>
      <x:c r="R163" s="59"/>
      <x:c r="S163" s="59"/>
      <x:c r="T163" s="59"/>
      <x:c r="U163" s="59"/>
      <x:c r="V163" s="59"/>
      <x:c r="W163" s="59"/>
      <x:c r="X163" s="59"/>
      <x:c r="Y163" s="59"/>
      <x:c r="Z163" s="59"/>
      <x:c r="AA163" s="59"/>
      <x:c r="AB163" s="59"/>
      <x:c r="AC163" s="59"/>
      <x:c r="AD163" s="59"/>
      <x:c r="AE163" s="59"/>
      <x:c r="AF163" s="59"/>
      <x:c r="AG163" s="59"/>
      <x:c r="AH163" s="59"/>
      <x:c r="AI163" s="59"/>
      <x:c r="AJ163" s="59"/>
      <x:c r="AK163" s="59"/>
      <x:c r="AL163" s="59"/>
      <x:c r="AM163" s="59"/>
      <x:c r="AN163" s="59"/>
    </x:row>
    <x:row r="164">
      <x:c r="A164" s="59"/>
      <x:c r="B164" s="59"/>
      <x:c r="C164" s="59"/>
      <x:c r="D164" s="59"/>
      <x:c r="E164" s="59"/>
      <x:c r="F164" s="59"/>
      <x:c r="G164" s="59"/>
      <x:c r="H164" s="59"/>
      <x:c r="I164" s="59"/>
      <x:c r="J164" s="59"/>
      <x:c r="K164" s="59"/>
      <x:c r="L164" s="59"/>
      <x:c r="M164" s="59"/>
      <x:c r="N164" s="59"/>
      <x:c r="O164" s="59"/>
      <x:c r="P164" s="59"/>
      <x:c r="Q164" s="59"/>
      <x:c r="R164" s="59"/>
      <x:c r="S164" s="59"/>
      <x:c r="T164" s="59"/>
      <x:c r="U164" s="59"/>
      <x:c r="V164" s="59"/>
      <x:c r="W164" s="59"/>
      <x:c r="X164" s="59"/>
      <x:c r="Y164" s="59"/>
      <x:c r="Z164" s="59"/>
      <x:c r="AA164" s="59"/>
      <x:c r="AB164" s="59"/>
      <x:c r="AC164" s="59"/>
      <x:c r="AD164" s="59"/>
      <x:c r="AE164" s="59"/>
      <x:c r="AF164" s="59"/>
      <x:c r="AG164" s="59"/>
      <x:c r="AH164" s="59"/>
      <x:c r="AI164" s="59"/>
      <x:c r="AJ164" s="59"/>
      <x:c r="AK164" s="59"/>
      <x:c r="AL164" s="59"/>
      <x:c r="AM164" s="59"/>
      <x:c r="AN164" s="59"/>
    </x:row>
    <x:row r="165">
      <x:c r="A165" s="59"/>
      <x:c r="B165" s="59"/>
      <x:c r="C165" s="59"/>
      <x:c r="D165" s="59"/>
      <x:c r="E165" s="59"/>
      <x:c r="F165" s="59"/>
      <x:c r="G165" s="59"/>
      <x:c r="H165" s="59"/>
      <x:c r="I165" s="59"/>
      <x:c r="J165" s="59"/>
      <x:c r="K165" s="59"/>
      <x:c r="L165" s="59"/>
      <x:c r="M165" s="59"/>
      <x:c r="N165" s="59"/>
      <x:c r="O165" s="59"/>
      <x:c r="P165" s="59"/>
      <x:c r="Q165" s="59"/>
      <x:c r="R165" s="59"/>
      <x:c r="S165" s="59"/>
      <x:c r="T165" s="59"/>
      <x:c r="U165" s="59"/>
      <x:c r="V165" s="59"/>
      <x:c r="W165" s="59"/>
      <x:c r="X165" s="59"/>
      <x:c r="Y165" s="59"/>
      <x:c r="Z165" s="59"/>
      <x:c r="AA165" s="59"/>
      <x:c r="AB165" s="59"/>
      <x:c r="AC165" s="59"/>
      <x:c r="AD165" s="59"/>
      <x:c r="AE165" s="59"/>
      <x:c r="AF165" s="59"/>
      <x:c r="AG165" s="59"/>
      <x:c r="AH165" s="59"/>
      <x:c r="AI165" s="59"/>
      <x:c r="AJ165" s="59"/>
      <x:c r="AK165" s="59"/>
      <x:c r="AL165" s="59"/>
      <x:c r="AM165" s="59"/>
      <x:c r="AN165" s="59"/>
    </x:row>
    <x:row r="166">
      <x:c r="A166" s="59"/>
      <x:c r="B166" s="59"/>
      <x:c r="C166" s="59"/>
      <x:c r="D166" s="59"/>
      <x:c r="E166" s="59"/>
      <x:c r="F166" s="59"/>
      <x:c r="G166" s="59"/>
      <x:c r="H166" s="59"/>
      <x:c r="I166" s="59"/>
      <x:c r="J166" s="59"/>
      <x:c r="K166" s="59"/>
      <x:c r="L166" s="59"/>
      <x:c r="M166" s="59"/>
      <x:c r="N166" s="59"/>
      <x:c r="O166" s="59"/>
      <x:c r="P166" s="59"/>
      <x:c r="Q166" s="59"/>
      <x:c r="R166" s="59"/>
      <x:c r="S166" s="59"/>
      <x:c r="T166" s="59"/>
      <x:c r="U166" s="59"/>
      <x:c r="V166" s="59"/>
      <x:c r="W166" s="59"/>
      <x:c r="X166" s="59"/>
      <x:c r="Y166" s="59"/>
      <x:c r="Z166" s="59"/>
      <x:c r="AA166" s="59"/>
      <x:c r="AB166" s="59"/>
      <x:c r="AC166" s="59"/>
      <x:c r="AD166" s="59"/>
      <x:c r="AE166" s="59"/>
      <x:c r="AF166" s="59"/>
      <x:c r="AG166" s="59"/>
      <x:c r="AH166" s="59"/>
      <x:c r="AI166" s="59"/>
      <x:c r="AJ166" s="59"/>
      <x:c r="AK166" s="59"/>
      <x:c r="AL166" s="59"/>
      <x:c r="AM166" s="59"/>
      <x:c r="AN166" s="59"/>
    </x:row>
    <x:row r="167">
      <x:c r="A167" s="59"/>
      <x:c r="B167" s="59"/>
      <x:c r="C167" s="59"/>
      <x:c r="D167" s="59"/>
      <x:c r="E167" s="59"/>
      <x:c r="F167" s="59"/>
      <x:c r="G167" s="59"/>
      <x:c r="H167" s="59"/>
      <x:c r="I167" s="59"/>
      <x:c r="J167" s="59"/>
      <x:c r="K167" s="59"/>
      <x:c r="L167" s="59"/>
      <x:c r="M167" s="59"/>
      <x:c r="N167" s="59"/>
      <x:c r="O167" s="59"/>
      <x:c r="P167" s="59"/>
      <x:c r="Q167" s="59"/>
      <x:c r="R167" s="59"/>
      <x:c r="S167" s="59"/>
      <x:c r="T167" s="59"/>
      <x:c r="U167" s="59"/>
      <x:c r="V167" s="59"/>
      <x:c r="W167" s="59"/>
      <x:c r="X167" s="59"/>
      <x:c r="Y167" s="59"/>
      <x:c r="Z167" s="59"/>
      <x:c r="AA167" s="59"/>
      <x:c r="AB167" s="59"/>
      <x:c r="AC167" s="59"/>
      <x:c r="AD167" s="59"/>
      <x:c r="AE167" s="59"/>
      <x:c r="AF167" s="59"/>
      <x:c r="AG167" s="59"/>
      <x:c r="AH167" s="59"/>
      <x:c r="AI167" s="59"/>
      <x:c r="AJ167" s="59"/>
      <x:c r="AK167" s="59"/>
      <x:c r="AL167" s="59"/>
      <x:c r="AM167" s="59"/>
      <x:c r="AN167" s="59"/>
    </x:row>
    <x:row r="168">
      <x:c r="A168" s="59"/>
      <x:c r="B168" s="59"/>
      <x:c r="C168" s="59"/>
      <x:c r="D168" s="59"/>
      <x:c r="E168" s="59"/>
      <x:c r="F168" s="59"/>
      <x:c r="G168" s="59"/>
      <x:c r="H168" s="59"/>
      <x:c r="I168" s="59"/>
      <x:c r="J168" s="59"/>
      <x:c r="K168" s="59"/>
      <x:c r="L168" s="59"/>
      <x:c r="M168" s="59"/>
      <x:c r="N168" s="59"/>
      <x:c r="O168" s="59"/>
      <x:c r="P168" s="59"/>
      <x:c r="Q168" s="59"/>
      <x:c r="R168" s="59"/>
      <x:c r="S168" s="59"/>
      <x:c r="T168" s="59"/>
      <x:c r="U168" s="59"/>
      <x:c r="V168" s="59"/>
      <x:c r="W168" s="59"/>
      <x:c r="X168" s="59"/>
      <x:c r="Y168" s="59"/>
      <x:c r="Z168" s="59"/>
      <x:c r="AA168" s="59"/>
      <x:c r="AB168" s="59"/>
      <x:c r="AC168" s="59"/>
      <x:c r="AD168" s="59"/>
      <x:c r="AE168" s="59"/>
      <x:c r="AF168" s="59"/>
      <x:c r="AG168" s="59"/>
      <x:c r="AH168" s="59"/>
      <x:c r="AI168" s="59"/>
      <x:c r="AJ168" s="59"/>
      <x:c r="AK168" s="59"/>
      <x:c r="AL168" s="59"/>
      <x:c r="AM168" s="59"/>
      <x:c r="AN168" s="59"/>
    </x:row>
    <x:row r="169">
      <x:c r="A169" s="59"/>
      <x:c r="B169" s="59"/>
      <x:c r="C169" s="59"/>
      <x:c r="D169" s="59"/>
      <x:c r="E169" s="59"/>
      <x:c r="F169" s="59"/>
      <x:c r="G169" s="59"/>
      <x:c r="H169" s="59"/>
      <x:c r="I169" s="59"/>
      <x:c r="J169" s="59"/>
      <x:c r="K169" s="59"/>
      <x:c r="L169" s="59"/>
      <x:c r="M169" s="59"/>
      <x:c r="N169" s="59"/>
      <x:c r="O169" s="59"/>
      <x:c r="P169" s="59"/>
      <x:c r="Q169" s="59"/>
      <x:c r="R169" s="59"/>
      <x:c r="S169" s="59"/>
      <x:c r="T169" s="59"/>
      <x:c r="U169" s="59"/>
      <x:c r="V169" s="59"/>
      <x:c r="W169" s="59"/>
      <x:c r="X169" s="59"/>
      <x:c r="Y169" s="59"/>
      <x:c r="Z169" s="59"/>
      <x:c r="AA169" s="59"/>
      <x:c r="AB169" s="59"/>
      <x:c r="AC169" s="59"/>
      <x:c r="AD169" s="59"/>
      <x:c r="AE169" s="59"/>
      <x:c r="AF169" s="59"/>
      <x:c r="AG169" s="59"/>
      <x:c r="AH169" s="59"/>
      <x:c r="AI169" s="59"/>
      <x:c r="AJ169" s="59"/>
      <x:c r="AK169" s="59"/>
      <x:c r="AL169" s="59"/>
      <x:c r="AM169" s="59"/>
      <x:c r="AN169" s="59"/>
    </x:row>
    <x:row r="170">
      <x:c r="A170" s="59"/>
      <x:c r="B170" s="59"/>
      <x:c r="C170" s="59"/>
      <x:c r="D170" s="59"/>
      <x:c r="E170" s="59"/>
      <x:c r="F170" s="59"/>
      <x:c r="G170" s="59"/>
      <x:c r="H170" s="59"/>
      <x:c r="I170" s="59"/>
      <x:c r="J170" s="59"/>
      <x:c r="K170" s="59"/>
      <x:c r="L170" s="59"/>
      <x:c r="M170" s="59"/>
      <x:c r="N170" s="59"/>
      <x:c r="O170" s="59"/>
      <x:c r="P170" s="59"/>
      <x:c r="Q170" s="59"/>
      <x:c r="R170" s="59"/>
      <x:c r="S170" s="59"/>
      <x:c r="T170" s="59"/>
      <x:c r="U170" s="59"/>
      <x:c r="V170" s="59"/>
      <x:c r="W170" s="59"/>
      <x:c r="X170" s="59"/>
      <x:c r="Y170" s="59"/>
      <x:c r="Z170" s="59"/>
      <x:c r="AA170" s="59"/>
      <x:c r="AB170" s="59"/>
      <x:c r="AC170" s="59"/>
      <x:c r="AD170" s="59"/>
      <x:c r="AE170" s="59"/>
      <x:c r="AF170" s="59"/>
      <x:c r="AG170" s="59"/>
      <x:c r="AH170" s="59"/>
      <x:c r="AI170" s="59"/>
      <x:c r="AJ170" s="59"/>
      <x:c r="AK170" s="59"/>
      <x:c r="AL170" s="59"/>
      <x:c r="AM170" s="59"/>
      <x:c r="AN170" s="59"/>
    </x:row>
    <x:row r="171">
      <x:c r="A171" s="59"/>
      <x:c r="B171" s="59"/>
      <x:c r="C171" s="59"/>
      <x:c r="D171" s="59"/>
      <x:c r="E171" s="59"/>
      <x:c r="F171" s="59"/>
      <x:c r="G171" s="59"/>
      <x:c r="H171" s="59"/>
      <x:c r="I171" s="59"/>
      <x:c r="J171" s="59"/>
      <x:c r="K171" s="59"/>
      <x:c r="L171" s="59"/>
      <x:c r="M171" s="59"/>
      <x:c r="N171" s="59"/>
      <x:c r="O171" s="59"/>
      <x:c r="P171" s="59"/>
      <x:c r="Q171" s="59"/>
      <x:c r="R171" s="59"/>
      <x:c r="S171" s="59"/>
      <x:c r="T171" s="59"/>
      <x:c r="U171" s="59"/>
      <x:c r="V171" s="59"/>
      <x:c r="W171" s="59"/>
      <x:c r="X171" s="59"/>
      <x:c r="Y171" s="59"/>
      <x:c r="Z171" s="59"/>
      <x:c r="AA171" s="59"/>
      <x:c r="AB171" s="59"/>
      <x:c r="AC171" s="59"/>
      <x:c r="AD171" s="59"/>
      <x:c r="AE171" s="59"/>
      <x:c r="AF171" s="59"/>
      <x:c r="AG171" s="59"/>
      <x:c r="AH171" s="59"/>
      <x:c r="AI171" s="59"/>
      <x:c r="AJ171" s="59"/>
      <x:c r="AK171" s="59"/>
      <x:c r="AL171" s="59"/>
      <x:c r="AM171" s="59"/>
      <x:c r="AN171" s="59"/>
    </x:row>
    <x:row r="172">
      <x:c r="A172" s="59"/>
      <x:c r="B172" s="59"/>
      <x:c r="C172" s="59"/>
      <x:c r="D172" s="59"/>
      <x:c r="E172" s="59"/>
      <x:c r="F172" s="59"/>
      <x:c r="G172" s="59"/>
      <x:c r="H172" s="59"/>
      <x:c r="I172" s="59"/>
      <x:c r="J172" s="59"/>
      <x:c r="K172" s="59"/>
      <x:c r="L172" s="59"/>
      <x:c r="M172" s="59"/>
      <x:c r="N172" s="59"/>
      <x:c r="O172" s="59"/>
      <x:c r="P172" s="59"/>
      <x:c r="Q172" s="59"/>
      <x:c r="R172" s="59"/>
      <x:c r="S172" s="59"/>
      <x:c r="T172" s="59"/>
      <x:c r="U172" s="59"/>
      <x:c r="V172" s="59"/>
      <x:c r="W172" s="59"/>
      <x:c r="X172" s="59"/>
      <x:c r="Y172" s="59"/>
      <x:c r="Z172" s="59"/>
      <x:c r="AA172" s="59"/>
      <x:c r="AB172" s="59"/>
      <x:c r="AC172" s="59"/>
      <x:c r="AD172" s="59"/>
      <x:c r="AE172" s="59"/>
      <x:c r="AF172" s="59"/>
      <x:c r="AG172" s="59"/>
      <x:c r="AH172" s="59"/>
      <x:c r="AI172" s="59"/>
      <x:c r="AJ172" s="59"/>
      <x:c r="AK172" s="59"/>
      <x:c r="AL172" s="59"/>
      <x:c r="AM172" s="59"/>
      <x:c r="AN172" s="59"/>
    </x:row>
    <x:row r="173">
      <x:c r="A173" s="59"/>
      <x:c r="B173" s="59"/>
      <x:c r="C173" s="59"/>
      <x:c r="D173" s="59"/>
      <x:c r="E173" s="59"/>
      <x:c r="F173" s="59"/>
      <x:c r="G173" s="59"/>
      <x:c r="H173" s="59"/>
      <x:c r="I173" s="59"/>
      <x:c r="J173" s="59"/>
      <x:c r="K173" s="59"/>
      <x:c r="L173" s="59"/>
      <x:c r="M173" s="59"/>
      <x:c r="N173" s="59"/>
      <x:c r="O173" s="59"/>
      <x:c r="P173" s="59"/>
      <x:c r="Q173" s="59"/>
      <x:c r="R173" s="59"/>
      <x:c r="S173" s="59"/>
      <x:c r="T173" s="59"/>
      <x:c r="U173" s="59"/>
      <x:c r="V173" s="59"/>
      <x:c r="W173" s="59"/>
      <x:c r="X173" s="59"/>
      <x:c r="Y173" s="59"/>
      <x:c r="Z173" s="59"/>
      <x:c r="AA173" s="59"/>
      <x:c r="AB173" s="59"/>
      <x:c r="AC173" s="59"/>
      <x:c r="AD173" s="59"/>
      <x:c r="AE173" s="59"/>
      <x:c r="AF173" s="59"/>
      <x:c r="AG173" s="59"/>
      <x:c r="AH173" s="59"/>
      <x:c r="AI173" s="59"/>
      <x:c r="AJ173" s="59"/>
      <x:c r="AK173" s="59"/>
      <x:c r="AL173" s="59"/>
      <x:c r="AM173" s="59"/>
      <x:c r="AN173" s="59"/>
    </x:row>
    <x:row r="174">
      <x:c r="A174" s="59"/>
      <x:c r="B174" s="59"/>
      <x:c r="C174" s="59"/>
      <x:c r="D174" s="59"/>
      <x:c r="E174" s="59"/>
      <x:c r="F174" s="59"/>
      <x:c r="G174" s="59"/>
      <x:c r="H174" s="59"/>
      <x:c r="I174" s="59"/>
      <x:c r="J174" s="59"/>
      <x:c r="K174" s="59"/>
      <x:c r="L174" s="59"/>
      <x:c r="M174" s="59"/>
      <x:c r="N174" s="59"/>
      <x:c r="O174" s="59"/>
      <x:c r="P174" s="59"/>
      <x:c r="Q174" s="59"/>
      <x:c r="R174" s="59"/>
      <x:c r="S174" s="59"/>
      <x:c r="T174" s="59"/>
      <x:c r="U174" s="59"/>
      <x:c r="V174" s="59"/>
      <x:c r="W174" s="59"/>
      <x:c r="X174" s="59"/>
      <x:c r="Y174" s="59"/>
      <x:c r="Z174" s="59"/>
      <x:c r="AA174" s="59"/>
      <x:c r="AB174" s="59"/>
      <x:c r="AC174" s="59"/>
      <x:c r="AD174" s="59"/>
      <x:c r="AE174" s="59"/>
      <x:c r="AF174" s="59"/>
      <x:c r="AG174" s="59"/>
      <x:c r="AH174" s="59"/>
      <x:c r="AI174" s="59"/>
      <x:c r="AJ174" s="59"/>
      <x:c r="AK174" s="59"/>
      <x:c r="AL174" s="59"/>
      <x:c r="AM174" s="59"/>
      <x:c r="AN174" s="59"/>
    </x:row>
    <x:row r="175">
      <x:c r="A175" s="59"/>
      <x:c r="B175" s="59"/>
      <x:c r="C175" s="59"/>
      <x:c r="D175" s="59"/>
      <x:c r="E175" s="59"/>
      <x:c r="F175" s="59"/>
      <x:c r="G175" s="59"/>
      <x:c r="H175" s="59"/>
      <x:c r="I175" s="59"/>
      <x:c r="J175" s="59"/>
      <x:c r="K175" s="59"/>
      <x:c r="L175" s="59"/>
      <x:c r="M175" s="59"/>
      <x:c r="N175" s="59"/>
      <x:c r="O175" s="59"/>
      <x:c r="P175" s="59"/>
      <x:c r="Q175" s="59"/>
      <x:c r="R175" s="59"/>
      <x:c r="S175" s="59"/>
      <x:c r="T175" s="59"/>
      <x:c r="U175" s="59"/>
      <x:c r="V175" s="59"/>
      <x:c r="W175" s="59"/>
      <x:c r="X175" s="59"/>
      <x:c r="Y175" s="59"/>
      <x:c r="Z175" s="59"/>
      <x:c r="AA175" s="59"/>
      <x:c r="AB175" s="59"/>
      <x:c r="AC175" s="59"/>
      <x:c r="AD175" s="59"/>
      <x:c r="AE175" s="59"/>
      <x:c r="AF175" s="59"/>
      <x:c r="AG175" s="59"/>
      <x:c r="AH175" s="59"/>
      <x:c r="AI175" s="59"/>
      <x:c r="AJ175" s="59"/>
      <x:c r="AK175" s="59"/>
      <x:c r="AL175" s="59"/>
      <x:c r="AM175" s="59"/>
      <x:c r="AN175" s="59"/>
    </x:row>
    <x:row r="176">
      <x:c r="A176" s="59"/>
      <x:c r="B176" s="59"/>
      <x:c r="C176" s="59"/>
      <x:c r="D176" s="59"/>
      <x:c r="E176" s="59"/>
      <x:c r="F176" s="59"/>
      <x:c r="G176" s="59"/>
      <x:c r="H176" s="59"/>
      <x:c r="I176" s="59"/>
      <x:c r="J176" s="59"/>
      <x:c r="K176" s="59"/>
      <x:c r="L176" s="59"/>
      <x:c r="M176" s="59"/>
      <x:c r="N176" s="59"/>
      <x:c r="O176" s="59"/>
      <x:c r="P176" s="59"/>
      <x:c r="Q176" s="59"/>
      <x:c r="R176" s="59"/>
      <x:c r="S176" s="59"/>
      <x:c r="T176" s="59"/>
      <x:c r="U176" s="59"/>
      <x:c r="V176" s="59"/>
      <x:c r="W176" s="59"/>
      <x:c r="X176" s="59"/>
      <x:c r="Y176" s="59"/>
      <x:c r="Z176" s="59"/>
      <x:c r="AA176" s="59"/>
      <x:c r="AB176" s="59"/>
      <x:c r="AC176" s="59"/>
      <x:c r="AD176" s="59"/>
      <x:c r="AE176" s="59"/>
      <x:c r="AF176" s="59"/>
      <x:c r="AG176" s="59"/>
      <x:c r="AH176" s="59"/>
      <x:c r="AI176" s="59"/>
      <x:c r="AJ176" s="59"/>
      <x:c r="AK176" s="59"/>
      <x:c r="AL176" s="59"/>
      <x:c r="AM176" s="59"/>
      <x:c r="AN176" s="59"/>
    </x:row>
    <x:row r="177">
      <x:c r="A177" s="59"/>
      <x:c r="B177" s="59"/>
      <x:c r="C177" s="59"/>
      <x:c r="D177" s="59"/>
      <x:c r="E177" s="59"/>
      <x:c r="F177" s="59"/>
      <x:c r="G177" s="59"/>
      <x:c r="H177" s="59"/>
      <x:c r="I177" s="59"/>
      <x:c r="J177" s="59"/>
      <x:c r="K177" s="59"/>
      <x:c r="L177" s="59"/>
      <x:c r="M177" s="59"/>
      <x:c r="N177" s="59"/>
      <x:c r="O177" s="59"/>
      <x:c r="P177" s="59"/>
      <x:c r="Q177" s="59"/>
      <x:c r="R177" s="59"/>
      <x:c r="S177" s="59"/>
      <x:c r="T177" s="59"/>
      <x:c r="U177" s="59"/>
      <x:c r="V177" s="59"/>
      <x:c r="W177" s="59"/>
      <x:c r="X177" s="59"/>
      <x:c r="Y177" s="59"/>
      <x:c r="Z177" s="59"/>
      <x:c r="AA177" s="59"/>
      <x:c r="AB177" s="59"/>
      <x:c r="AC177" s="59"/>
      <x:c r="AD177" s="59"/>
      <x:c r="AE177" s="59"/>
      <x:c r="AF177" s="59"/>
      <x:c r="AG177" s="59"/>
      <x:c r="AH177" s="59"/>
      <x:c r="AI177" s="59"/>
      <x:c r="AJ177" s="59"/>
      <x:c r="AK177" s="59"/>
      <x:c r="AL177" s="59"/>
      <x:c r="AM177" s="59"/>
      <x:c r="AN177" s="59"/>
    </x:row>
    <x:row r="178">
      <x:c r="A178" s="59"/>
      <x:c r="B178" s="59"/>
      <x:c r="C178" s="59"/>
      <x:c r="D178" s="59"/>
      <x:c r="E178" s="59"/>
      <x:c r="F178" s="59"/>
      <x:c r="G178" s="59"/>
      <x:c r="H178" s="59"/>
      <x:c r="I178" s="59"/>
      <x:c r="J178" s="59"/>
      <x:c r="K178" s="59"/>
      <x:c r="L178" s="59"/>
      <x:c r="M178" s="59"/>
      <x:c r="N178" s="59"/>
      <x:c r="O178" s="59"/>
      <x:c r="P178" s="59"/>
      <x:c r="Q178" s="59"/>
      <x:c r="R178" s="59"/>
      <x:c r="S178" s="59"/>
      <x:c r="T178" s="59"/>
      <x:c r="U178" s="59"/>
      <x:c r="V178" s="59"/>
      <x:c r="W178" s="59"/>
      <x:c r="X178" s="59"/>
      <x:c r="Y178" s="59"/>
      <x:c r="Z178" s="59"/>
      <x:c r="AA178" s="59"/>
      <x:c r="AB178" s="59"/>
      <x:c r="AC178" s="59"/>
      <x:c r="AD178" s="59"/>
      <x:c r="AE178" s="59"/>
      <x:c r="AF178" s="59"/>
      <x:c r="AG178" s="59"/>
      <x:c r="AH178" s="59"/>
      <x:c r="AI178" s="59"/>
      <x:c r="AJ178" s="59"/>
      <x:c r="AK178" s="59"/>
      <x:c r="AL178" s="59"/>
      <x:c r="AM178" s="59"/>
      <x:c r="AN178" s="59"/>
    </x:row>
    <x:row r="179">
      <x:c r="A179" s="59"/>
      <x:c r="B179" s="59"/>
      <x:c r="C179" s="59"/>
      <x:c r="D179" s="59"/>
      <x:c r="E179" s="59"/>
      <x:c r="F179" s="59"/>
      <x:c r="G179" s="59"/>
      <x:c r="H179" s="59"/>
      <x:c r="I179" s="59"/>
      <x:c r="J179" s="59"/>
      <x:c r="K179" s="59"/>
      <x:c r="L179" s="59"/>
      <x:c r="M179" s="59"/>
      <x:c r="N179" s="59"/>
      <x:c r="O179" s="59"/>
      <x:c r="P179" s="59"/>
      <x:c r="Q179" s="59"/>
      <x:c r="R179" s="59"/>
      <x:c r="S179" s="59"/>
      <x:c r="T179" s="59"/>
      <x:c r="U179" s="59"/>
      <x:c r="V179" s="59"/>
      <x:c r="W179" s="59"/>
      <x:c r="X179" s="59"/>
      <x:c r="Y179" s="59"/>
      <x:c r="Z179" s="59"/>
      <x:c r="AA179" s="59"/>
      <x:c r="AB179" s="59"/>
      <x:c r="AC179" s="59"/>
      <x:c r="AD179" s="59"/>
      <x:c r="AE179" s="59"/>
      <x:c r="AF179" s="59"/>
      <x:c r="AG179" s="59"/>
      <x:c r="AH179" s="59"/>
      <x:c r="AI179" s="59"/>
      <x:c r="AJ179" s="59"/>
      <x:c r="AK179" s="59"/>
      <x:c r="AL179" s="59"/>
      <x:c r="AM179" s="59"/>
      <x:c r="AN179" s="59"/>
    </x:row>
    <x:row r="180">
      <x:c r="A180" s="59"/>
      <x:c r="B180" s="59"/>
      <x:c r="C180" s="59"/>
      <x:c r="D180" s="59"/>
      <x:c r="E180" s="59"/>
      <x:c r="F180" s="59"/>
      <x:c r="G180" s="59"/>
      <x:c r="H180" s="59"/>
      <x:c r="I180" s="59"/>
      <x:c r="J180" s="59"/>
      <x:c r="K180" s="59"/>
      <x:c r="L180" s="59"/>
      <x:c r="M180" s="59"/>
      <x:c r="N180" s="59"/>
      <x:c r="O180" s="59"/>
      <x:c r="P180" s="59"/>
      <x:c r="Q180" s="59"/>
      <x:c r="R180" s="59"/>
      <x:c r="S180" s="59"/>
      <x:c r="T180" s="59"/>
      <x:c r="U180" s="59"/>
      <x:c r="V180" s="59"/>
      <x:c r="W180" s="59"/>
      <x:c r="X180" s="59"/>
      <x:c r="Y180" s="59"/>
      <x:c r="Z180" s="59"/>
      <x:c r="AA180" s="59"/>
      <x:c r="AB180" s="59"/>
      <x:c r="AC180" s="59"/>
      <x:c r="AD180" s="59"/>
      <x:c r="AE180" s="59"/>
      <x:c r="AF180" s="59"/>
      <x:c r="AG180" s="59"/>
      <x:c r="AH180" s="59"/>
      <x:c r="AI180" s="59"/>
      <x:c r="AJ180" s="59"/>
      <x:c r="AK180" s="59"/>
      <x:c r="AL180" s="59"/>
      <x:c r="AM180" s="59"/>
      <x:c r="AN180" s="59"/>
    </x:row>
    <x:row r="181">
      <x:c r="A181" s="59"/>
      <x:c r="B181" s="59"/>
      <x:c r="C181" s="59"/>
      <x:c r="D181" s="59"/>
      <x:c r="E181" s="59"/>
      <x:c r="F181" s="59"/>
      <x:c r="G181" s="59"/>
      <x:c r="H181" s="59"/>
      <x:c r="I181" s="59"/>
      <x:c r="J181" s="59"/>
      <x:c r="K181" s="59"/>
      <x:c r="L181" s="59"/>
      <x:c r="M181" s="59"/>
      <x:c r="N181" s="59"/>
      <x:c r="O181" s="59"/>
      <x:c r="P181" s="59"/>
      <x:c r="Q181" s="59"/>
      <x:c r="R181" s="59"/>
      <x:c r="S181" s="59"/>
      <x:c r="T181" s="59"/>
      <x:c r="U181" s="59"/>
      <x:c r="V181" s="59"/>
      <x:c r="W181" s="59"/>
      <x:c r="X181" s="59"/>
      <x:c r="Y181" s="59"/>
      <x:c r="Z181" s="59"/>
      <x:c r="AA181" s="59"/>
      <x:c r="AB181" s="59"/>
      <x:c r="AC181" s="59"/>
      <x:c r="AD181" s="59"/>
      <x:c r="AE181" s="59"/>
      <x:c r="AF181" s="59"/>
      <x:c r="AG181" s="59"/>
      <x:c r="AH181" s="59"/>
      <x:c r="AI181" s="59"/>
      <x:c r="AJ181" s="59"/>
      <x:c r="AK181" s="59"/>
      <x:c r="AL181" s="59"/>
      <x:c r="AM181" s="59"/>
      <x:c r="AN181" s="59"/>
    </x:row>
    <x:row r="182">
      <x:c r="A182" s="59"/>
      <x:c r="B182" s="59"/>
      <x:c r="C182" s="59"/>
      <x:c r="D182" s="59"/>
      <x:c r="E182" s="59"/>
      <x:c r="F182" s="59"/>
      <x:c r="G182" s="59"/>
      <x:c r="H182" s="59"/>
      <x:c r="I182" s="59"/>
      <x:c r="J182" s="59"/>
      <x:c r="K182" s="59"/>
      <x:c r="L182" s="59"/>
      <x:c r="M182" s="59"/>
      <x:c r="N182" s="59"/>
      <x:c r="O182" s="59"/>
      <x:c r="P182" s="59"/>
      <x:c r="Q182" s="59"/>
      <x:c r="R182" s="59"/>
      <x:c r="S182" s="59"/>
      <x:c r="T182" s="59"/>
      <x:c r="U182" s="59"/>
      <x:c r="V182" s="59"/>
      <x:c r="W182" s="59"/>
      <x:c r="X182" s="59"/>
      <x:c r="Y182" s="59"/>
      <x:c r="Z182" s="59"/>
      <x:c r="AA182" s="59"/>
      <x:c r="AB182" s="59"/>
      <x:c r="AC182" s="59"/>
      <x:c r="AD182" s="59"/>
      <x:c r="AE182" s="59"/>
      <x:c r="AF182" s="59"/>
      <x:c r="AG182" s="59"/>
      <x:c r="AH182" s="59"/>
      <x:c r="AI182" s="59"/>
      <x:c r="AJ182" s="59"/>
      <x:c r="AK182" s="59"/>
      <x:c r="AL182" s="59"/>
      <x:c r="AM182" s="59"/>
      <x:c r="AN182" s="59"/>
    </x:row>
    <x:row r="183">
      <x:c r="A183" s="59"/>
      <x:c r="B183" s="59"/>
      <x:c r="C183" s="59"/>
      <x:c r="D183" s="59"/>
      <x:c r="E183" s="59"/>
      <x:c r="F183" s="59"/>
      <x:c r="G183" s="59"/>
      <x:c r="H183" s="59"/>
      <x:c r="I183" s="59"/>
      <x:c r="J183" s="59"/>
      <x:c r="K183" s="59"/>
      <x:c r="L183" s="59"/>
      <x:c r="M183" s="59"/>
      <x:c r="N183" s="59"/>
      <x:c r="O183" s="59"/>
      <x:c r="P183" s="59"/>
      <x:c r="Q183" s="59"/>
      <x:c r="R183" s="59"/>
      <x:c r="S183" s="59"/>
      <x:c r="T183" s="59"/>
      <x:c r="U183" s="59"/>
      <x:c r="V183" s="59"/>
      <x:c r="W183" s="59"/>
      <x:c r="X183" s="59"/>
      <x:c r="Y183" s="59"/>
      <x:c r="Z183" s="59"/>
      <x:c r="AA183" s="59"/>
      <x:c r="AB183" s="59"/>
      <x:c r="AC183" s="59"/>
      <x:c r="AD183" s="59"/>
      <x:c r="AE183" s="59"/>
      <x:c r="AF183" s="59"/>
      <x:c r="AG183" s="59"/>
      <x:c r="AH183" s="59"/>
      <x:c r="AI183" s="59"/>
      <x:c r="AJ183" s="59"/>
      <x:c r="AK183" s="59"/>
      <x:c r="AL183" s="59"/>
      <x:c r="AM183" s="59"/>
      <x:c r="AN183" s="59"/>
    </x:row>
    <x:row r="184">
      <x:c r="A184" s="59"/>
      <x:c r="B184" s="59"/>
      <x:c r="C184" s="59"/>
      <x:c r="D184" s="59"/>
      <x:c r="E184" s="59"/>
      <x:c r="F184" s="59"/>
      <x:c r="G184" s="59"/>
      <x:c r="H184" s="59"/>
      <x:c r="I184" s="59"/>
      <x:c r="J184" s="59"/>
      <x:c r="K184" s="59"/>
      <x:c r="L184" s="59"/>
      <x:c r="M184" s="59"/>
      <x:c r="N184" s="59"/>
      <x:c r="O184" s="59"/>
      <x:c r="P184" s="59"/>
      <x:c r="Q184" s="59"/>
      <x:c r="R184" s="59"/>
      <x:c r="S184" s="59"/>
      <x:c r="T184" s="59"/>
      <x:c r="U184" s="59"/>
      <x:c r="V184" s="59"/>
      <x:c r="W184" s="59"/>
      <x:c r="X184" s="59"/>
      <x:c r="Y184" s="59"/>
      <x:c r="Z184" s="59"/>
      <x:c r="AA184" s="59"/>
      <x:c r="AB184" s="59"/>
      <x:c r="AC184" s="59"/>
      <x:c r="AD184" s="59"/>
      <x:c r="AE184" s="59"/>
      <x:c r="AF184" s="59"/>
      <x:c r="AG184" s="59"/>
      <x:c r="AH184" s="59"/>
      <x:c r="AI184" s="59"/>
      <x:c r="AJ184" s="59"/>
      <x:c r="AK184" s="59"/>
      <x:c r="AL184" s="59"/>
      <x:c r="AM184" s="59"/>
      <x:c r="AN184" s="59"/>
    </x:row>
    <x:row r="185">
      <x:c r="A185" s="59"/>
      <x:c r="B185" s="59"/>
      <x:c r="C185" s="59"/>
      <x:c r="D185" s="59"/>
      <x:c r="E185" s="59"/>
      <x:c r="F185" s="59"/>
      <x:c r="G185" s="59"/>
      <x:c r="H185" s="59"/>
      <x:c r="I185" s="59"/>
      <x:c r="J185" s="59"/>
      <x:c r="K185" s="59"/>
      <x:c r="L185" s="59"/>
      <x:c r="M185" s="59"/>
      <x:c r="N185" s="59"/>
      <x:c r="O185" s="59"/>
      <x:c r="P185" s="59"/>
      <x:c r="Q185" s="59"/>
      <x:c r="R185" s="59"/>
      <x:c r="S185" s="59"/>
      <x:c r="T185" s="59"/>
      <x:c r="U185" s="59"/>
      <x:c r="V185" s="59"/>
      <x:c r="W185" s="59"/>
      <x:c r="X185" s="59"/>
      <x:c r="Y185" s="59"/>
      <x:c r="Z185" s="59"/>
      <x:c r="AA185" s="59"/>
      <x:c r="AB185" s="59"/>
      <x:c r="AC185" s="59"/>
      <x:c r="AD185" s="59"/>
      <x:c r="AE185" s="59"/>
      <x:c r="AF185" s="59"/>
      <x:c r="AG185" s="59"/>
      <x:c r="AH185" s="59"/>
      <x:c r="AI185" s="59"/>
      <x:c r="AJ185" s="59"/>
      <x:c r="AK185" s="59"/>
      <x:c r="AL185" s="59"/>
      <x:c r="AM185" s="59"/>
      <x:c r="AN185" s="59"/>
    </x:row>
    <x:row r="186">
      <x:c r="A186" s="59"/>
      <x:c r="B186" s="59"/>
      <x:c r="C186" s="59"/>
      <x:c r="D186" s="59"/>
      <x:c r="E186" s="59"/>
      <x:c r="F186" s="59"/>
      <x:c r="G186" s="59"/>
      <x:c r="H186" s="59"/>
      <x:c r="I186" s="59"/>
      <x:c r="J186" s="59"/>
      <x:c r="K186" s="59"/>
      <x:c r="L186" s="59"/>
      <x:c r="M186" s="59"/>
      <x:c r="N186" s="59"/>
      <x:c r="O186" s="59"/>
      <x:c r="P186" s="59"/>
      <x:c r="Q186" s="59"/>
      <x:c r="R186" s="59"/>
      <x:c r="S186" s="59"/>
      <x:c r="T186" s="59"/>
      <x:c r="U186" s="59"/>
      <x:c r="V186" s="59"/>
      <x:c r="W186" s="59"/>
      <x:c r="X186" s="59"/>
      <x:c r="Y186" s="59"/>
      <x:c r="Z186" s="59"/>
      <x:c r="AA186" s="59"/>
      <x:c r="AB186" s="59"/>
      <x:c r="AC186" s="59"/>
      <x:c r="AD186" s="59"/>
      <x:c r="AE186" s="59"/>
      <x:c r="AF186" s="59"/>
      <x:c r="AG186" s="59"/>
      <x:c r="AH186" s="59"/>
      <x:c r="AI186" s="59"/>
      <x:c r="AJ186" s="59"/>
      <x:c r="AK186" s="59"/>
      <x:c r="AL186" s="59"/>
      <x:c r="AM186" s="59"/>
      <x:c r="AN186" s="59"/>
    </x:row>
    <x:row r="187">
      <x:c r="A187" s="59"/>
      <x:c r="B187" s="59"/>
      <x:c r="C187" s="59"/>
      <x:c r="D187" s="59"/>
      <x:c r="E187" s="59"/>
      <x:c r="F187" s="59"/>
      <x:c r="G187" s="59"/>
      <x:c r="H187" s="59"/>
      <x:c r="I187" s="59"/>
      <x:c r="J187" s="59"/>
      <x:c r="K187" s="59"/>
      <x:c r="L187" s="59"/>
      <x:c r="M187" s="59"/>
      <x:c r="N187" s="59"/>
      <x:c r="O187" s="59"/>
      <x:c r="P187" s="59"/>
      <x:c r="Q187" s="59"/>
      <x:c r="R187" s="59"/>
      <x:c r="S187" s="59"/>
      <x:c r="T187" s="59"/>
      <x:c r="U187" s="59"/>
      <x:c r="V187" s="59"/>
      <x:c r="W187" s="59"/>
      <x:c r="X187" s="59"/>
      <x:c r="Y187" s="59"/>
      <x:c r="Z187" s="59"/>
      <x:c r="AA187" s="59"/>
      <x:c r="AB187" s="59"/>
      <x:c r="AC187" s="59"/>
      <x:c r="AD187" s="59"/>
      <x:c r="AE187" s="59"/>
      <x:c r="AF187" s="59"/>
      <x:c r="AG187" s="59"/>
      <x:c r="AH187" s="59"/>
      <x:c r="AI187" s="59"/>
      <x:c r="AJ187" s="59"/>
      <x:c r="AK187" s="59"/>
      <x:c r="AL187" s="59"/>
      <x:c r="AM187" s="59"/>
      <x:c r="AN187" s="59"/>
    </x:row>
    <x:row r="188">
      <x:c r="A188" s="59"/>
      <x:c r="B188" s="59"/>
      <x:c r="C188" s="59"/>
      <x:c r="D188" s="59"/>
      <x:c r="E188" s="59"/>
      <x:c r="F188" s="59"/>
      <x:c r="G188" s="59"/>
      <x:c r="H188" s="59"/>
      <x:c r="I188" s="59"/>
      <x:c r="J188" s="59"/>
      <x:c r="K188" s="59"/>
      <x:c r="L188" s="59"/>
      <x:c r="M188" s="59"/>
      <x:c r="N188" s="59"/>
      <x:c r="O188" s="59"/>
      <x:c r="P188" s="59"/>
      <x:c r="Q188" s="59"/>
      <x:c r="R188" s="59"/>
      <x:c r="S188" s="59"/>
      <x:c r="T188" s="59"/>
      <x:c r="U188" s="59"/>
      <x:c r="V188" s="59"/>
      <x:c r="W188" s="59"/>
      <x:c r="X188" s="59"/>
      <x:c r="Y188" s="59"/>
      <x:c r="Z188" s="59"/>
      <x:c r="AA188" s="59"/>
      <x:c r="AB188" s="59"/>
      <x:c r="AC188" s="59"/>
      <x:c r="AD188" s="59"/>
      <x:c r="AE188" s="59"/>
      <x:c r="AF188" s="59"/>
      <x:c r="AG188" s="59"/>
      <x:c r="AH188" s="59"/>
      <x:c r="AI188" s="59"/>
      <x:c r="AJ188" s="59"/>
      <x:c r="AK188" s="59"/>
      <x:c r="AL188" s="59"/>
      <x:c r="AM188" s="59"/>
      <x:c r="AN188" s="59"/>
    </x:row>
    <x:row r="189">
      <x:c r="A189" s="59"/>
      <x:c r="B189" s="59"/>
      <x:c r="C189" s="59"/>
      <x:c r="D189" s="59"/>
      <x:c r="E189" s="59"/>
      <x:c r="F189" s="59"/>
      <x:c r="G189" s="59"/>
      <x:c r="H189" s="59"/>
      <x:c r="I189" s="59"/>
      <x:c r="J189" s="59"/>
      <x:c r="K189" s="59"/>
      <x:c r="L189" s="59"/>
      <x:c r="M189" s="59"/>
      <x:c r="N189" s="59"/>
      <x:c r="O189" s="59"/>
      <x:c r="P189" s="59"/>
      <x:c r="Q189" s="59"/>
      <x:c r="R189" s="59"/>
      <x:c r="S189" s="59"/>
      <x:c r="T189" s="59"/>
      <x:c r="U189" s="59"/>
      <x:c r="V189" s="59"/>
      <x:c r="W189" s="59"/>
      <x:c r="X189" s="59"/>
      <x:c r="Y189" s="59"/>
      <x:c r="Z189" s="59"/>
      <x:c r="AA189" s="59"/>
      <x:c r="AB189" s="59"/>
      <x:c r="AC189" s="59"/>
      <x:c r="AD189" s="59"/>
      <x:c r="AE189" s="59"/>
      <x:c r="AF189" s="59"/>
      <x:c r="AG189" s="59"/>
      <x:c r="AH189" s="59"/>
      <x:c r="AI189" s="59"/>
      <x:c r="AJ189" s="59"/>
      <x:c r="AK189" s="59"/>
      <x:c r="AL189" s="59"/>
      <x:c r="AM189" s="59"/>
      <x:c r="AN189" s="59"/>
    </x:row>
    <x:row r="190">
      <x:c r="A190" s="59"/>
      <x:c r="B190" s="59"/>
      <x:c r="C190" s="59"/>
      <x:c r="D190" s="59"/>
      <x:c r="E190" s="59"/>
      <x:c r="F190" s="59"/>
      <x:c r="G190" s="59"/>
      <x:c r="H190" s="59"/>
      <x:c r="I190" s="59"/>
      <x:c r="J190" s="59"/>
      <x:c r="K190" s="59"/>
      <x:c r="L190" s="59"/>
      <x:c r="M190" s="59"/>
      <x:c r="N190" s="59"/>
      <x:c r="O190" s="59"/>
      <x:c r="P190" s="59"/>
      <x:c r="Q190" s="59"/>
      <x:c r="R190" s="59"/>
      <x:c r="S190" s="59"/>
      <x:c r="T190" s="59"/>
      <x:c r="U190" s="59"/>
      <x:c r="V190" s="59"/>
      <x:c r="W190" s="59"/>
      <x:c r="X190" s="59"/>
      <x:c r="Y190" s="59"/>
      <x:c r="Z190" s="59"/>
      <x:c r="AA190" s="59"/>
      <x:c r="AB190" s="59"/>
      <x:c r="AC190" s="59"/>
      <x:c r="AD190" s="59"/>
      <x:c r="AE190" s="59"/>
      <x:c r="AF190" s="59"/>
      <x:c r="AG190" s="59"/>
      <x:c r="AH190" s="59"/>
      <x:c r="AI190" s="59"/>
      <x:c r="AJ190" s="59"/>
      <x:c r="AK190" s="59"/>
      <x:c r="AL190" s="59"/>
      <x:c r="AM190" s="59"/>
      <x:c r="AN190" s="59"/>
    </x:row>
    <x:row r="191">
      <x:c r="A191" s="59"/>
      <x:c r="B191" s="59"/>
      <x:c r="C191" s="59"/>
      <x:c r="D191" s="59"/>
      <x:c r="E191" s="59"/>
      <x:c r="F191" s="59"/>
      <x:c r="G191" s="59"/>
      <x:c r="H191" s="59"/>
      <x:c r="I191" s="59"/>
      <x:c r="J191" s="59"/>
      <x:c r="K191" s="59"/>
      <x:c r="L191" s="59"/>
      <x:c r="M191" s="59"/>
      <x:c r="N191" s="59"/>
      <x:c r="O191" s="59"/>
      <x:c r="P191" s="59"/>
      <x:c r="Q191" s="59"/>
      <x:c r="R191" s="59"/>
      <x:c r="S191" s="59"/>
      <x:c r="T191" s="59"/>
      <x:c r="U191" s="59"/>
      <x:c r="V191" s="59"/>
      <x:c r="W191" s="59"/>
      <x:c r="X191" s="59"/>
      <x:c r="Y191" s="59"/>
      <x:c r="Z191" s="59"/>
      <x:c r="AA191" s="59"/>
      <x:c r="AB191" s="59"/>
      <x:c r="AC191" s="59"/>
      <x:c r="AD191" s="59"/>
      <x:c r="AE191" s="59"/>
      <x:c r="AF191" s="59"/>
      <x:c r="AG191" s="59"/>
      <x:c r="AH191" s="59"/>
      <x:c r="AI191" s="59"/>
      <x:c r="AJ191" s="59"/>
      <x:c r="AK191" s="59"/>
      <x:c r="AL191" s="59"/>
      <x:c r="AM191" s="59"/>
      <x:c r="AN191" s="59"/>
    </x:row>
    <x:row r="192">
      <x:c r="A192" s="59"/>
      <x:c r="B192" s="59"/>
      <x:c r="C192" s="59"/>
      <x:c r="D192" s="59"/>
      <x:c r="E192" s="59"/>
      <x:c r="F192" s="59"/>
      <x:c r="G192" s="59"/>
      <x:c r="H192" s="59"/>
      <x:c r="I192" s="59"/>
      <x:c r="J192" s="59"/>
      <x:c r="K192" s="59"/>
      <x:c r="L192" s="59"/>
      <x:c r="M192" s="59"/>
      <x:c r="N192" s="59"/>
      <x:c r="O192" s="59"/>
      <x:c r="P192" s="59"/>
      <x:c r="Q192" s="59"/>
      <x:c r="R192" s="59"/>
      <x:c r="S192" s="59"/>
      <x:c r="T192" s="59"/>
      <x:c r="U192" s="59"/>
      <x:c r="V192" s="59"/>
      <x:c r="W192" s="59"/>
      <x:c r="X192" s="59"/>
      <x:c r="Y192" s="59"/>
      <x:c r="Z192" s="59"/>
      <x:c r="AA192" s="59"/>
      <x:c r="AB192" s="59"/>
      <x:c r="AC192" s="59"/>
      <x:c r="AD192" s="59"/>
      <x:c r="AE192" s="59"/>
      <x:c r="AF192" s="59"/>
      <x:c r="AG192" s="59"/>
      <x:c r="AH192" s="59"/>
      <x:c r="AI192" s="59"/>
      <x:c r="AJ192" s="59"/>
      <x:c r="AK192" s="59"/>
      <x:c r="AL192" s="59"/>
      <x:c r="AM192" s="59"/>
      <x:c r="AN192" s="59"/>
    </x:row>
    <x:row r="193">
      <x:c r="A193" s="59"/>
      <x:c r="B193" s="59"/>
      <x:c r="C193" s="59"/>
      <x:c r="D193" s="59"/>
      <x:c r="E193" s="59"/>
      <x:c r="F193" s="59"/>
      <x:c r="G193" s="59"/>
      <x:c r="H193" s="59"/>
      <x:c r="I193" s="59"/>
      <x:c r="J193" s="59"/>
      <x:c r="K193" s="59"/>
      <x:c r="L193" s="59"/>
      <x:c r="M193" s="59"/>
      <x:c r="N193" s="59"/>
      <x:c r="O193" s="59"/>
      <x:c r="P193" s="59"/>
      <x:c r="Q193" s="59"/>
      <x:c r="R193" s="59"/>
      <x:c r="S193" s="59"/>
      <x:c r="T193" s="59"/>
      <x:c r="U193" s="59"/>
      <x:c r="V193" s="59"/>
      <x:c r="W193" s="59"/>
      <x:c r="X193" s="59"/>
      <x:c r="Y193" s="59"/>
      <x:c r="Z193" s="59"/>
      <x:c r="AA193" s="59"/>
      <x:c r="AB193" s="59"/>
      <x:c r="AC193" s="59"/>
      <x:c r="AD193" s="59"/>
      <x:c r="AE193" s="59"/>
      <x:c r="AF193" s="59"/>
      <x:c r="AG193" s="59"/>
      <x:c r="AH193" s="59"/>
      <x:c r="AI193" s="59"/>
      <x:c r="AJ193" s="59"/>
      <x:c r="AK193" s="59"/>
      <x:c r="AL193" s="59"/>
      <x:c r="AM193" s="59"/>
      <x:c r="AN193" s="59"/>
    </x:row>
    <x:row r="194">
      <x:c r="A194" s="59"/>
      <x:c r="B194" s="59"/>
      <x:c r="C194" s="59"/>
      <x:c r="D194" s="59"/>
      <x:c r="E194" s="59"/>
      <x:c r="F194" s="59"/>
      <x:c r="G194" s="59"/>
      <x:c r="H194" s="59"/>
      <x:c r="I194" s="59"/>
      <x:c r="J194" s="59"/>
      <x:c r="K194" s="59"/>
      <x:c r="L194" s="59"/>
      <x:c r="M194" s="59"/>
      <x:c r="N194" s="59"/>
      <x:c r="O194" s="59"/>
      <x:c r="P194" s="59"/>
      <x:c r="Q194" s="59"/>
      <x:c r="R194" s="59"/>
      <x:c r="S194" s="59"/>
      <x:c r="T194" s="59"/>
      <x:c r="U194" s="59"/>
      <x:c r="V194" s="59"/>
      <x:c r="W194" s="59"/>
      <x:c r="X194" s="59"/>
      <x:c r="Y194" s="59"/>
      <x:c r="Z194" s="59"/>
      <x:c r="AA194" s="59"/>
      <x:c r="AB194" s="59"/>
      <x:c r="AC194" s="59"/>
      <x:c r="AD194" s="59"/>
      <x:c r="AE194" s="59"/>
      <x:c r="AF194" s="59"/>
      <x:c r="AG194" s="59"/>
      <x:c r="AH194" s="59"/>
      <x:c r="AI194" s="59"/>
      <x:c r="AJ194" s="59"/>
      <x:c r="AK194" s="59"/>
      <x:c r="AL194" s="59"/>
      <x:c r="AM194" s="59"/>
      <x:c r="AN194" s="59"/>
    </x:row>
    <x:row r="195">
      <x:c r="A195" s="59"/>
      <x:c r="B195" s="59"/>
      <x:c r="C195" s="59"/>
      <x:c r="D195" s="59"/>
      <x:c r="E195" s="59"/>
      <x:c r="F195" s="59"/>
      <x:c r="G195" s="59"/>
      <x:c r="H195" s="59"/>
      <x:c r="I195" s="59"/>
      <x:c r="J195" s="59"/>
      <x:c r="K195" s="59"/>
      <x:c r="L195" s="59"/>
      <x:c r="M195" s="59"/>
      <x:c r="N195" s="59"/>
      <x:c r="O195" s="59"/>
      <x:c r="P195" s="59"/>
      <x:c r="Q195" s="59"/>
      <x:c r="R195" s="59"/>
      <x:c r="S195" s="59"/>
      <x:c r="T195" s="59"/>
      <x:c r="U195" s="59"/>
      <x:c r="V195" s="59"/>
      <x:c r="W195" s="59"/>
      <x:c r="X195" s="59"/>
      <x:c r="Y195" s="59"/>
      <x:c r="Z195" s="59"/>
      <x:c r="AA195" s="59"/>
      <x:c r="AB195" s="59"/>
      <x:c r="AC195" s="59"/>
      <x:c r="AD195" s="59"/>
      <x:c r="AE195" s="59"/>
      <x:c r="AF195" s="59"/>
      <x:c r="AG195" s="59"/>
      <x:c r="AH195" s="59"/>
      <x:c r="AI195" s="59"/>
      <x:c r="AJ195" s="59"/>
      <x:c r="AK195" s="59"/>
      <x:c r="AL195" s="59"/>
      <x:c r="AM195" s="59"/>
      <x:c r="AN195" s="59"/>
    </x:row>
    <x:row r="196">
      <x:c r="A196" s="59"/>
      <x:c r="B196" s="59"/>
      <x:c r="C196" s="59"/>
      <x:c r="D196" s="59"/>
      <x:c r="E196" s="59"/>
      <x:c r="F196" s="59"/>
      <x:c r="G196" s="59"/>
      <x:c r="H196" s="59"/>
      <x:c r="I196" s="59"/>
      <x:c r="J196" s="59"/>
      <x:c r="K196" s="59"/>
      <x:c r="L196" s="59"/>
      <x:c r="M196" s="59"/>
      <x:c r="N196" s="59"/>
      <x:c r="O196" s="59"/>
      <x:c r="P196" s="59"/>
      <x:c r="Q196" s="59"/>
      <x:c r="R196" s="59"/>
      <x:c r="S196" s="59"/>
      <x:c r="T196" s="59"/>
      <x:c r="U196" s="59"/>
      <x:c r="V196" s="59"/>
      <x:c r="W196" s="59"/>
      <x:c r="X196" s="59"/>
      <x:c r="Y196" s="59"/>
      <x:c r="Z196" s="59"/>
      <x:c r="AA196" s="59"/>
      <x:c r="AB196" s="59"/>
      <x:c r="AC196" s="59"/>
      <x:c r="AD196" s="59"/>
      <x:c r="AE196" s="59"/>
      <x:c r="AF196" s="59"/>
      <x:c r="AG196" s="59"/>
      <x:c r="AH196" s="59"/>
      <x:c r="AI196" s="59"/>
      <x:c r="AJ196" s="59"/>
      <x:c r="AK196" s="59"/>
      <x:c r="AL196" s="59"/>
      <x:c r="AM196" s="59"/>
      <x:c r="AN196" s="59"/>
    </x:row>
    <x:row r="197">
      <x:c r="A197" s="59"/>
      <x:c r="B197" s="59"/>
      <x:c r="C197" s="59"/>
      <x:c r="D197" s="59"/>
      <x:c r="E197" s="59"/>
      <x:c r="F197" s="59"/>
      <x:c r="G197" s="59"/>
      <x:c r="H197" s="59"/>
      <x:c r="I197" s="59"/>
      <x:c r="J197" s="59"/>
      <x:c r="K197" s="59"/>
      <x:c r="L197" s="59"/>
      <x:c r="M197" s="59"/>
      <x:c r="N197" s="59"/>
      <x:c r="O197" s="59"/>
      <x:c r="P197" s="59"/>
      <x:c r="Q197" s="59"/>
      <x:c r="R197" s="59"/>
      <x:c r="S197" s="59"/>
      <x:c r="T197" s="59"/>
      <x:c r="U197" s="59"/>
      <x:c r="V197" s="59"/>
      <x:c r="W197" s="59"/>
      <x:c r="X197" s="59"/>
      <x:c r="Y197" s="59"/>
      <x:c r="Z197" s="59"/>
      <x:c r="AA197" s="59"/>
      <x:c r="AB197" s="59"/>
      <x:c r="AC197" s="59"/>
      <x:c r="AD197" s="59"/>
      <x:c r="AE197" s="59"/>
      <x:c r="AF197" s="59"/>
      <x:c r="AG197" s="59"/>
      <x:c r="AH197" s="59"/>
      <x:c r="AI197" s="59"/>
      <x:c r="AJ197" s="59"/>
      <x:c r="AK197" s="59"/>
      <x:c r="AL197" s="59"/>
      <x:c r="AM197" s="59"/>
      <x:c r="AN197" s="59"/>
    </x:row>
    <x:row r="198">
      <x:c r="A198" s="59"/>
      <x:c r="B198" s="59"/>
      <x:c r="C198" s="59"/>
      <x:c r="D198" s="59"/>
      <x:c r="E198" s="59"/>
      <x:c r="F198" s="59"/>
      <x:c r="G198" s="59"/>
      <x:c r="H198" s="59"/>
      <x:c r="I198" s="59"/>
      <x:c r="J198" s="59"/>
      <x:c r="K198" s="59"/>
      <x:c r="L198" s="59"/>
      <x:c r="M198" s="59"/>
      <x:c r="N198" s="59"/>
      <x:c r="O198" s="59"/>
      <x:c r="P198" s="59"/>
      <x:c r="Q198" s="59"/>
      <x:c r="R198" s="59"/>
      <x:c r="S198" s="59"/>
      <x:c r="T198" s="59"/>
      <x:c r="U198" s="59"/>
      <x:c r="V198" s="59"/>
      <x:c r="W198" s="59"/>
      <x:c r="X198" s="59"/>
      <x:c r="Y198" s="59"/>
      <x:c r="Z198" s="59"/>
      <x:c r="AA198" s="59"/>
      <x:c r="AB198" s="59"/>
      <x:c r="AC198" s="59"/>
      <x:c r="AD198" s="59"/>
      <x:c r="AE198" s="59"/>
      <x:c r="AF198" s="59"/>
      <x:c r="AG198" s="59"/>
      <x:c r="AH198" s="59"/>
      <x:c r="AI198" s="59"/>
      <x:c r="AJ198" s="59"/>
      <x:c r="AK198" s="59"/>
      <x:c r="AL198" s="59"/>
      <x:c r="AM198" s="59"/>
      <x:c r="AN198" s="59"/>
    </x:row>
    <x:row r="199">
      <x:c r="A199" s="59"/>
      <x:c r="B199" s="59"/>
      <x:c r="C199" s="59"/>
      <x:c r="D199" s="59"/>
      <x:c r="E199" s="59"/>
      <x:c r="F199" s="59"/>
      <x:c r="G199" s="59"/>
      <x:c r="H199" s="59"/>
      <x:c r="I199" s="59"/>
      <x:c r="J199" s="59"/>
      <x:c r="K199" s="59"/>
      <x:c r="L199" s="59"/>
      <x:c r="M199" s="59"/>
      <x:c r="N199" s="59"/>
      <x:c r="O199" s="59"/>
      <x:c r="P199" s="59"/>
      <x:c r="Q199" s="59"/>
      <x:c r="R199" s="59"/>
      <x:c r="S199" s="59"/>
      <x:c r="T199" s="59"/>
      <x:c r="U199" s="59"/>
      <x:c r="V199" s="59"/>
      <x:c r="W199" s="59"/>
      <x:c r="X199" s="59"/>
      <x:c r="Y199" s="59"/>
      <x:c r="Z199" s="59"/>
      <x:c r="AA199" s="59"/>
      <x:c r="AB199" s="59"/>
      <x:c r="AC199" s="59"/>
      <x:c r="AD199" s="59"/>
      <x:c r="AE199" s="59"/>
      <x:c r="AF199" s="59"/>
      <x:c r="AG199" s="59"/>
      <x:c r="AH199" s="59"/>
      <x:c r="AI199" s="59"/>
      <x:c r="AJ199" s="59"/>
      <x:c r="AK199" s="59"/>
      <x:c r="AL199" s="59"/>
      <x:c r="AM199" s="59"/>
      <x:c r="AN199" s="59"/>
    </x:row>
    <x:row r="200">
      <x:c r="A200" s="59"/>
      <x:c r="B200" s="59"/>
      <x:c r="C200" s="59"/>
      <x:c r="D200" s="59"/>
      <x:c r="E200" s="59"/>
      <x:c r="F200" s="59"/>
      <x:c r="G200" s="59"/>
      <x:c r="H200" s="59"/>
      <x:c r="I200" s="59"/>
      <x:c r="J200" s="59"/>
      <x:c r="K200" s="59"/>
      <x:c r="L200" s="59"/>
      <x:c r="M200" s="59"/>
      <x:c r="N200" s="59"/>
      <x:c r="O200" s="59"/>
      <x:c r="P200" s="59"/>
      <x:c r="Q200" s="59"/>
      <x:c r="R200" s="59"/>
      <x:c r="S200" s="59"/>
      <x:c r="T200" s="59"/>
      <x:c r="U200" s="59"/>
      <x:c r="V200" s="59"/>
      <x:c r="W200" s="59"/>
      <x:c r="X200" s="59"/>
      <x:c r="Y200" s="59"/>
      <x:c r="Z200" s="59"/>
      <x:c r="AA200" s="59"/>
      <x:c r="AB200" s="59"/>
      <x:c r="AC200" s="59"/>
      <x:c r="AD200" s="59"/>
      <x:c r="AE200" s="59"/>
      <x:c r="AF200" s="59"/>
      <x:c r="AG200" s="59"/>
      <x:c r="AH200" s="59"/>
      <x:c r="AI200" s="59"/>
      <x:c r="AJ200" s="59"/>
      <x:c r="AK200" s="59"/>
      <x:c r="AL200" s="59"/>
      <x:c r="AM200" s="59"/>
      <x:c r="AN200" s="59"/>
    </x:row>
  </x:sheetData>
  <x:conditionalFormatting sqref="X2:X121">
    <x:cfRule type="colorScale" priority="1">
      <x:colorScale>
        <x:cfvo type="min"/>
        <x:cfvo type="percentile" val="50"/>
        <x:cfvo type="max"/>
        <x:color rgb="FEE2E2"/>
        <x:color rgb="FEF3C7"/>
        <x:color rgb="DCFCE7"/>
      </x:colorScale>
    </x:cfRule>
  </x:conditionalFormatting>
  <x:conditionalFormatting sqref="AF2:AF121">
    <x:cfRule type="cellIs" dxfId="0" priority="2" operator="greaterThan">
      <x:formula>0</x:formula>
    </x:cfRule>
  </x:conditionalFormatting>
  <x:conditionalFormatting sqref="AG2:AI121">
    <x:cfRule type="expression" dxfId="1" priority="3">
      <x:formula>AG2="Compliant"</x:formula>
    </x:cfRule>
    <x:cfRule type="expression" dxfId="2" priority="4">
      <x:formula>AG2="Meets CSA Level"</x:formula>
    </x:cfRule>
    <x:cfRule type="expression" dxfId="3" priority="5">
      <x:formula>AG2="Partially Compliant"</x:formula>
    </x:cfRule>
    <x:cfRule type="expression" dxfId="4" priority="6">
      <x:formula>AG2="Not Compliant"</x:formula>
    </x:cfRule>
    <x:cfRule type="expression" dxfId="5" priority="7">
      <x:formula>AG2="Gap to CSA Level"</x:formula>
    </x:cfRule>
  </x:conditionalFormatting>
  <x:conditionalFormatting sqref="AE2:AE121">
    <x:cfRule type="expression" dxfId="6" priority="8">
      <x:formula>OR(AE2="High",AE2="Critical")</x:formula>
    </x:cfRule>
  </x:conditionalFormatting>
  <x:dataValidations count="7">
    <x:dataValidation type="list" sqref="T2:T121">
      <x:formula1>"Yes,No,Not Sure"</x:formula1>
    </x:dataValidation>
    <x:dataValidation type="list" sqref="W2:W121">
      <x:formula1>"Not Assessed,Not Started,Planned,Partially Implemented,Implemented,Optimized,Not Applicable"</x:formula1>
    </x:dataValidation>
    <x:dataValidation type="list" sqref="X2:X121">
      <x:formula1>"0,1,2,3,4,5"</x:formula1>
    </x:dataValidation>
    <x:dataValidation type="list" sqref="Y2:Y121">
      <x:formula1>"0,1,2,3,4,5"</x:formula1>
    </x:dataValidation>
    <x:dataValidation type="list" sqref="Z2:Z121">
      <x:formula1>"Not Provided,In Progress,Provided,Reviewed,Validated,Rejected"</x:formula1>
    </x:dataValidation>
    <x:dataValidation type="list" sqref="AB2:AB121">
      <x:formula1>"Not Tested,Pass,Pass with Exceptions,Fail,Not Applicable"</x:formula1>
    </x:dataValidation>
    <x:dataValidation type="list" sqref="AE2:AE121">
      <x:formula1>"Not Assessed,Low,Medium,High,Critical"</x:formula1>
    </x:dataValidation>
  </x:dataValidations>
  <x:pageMargins left="0.7" right="0.7" top="0.75" bottom="0.75" header="0.3" footer="0.3"/>
  <x:tableParts count="1">
    <x:tablePart xmlns:r="http://schemas.openxmlformats.org/officeDocument/2006/relationships" r:id="R7cf52d32e9d1449f"/>
  </x:tableParts>
</x:worksheet>
</file>

<file path=xl/worksheets/sheet4.xml><?xml version="1.0" encoding="utf-8"?>
<x:worksheet xmlns:x="http://schemas.openxmlformats.org/spreadsheetml/2006/main">
  <x:sheetFormatPr defaultRowHeight="15"/>
  <x:cols>
    <x:col min="1" max="1" width="12" hidden="0" customWidth="1"/>
    <x:col min="2" max="2" width="28" hidden="0" customWidth="1"/>
    <x:col min="3" max="3" width="50" hidden="0" customWidth="1"/>
    <x:col min="4" max="4" width="50" hidden="0" customWidth="1"/>
    <x:col min="5" max="5" width="50" hidden="0" customWidth="1"/>
  </x:cols>
  <x:sheetData>
    <x:row r="1">
      <x:c r="A1" s="56" t="str">
        <x:v>CSA Prefix</x:v>
      </x:c>
      <x:c r="B1" s="56" t="str">
        <x:v>Control Family</x:v>
      </x:c>
      <x:c r="C1" s="56" t="str">
        <x:v>Minimum Reference Evidence</x:v>
      </x:c>
      <x:c r="D1" s="56" t="str">
        <x:v>Strong Verification Evidence</x:v>
      </x:c>
      <x:c r="E1" s="56" t="str">
        <x:v>Verification Test Procedure</x:v>
      </x:c>
      <x:c r="F1" s="59"/>
      <x:c r="G1" s="59"/>
      <x:c r="H1" s="59"/>
      <x:c r="I1" s="59"/>
      <x:c r="J1" s="59"/>
      <x:c r="K1" s="59"/>
      <x:c r="L1" s="59"/>
      <x:c r="M1" s="59"/>
      <x:c r="N1" s="59"/>
      <x:c r="O1" s="59"/>
      <x:c r="P1" s="59"/>
      <x:c r="Q1" s="59"/>
      <x:c r="R1" s="59"/>
      <x:c r="S1" s="59"/>
      <x:c r="T1" s="59"/>
      <x:c r="U1" s="59"/>
      <x:c r="V1" s="59"/>
      <x:c r="W1" s="59"/>
      <x:c r="X1" s="59"/>
      <x:c r="Y1" s="59"/>
      <x:c r="Z1" s="59"/>
      <x:c r="AA1" s="59"/>
      <x:c r="AB1" s="59"/>
      <x:c r="AC1" s="59"/>
      <x:c r="AD1" s="59"/>
      <x:c r="AE1" s="59"/>
      <x:c r="AF1" s="59"/>
      <x:c r="AG1" s="59"/>
      <x:c r="AH1" s="59"/>
      <x:c r="AI1" s="59"/>
      <x:c r="AJ1" s="59"/>
      <x:c r="AK1" s="59"/>
      <x:c r="AL1" s="59"/>
      <x:c r="AM1" s="59"/>
      <x:c r="AN1" s="59"/>
    </x:row>
    <x:row r="2">
      <x:c r="A2" s="21" t="str">
        <x:v>GOV</x:v>
      </x:c>
      <x:c r="B2" s="21" t="str">
        <x:v>Governance</x:v>
      </x:c>
      <x:c r="C2" s="21" t="str">
        <x:v>AI policy and acceptable-use standard; AI governance charter; AI Council minutes; approval records; exception logs; role/RACI matrix; training/attestation records; AI risk appetite and escalation procedure.</x:v>
      </x:c>
      <x:c r="D2" s="21" t="str">
        <x:v>Board/committee minutes, approved AI policy, signed attestations, exception workflow history, and evidence of policy enforcement.</x:v>
      </x:c>
      <x:c r="E2" s="21" t="str">
        <x:v>Inspect approved policy and governance charter; sample approval records; verify owners and decision logs; interview AI Council or control owner; confirm exceptions and attestations are tracked.</x:v>
      </x:c>
      <x:c r="F2" s="59"/>
      <x:c r="G2" s="59"/>
      <x:c r="H2" s="59"/>
      <x:c r="I2" s="59"/>
      <x:c r="J2" s="59"/>
      <x:c r="K2" s="59"/>
      <x:c r="L2" s="59"/>
      <x:c r="M2" s="59"/>
      <x:c r="N2" s="59"/>
      <x:c r="O2" s="59"/>
      <x:c r="P2" s="59"/>
      <x:c r="Q2" s="59"/>
      <x:c r="R2" s="59"/>
      <x:c r="S2" s="59"/>
      <x:c r="T2" s="59"/>
      <x:c r="U2" s="59"/>
      <x:c r="V2" s="59"/>
      <x:c r="W2" s="59"/>
      <x:c r="X2" s="59"/>
      <x:c r="Y2" s="59"/>
      <x:c r="Z2" s="59"/>
      <x:c r="AA2" s="59"/>
      <x:c r="AB2" s="59"/>
      <x:c r="AC2" s="59"/>
      <x:c r="AD2" s="59"/>
      <x:c r="AE2" s="59"/>
      <x:c r="AF2" s="59"/>
      <x:c r="AG2" s="59"/>
      <x:c r="AH2" s="59"/>
      <x:c r="AI2" s="59"/>
      <x:c r="AJ2" s="59"/>
      <x:c r="AK2" s="59"/>
      <x:c r="AL2" s="59"/>
      <x:c r="AM2" s="59"/>
      <x:c r="AN2" s="59"/>
    </x:row>
    <x:row r="3">
      <x:c r="A3" s="21" t="str">
        <x:v>ORG</x:v>
      </x:c>
      <x:c r="B3" s="21" t="str">
        <x:v>Organization management and inventory</x:v>
      </x:c>
      <x:c r="C3" s="21" t="str">
        <x:v>AIMS scope statement; organizational context analysis; interested-party register; operating model; RACI; internal communication records; training plans; management review outputs.</x:v>
      </x:c>
      <x:c r="D3" s="21" t="str">
        <x:v>Authoritative AI inventory reconciled to procurement/cloud/dev tooling, ownership records, and recurring inventory review minutes.</x:v>
      </x:c>
      <x:c r="E3" s="21" t="str">
        <x:v>Confirm AIMS scope and organizational context are documented; sample communications and awareness records; verify role assignment and management review participation.</x:v>
      </x:c>
      <x:c r="F3" s="59"/>
      <x:c r="G3" s="59"/>
      <x:c r="H3" s="59"/>
      <x:c r="I3" s="59"/>
      <x:c r="J3" s="59"/>
      <x:c r="K3" s="59"/>
      <x:c r="L3" s="59"/>
      <x:c r="M3" s="59"/>
      <x:c r="N3" s="59"/>
      <x:c r="O3" s="59"/>
      <x:c r="P3" s="59"/>
      <x:c r="Q3" s="59"/>
      <x:c r="R3" s="59"/>
      <x:c r="S3" s="59"/>
      <x:c r="T3" s="59"/>
      <x:c r="U3" s="59"/>
      <x:c r="V3" s="59"/>
      <x:c r="W3" s="59"/>
      <x:c r="X3" s="59"/>
      <x:c r="Y3" s="59"/>
      <x:c r="Z3" s="59"/>
      <x:c r="AA3" s="59"/>
      <x:c r="AB3" s="59"/>
      <x:c r="AC3" s="59"/>
      <x:c r="AD3" s="59"/>
      <x:c r="AE3" s="59"/>
      <x:c r="AF3" s="59"/>
      <x:c r="AG3" s="59"/>
      <x:c r="AH3" s="59"/>
      <x:c r="AI3" s="59"/>
      <x:c r="AJ3" s="59"/>
      <x:c r="AK3" s="59"/>
      <x:c r="AL3" s="59"/>
      <x:c r="AM3" s="59"/>
      <x:c r="AN3" s="59"/>
    </x:row>
    <x:row r="4">
      <x:c r="A4" s="21" t="str">
        <x:v>RSK</x:v>
      </x:c>
      <x:c r="B4" s="21" t="str">
        <x:v>Risk and provider assessment</x:v>
      </x:c>
      <x:c r="C4" s="21" t="str">
        <x:v>AI risk assessment methodology; AI impact assessment template; model/use-case risk ratings; treatment plans; risk acceptance approvals; residual risk logs; risk register extracts.</x:v>
      </x:c>
      <x:c r="D4" s="21" t="str">
        <x:v>Risk register, AI impact assessments, vendor questionnaires, residual-risk signoffs, treatment plans, risk acceptance records.</x:v>
      </x:c>
      <x:c r="E4" s="21" t="str">
        <x:v>Reperform a sample risk assessment; verify impact assessment completion; trace risks to treatment decisions and approvals; confirm residual risk is accepted by the right authority.</x:v>
      </x:c>
      <x:c r="F4" s="59"/>
      <x:c r="G4" s="59"/>
      <x:c r="H4" s="59"/>
      <x:c r="I4" s="59"/>
      <x:c r="J4" s="59"/>
      <x:c r="K4" s="59"/>
      <x:c r="L4" s="59"/>
      <x:c r="M4" s="59"/>
      <x:c r="N4" s="59"/>
      <x:c r="O4" s="59"/>
      <x:c r="P4" s="59"/>
      <x:c r="Q4" s="59"/>
      <x:c r="R4" s="59"/>
      <x:c r="S4" s="59"/>
      <x:c r="T4" s="59"/>
      <x:c r="U4" s="59"/>
      <x:c r="V4" s="59"/>
      <x:c r="W4" s="59"/>
      <x:c r="X4" s="59"/>
      <x:c r="Y4" s="59"/>
      <x:c r="Z4" s="59"/>
      <x:c r="AA4" s="59"/>
      <x:c r="AB4" s="59"/>
      <x:c r="AC4" s="59"/>
      <x:c r="AD4" s="59"/>
      <x:c r="AE4" s="59"/>
      <x:c r="AF4" s="59"/>
      <x:c r="AG4" s="59"/>
      <x:c r="AH4" s="59"/>
      <x:c r="AI4" s="59"/>
      <x:c r="AJ4" s="59"/>
      <x:c r="AK4" s="59"/>
      <x:c r="AL4" s="59"/>
      <x:c r="AM4" s="59"/>
      <x:c r="AN4" s="59"/>
    </x:row>
    <x:row r="5">
      <x:c r="A5" s="21" t="str">
        <x:v>INV</x:v>
      </x:c>
      <x:c r="B5" s="21" t="str"/>
      <x:c r="C5" s="21" t="str">
        <x:v>AI inventory/registry; approved use-case catalog; model cards/system cards; supplier/model/provider inventory; data-flow diagrams; asset ownership records; lifecycle status records.</x:v>
      </x:c>
      <x:c r="D5" s="21" t="str">
        <x:v>AI inventory/registry; approved use-case catalog; model cards/system cards; supplier/model/provider inventory; data-flow diagrams; asset ownership records; lifecycle status records.</x:v>
      </x:c>
      <x:c r="E5" s="21" t="str">
        <x:v>Select sample AI systems; trace to inventory, owner, approved use case, data types, provider, and lifecycle status; verify registry completeness against procurement/cloud/tooling records.</x:v>
      </x:c>
      <x:c r="F5" s="59"/>
      <x:c r="G5" s="59"/>
      <x:c r="H5" s="59"/>
      <x:c r="I5" s="59"/>
      <x:c r="J5" s="59"/>
      <x:c r="K5" s="59"/>
      <x:c r="L5" s="59"/>
      <x:c r="M5" s="59"/>
      <x:c r="N5" s="59"/>
      <x:c r="O5" s="59"/>
      <x:c r="P5" s="59"/>
      <x:c r="Q5" s="59"/>
      <x:c r="R5" s="59"/>
      <x:c r="S5" s="59"/>
      <x:c r="T5" s="59"/>
      <x:c r="U5" s="59"/>
      <x:c r="V5" s="59"/>
      <x:c r="W5" s="59"/>
      <x:c r="X5" s="59"/>
      <x:c r="Y5" s="59"/>
      <x:c r="Z5" s="59"/>
      <x:c r="AA5" s="59"/>
      <x:c r="AB5" s="59"/>
      <x:c r="AC5" s="59"/>
      <x:c r="AD5" s="59"/>
      <x:c r="AE5" s="59"/>
      <x:c r="AF5" s="59"/>
      <x:c r="AG5" s="59"/>
      <x:c r="AH5" s="59"/>
      <x:c r="AI5" s="59"/>
      <x:c r="AJ5" s="59"/>
      <x:c r="AK5" s="59"/>
      <x:c r="AL5" s="59"/>
      <x:c r="AM5" s="59"/>
      <x:c r="AN5" s="59"/>
    </x:row>
    <x:row r="6">
      <x:c r="A6" s="21" t="str">
        <x:v>DAT</x:v>
      </x:c>
      <x:c r="B6" s="21" t="str">
        <x:v>Data security</x:v>
      </x:c>
      <x:c r="C6" s="21" t="str">
        <x:v>Data governance policy; data classification and handling records; data provenance documentation; dataset datasheets; data quality checks; privacy impact assessments; retention and deletion evidence.</x:v>
      </x:c>
      <x:c r="D6" s="21" t="str">
        <x:v>Dataset provenance, data quality results, data classification, privacy/legal basis, retention evidence, vector store access controls.</x:v>
      </x:c>
      <x:c r="E6" s="21" t="str">
        <x:v>Sample datasets used by AI systems; verify source, provenance, consent/legal basis where applicable, quality criteria, preparation steps, access restrictions, and retention controls.</x:v>
      </x:c>
      <x:c r="F6" s="59"/>
      <x:c r="G6" s="59"/>
      <x:c r="H6" s="59"/>
      <x:c r="I6" s="59"/>
      <x:c r="J6" s="59"/>
      <x:c r="K6" s="59"/>
      <x:c r="L6" s="59"/>
      <x:c r="M6" s="59"/>
      <x:c r="N6" s="59"/>
      <x:c r="O6" s="59"/>
      <x:c r="P6" s="59"/>
      <x:c r="Q6" s="59"/>
      <x:c r="R6" s="59"/>
      <x:c r="S6" s="59"/>
      <x:c r="T6" s="59"/>
      <x:c r="U6" s="59"/>
      <x:c r="V6" s="59"/>
      <x:c r="W6" s="59"/>
      <x:c r="X6" s="59"/>
      <x:c r="Y6" s="59"/>
      <x:c r="Z6" s="59"/>
      <x:c r="AA6" s="59"/>
      <x:c r="AB6" s="59"/>
      <x:c r="AC6" s="59"/>
      <x:c r="AD6" s="59"/>
      <x:c r="AE6" s="59"/>
      <x:c r="AF6" s="59"/>
      <x:c r="AG6" s="59"/>
      <x:c r="AH6" s="59"/>
      <x:c r="AI6" s="59"/>
      <x:c r="AJ6" s="59"/>
      <x:c r="AK6" s="59"/>
      <x:c r="AL6" s="59"/>
      <x:c r="AM6" s="59"/>
      <x:c r="AN6" s="59"/>
    </x:row>
    <x:row r="7">
      <x:c r="A7" s="21" t="str">
        <x:v>DEV</x:v>
      </x:c>
      <x:c r="B7" s="21" t="str">
        <x:v>AI development and supply chain</x:v>
      </x:c>
      <x:c r="C7" s="21" t="str">
        <x:v>Secure SDLC/ML lifecycle procedures; design reviews; threat models; validation and verification plans; test results; code reviews; change approvals; release records; AI-BOM/SBOM where applicable.</x:v>
      </x:c>
      <x:c r="D7" s="21" t="str">
        <x:v>Secure SDLC/MLLC gates, code review, SAST/SCA results, AI-BOM/SBOM, model dependency scans, change approvals.</x:v>
      </x:c>
      <x:c r="E7" s="21" t="str">
        <x:v>Trace a sample model/application release from requirements through testing and approval; verify validation gates, independent review, and documented acceptance criteria.</x:v>
      </x:c>
      <x:c r="F7" s="59"/>
      <x:c r="G7" s="59"/>
      <x:c r="H7" s="59"/>
      <x:c r="I7" s="59"/>
      <x:c r="J7" s="59"/>
      <x:c r="K7" s="59"/>
      <x:c r="L7" s="59"/>
      <x:c r="M7" s="59"/>
      <x:c r="N7" s="59"/>
      <x:c r="O7" s="59"/>
      <x:c r="P7" s="59"/>
      <x:c r="Q7" s="59"/>
      <x:c r="R7" s="59"/>
      <x:c r="S7" s="59"/>
      <x:c r="T7" s="59"/>
      <x:c r="U7" s="59"/>
      <x:c r="V7" s="59"/>
      <x:c r="W7" s="59"/>
      <x:c r="X7" s="59"/>
      <x:c r="Y7" s="59"/>
      <x:c r="Z7" s="59"/>
      <x:c r="AA7" s="59"/>
      <x:c r="AB7" s="59"/>
      <x:c r="AC7" s="59"/>
      <x:c r="AD7" s="59"/>
      <x:c r="AE7" s="59"/>
      <x:c r="AF7" s="59"/>
      <x:c r="AG7" s="59"/>
      <x:c r="AH7" s="59"/>
      <x:c r="AI7" s="59"/>
      <x:c r="AJ7" s="59"/>
      <x:c r="AK7" s="59"/>
      <x:c r="AL7" s="59"/>
      <x:c r="AM7" s="59"/>
      <x:c r="AN7" s="59"/>
    </x:row>
    <x:row r="8">
      <x:c r="A8" s="21" t="str">
        <x:v>MOD</x:v>
      </x:c>
      <x:c r="B8" s="21" t="str">
        <x:v>Model security</x:v>
      </x:c>
      <x:c r="C8" s="21" t="str">
        <x:v>Model documentation; model cards; evaluation results; bias/fairness testing; robustness and red-team reports; model version history; tuning/benchmark records; approval for model changes.</x:v>
      </x:c>
      <x:c r="D8" s="21" t="str">
        <x:v>Model cards, evaluation benchmarks, red-team results, bias/robustness testing, version history, and production approval records.</x:v>
      </x:c>
      <x:c r="E8" s="21" t="str">
        <x:v>Review sample model evidence; compare evaluation results to acceptance thresholds; verify versioning, change approvals, and monitoring handoff before production release.</x:v>
      </x:c>
      <x:c r="F8" s="59"/>
      <x:c r="G8" s="59"/>
      <x:c r="H8" s="59"/>
      <x:c r="I8" s="59"/>
      <x:c r="J8" s="59"/>
      <x:c r="K8" s="59"/>
      <x:c r="L8" s="59"/>
      <x:c r="M8" s="59"/>
      <x:c r="N8" s="59"/>
      <x:c r="O8" s="59"/>
      <x:c r="P8" s="59"/>
      <x:c r="Q8" s="59"/>
      <x:c r="R8" s="59"/>
      <x:c r="S8" s="59"/>
      <x:c r="T8" s="59"/>
      <x:c r="U8" s="59"/>
      <x:c r="V8" s="59"/>
      <x:c r="W8" s="59"/>
      <x:c r="X8" s="59"/>
      <x:c r="Y8" s="59"/>
      <x:c r="Z8" s="59"/>
      <x:c r="AA8" s="59"/>
      <x:c r="AB8" s="59"/>
      <x:c r="AC8" s="59"/>
      <x:c r="AD8" s="59"/>
      <x:c r="AE8" s="59"/>
      <x:c r="AF8" s="59"/>
      <x:c r="AG8" s="59"/>
      <x:c r="AH8" s="59"/>
      <x:c r="AI8" s="59"/>
      <x:c r="AJ8" s="59"/>
      <x:c r="AK8" s="59"/>
      <x:c r="AL8" s="59"/>
      <x:c r="AM8" s="59"/>
      <x:c r="AN8" s="59"/>
    </x:row>
    <x:row r="9">
      <x:c r="A9" s="21" t="str">
        <x:v>APP</x:v>
      </x:c>
      <x:c r="B9" s="21" t="str">
        <x:v>Application security</x:v>
      </x:c>
      <x:c r="C9" s="21" t="str">
        <x:v>Application architecture diagrams; prompt/control design; input/output filtering rules; access control configurations; API security tests; misuse/abuse case testing; production deployment approvals.</x:v>
      </x:c>
      <x:c r="D9" s="21" t="str">
        <x:v>Threat models, prompt-injection tests, guardrail configuration, API security tests, input/output filtering evidence, release approvals.</x:v>
      </x:c>
      <x:c r="E9" s="21" t="str">
        <x:v>Test a sample AI application path; verify controls are implemented for access, prompt injection, data leakage, output handling, logging, and production release approval.</x:v>
      </x:c>
      <x:c r="F9" s="59"/>
      <x:c r="G9" s="59"/>
      <x:c r="H9" s="59"/>
      <x:c r="I9" s="59"/>
      <x:c r="J9" s="59"/>
      <x:c r="K9" s="59"/>
      <x:c r="L9" s="59"/>
      <x:c r="M9" s="59"/>
      <x:c r="N9" s="59"/>
      <x:c r="O9" s="59"/>
      <x:c r="P9" s="59"/>
      <x:c r="Q9" s="59"/>
      <x:c r="R9" s="59"/>
      <x:c r="S9" s="59"/>
      <x:c r="T9" s="59"/>
      <x:c r="U9" s="59"/>
      <x:c r="V9" s="59"/>
      <x:c r="W9" s="59"/>
      <x:c r="X9" s="59"/>
      <x:c r="Y9" s="59"/>
      <x:c r="Z9" s="59"/>
      <x:c r="AA9" s="59"/>
      <x:c r="AB9" s="59"/>
      <x:c r="AC9" s="59"/>
      <x:c r="AD9" s="59"/>
      <x:c r="AE9" s="59"/>
      <x:c r="AF9" s="59"/>
      <x:c r="AG9" s="59"/>
      <x:c r="AH9" s="59"/>
      <x:c r="AI9" s="59"/>
      <x:c r="AJ9" s="59"/>
      <x:c r="AK9" s="59"/>
      <x:c r="AL9" s="59"/>
      <x:c r="AM9" s="59"/>
      <x:c r="AN9" s="59"/>
    </x:row>
    <x:row r="10">
      <x:c r="A10" s="21" t="str">
        <x:v>IAM</x:v>
      </x:c>
      <x:c r="B10" s="21" t="str">
        <x:v>Identity and access management</x:v>
      </x:c>
      <x:c r="C10" s="21" t="str">
        <x:v>IAM policy; privileged access records; role definitions; SSO/MFA enforcement; service account inventory; access reviews; joiner/mover/leaver records; secrets management evidence.</x:v>
      </x:c>
      <x:c r="D10" s="21" t="str">
        <x:v>IAM configuration exports, SSO/MFA evidence, service-account reviews, privileged access approvals, and JML samples.</x:v>
      </x:c>
      <x:c r="E10" s="21" t="str">
        <x:v>Sample users and service accounts; verify least privilege, MFA, approved access, periodic reviews, and timely removal; confirm secrets are stored and rotated securely.</x:v>
      </x:c>
      <x:c r="F10" s="59"/>
      <x:c r="G10" s="59"/>
      <x:c r="H10" s="59"/>
      <x:c r="I10" s="59"/>
      <x:c r="J10" s="59"/>
      <x:c r="K10" s="59"/>
      <x:c r="L10" s="59"/>
      <x:c r="M10" s="59"/>
      <x:c r="N10" s="59"/>
      <x:c r="O10" s="59"/>
      <x:c r="P10" s="59"/>
      <x:c r="Q10" s="59"/>
      <x:c r="R10" s="59"/>
      <x:c r="S10" s="59"/>
      <x:c r="T10" s="59"/>
      <x:c r="U10" s="59"/>
      <x:c r="V10" s="59"/>
      <x:c r="W10" s="59"/>
      <x:c r="X10" s="59"/>
      <x:c r="Y10" s="59"/>
      <x:c r="Z10" s="59"/>
      <x:c r="AA10" s="59"/>
      <x:c r="AB10" s="59"/>
      <x:c r="AC10" s="59"/>
      <x:c r="AD10" s="59"/>
      <x:c r="AE10" s="59"/>
      <x:c r="AF10" s="59"/>
      <x:c r="AG10" s="59"/>
      <x:c r="AH10" s="59"/>
      <x:c r="AI10" s="59"/>
      <x:c r="AJ10" s="59"/>
      <x:c r="AK10" s="59"/>
      <x:c r="AL10" s="59"/>
      <x:c r="AM10" s="59"/>
      <x:c r="AN10" s="59"/>
    </x:row>
    <x:row r="11">
      <x:c r="A11" s="21" t="str">
        <x:v>INF</x:v>
      </x:c>
      <x:c r="B11" s="21" t="str">
        <x:v>Infrastructure security and resilience</x:v>
      </x:c>
      <x:c r="C11" s="21" t="str">
        <x:v>Architecture diagrams; cloud/security baseline; network segmentation; encryption configuration; key management evidence; vulnerability scans; hardening standards; backup/DR test results.</x:v>
      </x:c>
      <x:c r="D11" s="21" t="str">
        <x:v>Cloud posture scans, network segmentation diagrams, encryption/key-management evidence, backup/DR test records, hardening baselines.</x:v>
      </x:c>
      <x:c r="E11" s="21" t="str">
        <x:v>Inspect infrastructure baseline; sample cloud resources and endpoints; verify encryption, logging, segmentation, vulnerability remediation, backup, and recovery testing evidence.</x:v>
      </x:c>
      <x:c r="F11" s="59"/>
      <x:c r="G11" s="59"/>
      <x:c r="H11" s="59"/>
      <x:c r="I11" s="59"/>
      <x:c r="J11" s="59"/>
      <x:c r="K11" s="59"/>
      <x:c r="L11" s="59"/>
      <x:c r="M11" s="59"/>
      <x:c r="N11" s="59"/>
      <x:c r="O11" s="59"/>
      <x:c r="P11" s="59"/>
      <x:c r="Q11" s="59"/>
      <x:c r="R11" s="59"/>
      <x:c r="S11" s="59"/>
      <x:c r="T11" s="59"/>
      <x:c r="U11" s="59"/>
      <x:c r="V11" s="59"/>
      <x:c r="W11" s="59"/>
      <x:c r="X11" s="59"/>
      <x:c r="Y11" s="59"/>
      <x:c r="Z11" s="59"/>
      <x:c r="AA11" s="59"/>
      <x:c r="AB11" s="59"/>
      <x:c r="AC11" s="59"/>
      <x:c r="AD11" s="59"/>
      <x:c r="AE11" s="59"/>
      <x:c r="AF11" s="59"/>
      <x:c r="AG11" s="59"/>
      <x:c r="AH11" s="59"/>
      <x:c r="AI11" s="59"/>
      <x:c r="AJ11" s="59"/>
      <x:c r="AK11" s="59"/>
      <x:c r="AL11" s="59"/>
      <x:c r="AM11" s="59"/>
      <x:c r="AN11" s="59"/>
    </x:row>
    <x:row r="12">
      <x:c r="A12" s="21" t="str">
        <x:v>MON</x:v>
      </x:c>
      <x:c r="B12" s="21" t="str">
        <x:v>Security monitoring</x:v>
      </x:c>
      <x:c r="C12" s="21" t="str">
        <x:v>Monitoring strategy; model performance dashboards; drift/bias monitoring; security logs; alert rules; KPI/KRI reporting; incident tickets; periodic review records.</x:v>
      </x:c>
      <x:c r="D12" s="21" t="str">
        <x:v>SIEM/AI-SPM dashboards, alert runbooks, sampled alerts/tickets, model drift logs, and alert tuning history.</x:v>
      </x:c>
      <x:c r="E12" s="21" t="str">
        <x:v>Review monitoring coverage for sampled systems; verify alerts trigger and are triaged; inspect monitoring dashboards and evidence that issues drive corrective action.</x:v>
      </x:c>
      <x:c r="F12" s="59"/>
      <x:c r="G12" s="59"/>
      <x:c r="H12" s="59"/>
      <x:c r="I12" s="59"/>
      <x:c r="J12" s="59"/>
      <x:c r="K12" s="59"/>
      <x:c r="L12" s="59"/>
      <x:c r="M12" s="59"/>
      <x:c r="N12" s="59"/>
      <x:c r="O12" s="59"/>
      <x:c r="P12" s="59"/>
      <x:c r="Q12" s="59"/>
      <x:c r="R12" s="59"/>
      <x:c r="S12" s="59"/>
      <x:c r="T12" s="59"/>
      <x:c r="U12" s="59"/>
      <x:c r="V12" s="59"/>
      <x:c r="W12" s="59"/>
      <x:c r="X12" s="59"/>
      <x:c r="Y12" s="59"/>
      <x:c r="Z12" s="59"/>
      <x:c r="AA12" s="59"/>
      <x:c r="AB12" s="59"/>
      <x:c r="AC12" s="59"/>
      <x:c r="AD12" s="59"/>
      <x:c r="AE12" s="59"/>
      <x:c r="AF12" s="59"/>
      <x:c r="AG12" s="59"/>
      <x:c r="AH12" s="59"/>
      <x:c r="AI12" s="59"/>
      <x:c r="AJ12" s="59"/>
      <x:c r="AK12" s="59"/>
      <x:c r="AL12" s="59"/>
      <x:c r="AM12" s="59"/>
      <x:c r="AN12" s="59"/>
    </x:row>
    <x:row r="13">
      <x:c r="A13" s="21" t="str">
        <x:v>IR</x:v>
      </x:c>
      <x:c r="B13" s="21" t="str">
        <x:v>Incident response</x:v>
      </x:c>
      <x:c r="C13" s="21" t="str">
        <x:v>AI incident response plan; AI incident taxonomy; escalation matrix; tabletop exercises; incident tickets; post-incident reviews; regulatory/customer notification procedures; lessons-learned actions.</x:v>
      </x:c>
      <x:c r="D13" s="21" t="str">
        <x:v>AI-specific incident playbook, incident tickets, tabletop evidence, post-incident review, customer/regulator notification decision logs.</x:v>
      </x:c>
      <x:c r="E13" s="21" t="str">
        <x:v>Inspect AI-specific IR procedures; sample incident/tabletop records; verify triage, escalation, notification, root-cause analysis, and corrective action closure.</x:v>
      </x:c>
      <x:c r="F13" s="59"/>
      <x:c r="G13" s="59"/>
      <x:c r="H13" s="59"/>
      <x:c r="I13" s="59"/>
      <x:c r="J13" s="59"/>
      <x:c r="K13" s="59"/>
      <x:c r="L13" s="59"/>
      <x:c r="M13" s="59"/>
      <x:c r="N13" s="59"/>
      <x:c r="O13" s="59"/>
      <x:c r="P13" s="59"/>
      <x:c r="Q13" s="59"/>
      <x:c r="R13" s="59"/>
      <x:c r="S13" s="59"/>
      <x:c r="T13" s="59"/>
      <x:c r="U13" s="59"/>
      <x:c r="V13" s="59"/>
      <x:c r="W13" s="59"/>
      <x:c r="X13" s="59"/>
      <x:c r="Y13" s="59"/>
      <x:c r="Z13" s="59"/>
      <x:c r="AA13" s="59"/>
      <x:c r="AB13" s="59"/>
      <x:c r="AC13" s="59"/>
      <x:c r="AD13" s="59"/>
      <x:c r="AE13" s="59"/>
      <x:c r="AF13" s="59"/>
      <x:c r="AG13" s="59"/>
      <x:c r="AH13" s="59"/>
      <x:c r="AI13" s="59"/>
      <x:c r="AJ13" s="59"/>
      <x:c r="AK13" s="59"/>
      <x:c r="AL13" s="59"/>
      <x:c r="AM13" s="59"/>
      <x:c r="AN13" s="59"/>
    </x:row>
    <x:row r="14">
      <x:c r="A14" s="59"/>
      <x:c r="B14" s="59"/>
      <x:c r="C14" s="59"/>
      <x:c r="D14" s="59"/>
      <x:c r="E14" s="59"/>
      <x:c r="F14" s="59"/>
      <x:c r="G14" s="59"/>
      <x:c r="H14" s="59"/>
      <x:c r="I14" s="59"/>
      <x:c r="J14" s="59"/>
      <x:c r="K14" s="59"/>
      <x:c r="L14" s="59"/>
      <x:c r="M14" s="59"/>
      <x:c r="N14" s="59"/>
      <x:c r="O14" s="59"/>
      <x:c r="P14" s="59"/>
      <x:c r="Q14" s="59"/>
      <x:c r="R14" s="59"/>
      <x:c r="S14" s="59"/>
      <x:c r="T14" s="59"/>
      <x:c r="U14" s="59"/>
      <x:c r="V14" s="59"/>
      <x:c r="W14" s="59"/>
      <x:c r="X14" s="59"/>
      <x:c r="Y14" s="59"/>
      <x:c r="Z14" s="59"/>
      <x:c r="AA14" s="59"/>
      <x:c r="AB14" s="59"/>
      <x:c r="AC14" s="59"/>
      <x:c r="AD14" s="59"/>
      <x:c r="AE14" s="59"/>
      <x:c r="AF14" s="59"/>
      <x:c r="AG14" s="59"/>
      <x:c r="AH14" s="59"/>
      <x:c r="AI14" s="59"/>
      <x:c r="AJ14" s="59"/>
      <x:c r="AK14" s="59"/>
      <x:c r="AL14" s="59"/>
      <x:c r="AM14" s="59"/>
      <x:c r="AN14" s="59"/>
    </x:row>
    <x:row r="15">
      <x:c r="A15" s="59"/>
      <x:c r="B15" s="59"/>
      <x:c r="C15" s="59"/>
      <x:c r="D15" s="59"/>
      <x:c r="E15" s="59"/>
      <x:c r="F15" s="59"/>
      <x:c r="G15" s="59"/>
      <x:c r="H15" s="59"/>
      <x:c r="I15" s="59"/>
      <x:c r="J15" s="59"/>
      <x:c r="K15" s="59"/>
      <x:c r="L15" s="59"/>
      <x:c r="M15" s="59"/>
      <x:c r="N15" s="59"/>
      <x:c r="O15" s="59"/>
      <x:c r="P15" s="59"/>
      <x:c r="Q15" s="59"/>
      <x:c r="R15" s="59"/>
      <x:c r="S15" s="59"/>
      <x:c r="T15" s="59"/>
      <x:c r="U15" s="59"/>
      <x:c r="V15" s="59"/>
      <x:c r="W15" s="59"/>
      <x:c r="X15" s="59"/>
      <x:c r="Y15" s="59"/>
      <x:c r="Z15" s="59"/>
      <x:c r="AA15" s="59"/>
      <x:c r="AB15" s="59"/>
      <x:c r="AC15" s="59"/>
      <x:c r="AD15" s="59"/>
      <x:c r="AE15" s="59"/>
      <x:c r="AF15" s="59"/>
      <x:c r="AG15" s="59"/>
      <x:c r="AH15" s="59"/>
      <x:c r="AI15" s="59"/>
      <x:c r="AJ15" s="59"/>
      <x:c r="AK15" s="59"/>
      <x:c r="AL15" s="59"/>
      <x:c r="AM15" s="59"/>
      <x:c r="AN15" s="59"/>
    </x:row>
    <x:row r="16">
      <x:c r="A16" s="59"/>
      <x:c r="B16" s="59"/>
      <x:c r="C16" s="59"/>
      <x:c r="D16" s="59"/>
      <x:c r="E16" s="59"/>
      <x:c r="F16" s="59"/>
      <x:c r="G16" s="59"/>
      <x:c r="H16" s="59"/>
      <x:c r="I16" s="59"/>
      <x:c r="J16" s="59"/>
      <x:c r="K16" s="59"/>
      <x:c r="L16" s="59"/>
      <x:c r="M16" s="59"/>
      <x:c r="N16" s="59"/>
      <x:c r="O16" s="59"/>
      <x:c r="P16" s="59"/>
      <x:c r="Q16" s="59"/>
      <x:c r="R16" s="59"/>
      <x:c r="S16" s="59"/>
      <x:c r="T16" s="59"/>
      <x:c r="U16" s="59"/>
      <x:c r="V16" s="59"/>
      <x:c r="W16" s="59"/>
      <x:c r="X16" s="59"/>
      <x:c r="Y16" s="59"/>
      <x:c r="Z16" s="59"/>
      <x:c r="AA16" s="59"/>
      <x:c r="AB16" s="59"/>
      <x:c r="AC16" s="59"/>
      <x:c r="AD16" s="59"/>
      <x:c r="AE16" s="59"/>
      <x:c r="AF16" s="59"/>
      <x:c r="AG16" s="59"/>
      <x:c r="AH16" s="59"/>
      <x:c r="AI16" s="59"/>
      <x:c r="AJ16" s="59"/>
      <x:c r="AK16" s="59"/>
      <x:c r="AL16" s="59"/>
      <x:c r="AM16" s="59"/>
      <x:c r="AN16" s="59"/>
    </x:row>
    <x:row r="17">
      <x:c r="A17" s="59"/>
      <x:c r="B17" s="59"/>
      <x:c r="C17" s="59"/>
      <x:c r="D17" s="59"/>
      <x:c r="E17" s="59"/>
      <x:c r="F17" s="59"/>
      <x:c r="G17" s="59"/>
      <x:c r="H17" s="59"/>
      <x:c r="I17" s="59"/>
      <x:c r="J17" s="59"/>
      <x:c r="K17" s="59"/>
      <x:c r="L17" s="59"/>
      <x:c r="M17" s="59"/>
      <x:c r="N17" s="59"/>
      <x:c r="O17" s="59"/>
      <x:c r="P17" s="59"/>
      <x:c r="Q17" s="59"/>
      <x:c r="R17" s="59"/>
      <x:c r="S17" s="59"/>
      <x:c r="T17" s="59"/>
      <x:c r="U17" s="59"/>
      <x:c r="V17" s="59"/>
      <x:c r="W17" s="59"/>
      <x:c r="X17" s="59"/>
      <x:c r="Y17" s="59"/>
      <x:c r="Z17" s="59"/>
      <x:c r="AA17" s="59"/>
      <x:c r="AB17" s="59"/>
      <x:c r="AC17" s="59"/>
      <x:c r="AD17" s="59"/>
      <x:c r="AE17" s="59"/>
      <x:c r="AF17" s="59"/>
      <x:c r="AG17" s="59"/>
      <x:c r="AH17" s="59"/>
      <x:c r="AI17" s="59"/>
      <x:c r="AJ17" s="59"/>
      <x:c r="AK17" s="59"/>
      <x:c r="AL17" s="59"/>
      <x:c r="AM17" s="59"/>
      <x:c r="AN17" s="59"/>
    </x:row>
    <x:row r="18">
      <x:c r="A18" s="59"/>
      <x:c r="B18" s="59"/>
      <x:c r="C18" s="59"/>
      <x:c r="D18" s="59"/>
      <x:c r="E18" s="59"/>
      <x:c r="F18" s="59"/>
      <x:c r="G18" s="59"/>
      <x:c r="H18" s="59"/>
      <x:c r="I18" s="59"/>
      <x:c r="J18" s="59"/>
      <x:c r="K18" s="59"/>
      <x:c r="L18" s="59"/>
      <x:c r="M18" s="59"/>
      <x:c r="N18" s="59"/>
      <x:c r="O18" s="59"/>
      <x:c r="P18" s="59"/>
      <x:c r="Q18" s="59"/>
      <x:c r="R18" s="59"/>
      <x:c r="S18" s="59"/>
      <x:c r="T18" s="59"/>
      <x:c r="U18" s="59"/>
      <x:c r="V18" s="59"/>
      <x:c r="W18" s="59"/>
      <x:c r="X18" s="59"/>
      <x:c r="Y18" s="59"/>
      <x:c r="Z18" s="59"/>
      <x:c r="AA18" s="59"/>
      <x:c r="AB18" s="59"/>
      <x:c r="AC18" s="59"/>
      <x:c r="AD18" s="59"/>
      <x:c r="AE18" s="59"/>
      <x:c r="AF18" s="59"/>
      <x:c r="AG18" s="59"/>
      <x:c r="AH18" s="59"/>
      <x:c r="AI18" s="59"/>
      <x:c r="AJ18" s="59"/>
      <x:c r="AK18" s="59"/>
      <x:c r="AL18" s="59"/>
      <x:c r="AM18" s="59"/>
      <x:c r="AN18" s="59"/>
    </x:row>
    <x:row r="19">
      <x:c r="A19" s="59"/>
      <x:c r="B19" s="59"/>
      <x:c r="C19" s="59"/>
      <x:c r="D19" s="59"/>
      <x:c r="E19" s="59"/>
      <x:c r="F19" s="59"/>
      <x:c r="G19" s="59"/>
      <x:c r="H19" s="59"/>
      <x:c r="I19" s="59"/>
      <x:c r="J19" s="59"/>
      <x:c r="K19" s="59"/>
      <x:c r="L19" s="59"/>
      <x:c r="M19" s="59"/>
      <x:c r="N19" s="59"/>
      <x:c r="O19" s="59"/>
      <x:c r="P19" s="59"/>
      <x:c r="Q19" s="59"/>
      <x:c r="R19" s="59"/>
      <x:c r="S19" s="59"/>
      <x:c r="T19" s="59"/>
      <x:c r="U19" s="59"/>
      <x:c r="V19" s="59"/>
      <x:c r="W19" s="59"/>
      <x:c r="X19" s="59"/>
      <x:c r="Y19" s="59"/>
      <x:c r="Z19" s="59"/>
      <x:c r="AA19" s="59"/>
      <x:c r="AB19" s="59"/>
      <x:c r="AC19" s="59"/>
      <x:c r="AD19" s="59"/>
      <x:c r="AE19" s="59"/>
      <x:c r="AF19" s="59"/>
      <x:c r="AG19" s="59"/>
      <x:c r="AH19" s="59"/>
      <x:c r="AI19" s="59"/>
      <x:c r="AJ19" s="59"/>
      <x:c r="AK19" s="59"/>
      <x:c r="AL19" s="59"/>
      <x:c r="AM19" s="59"/>
      <x:c r="AN19" s="59"/>
    </x:row>
    <x:row r="20">
      <x:c r="A20" s="59"/>
      <x:c r="B20" s="59"/>
      <x:c r="C20" s="59"/>
      <x:c r="D20" s="59"/>
      <x:c r="E20" s="59"/>
      <x:c r="F20" s="59"/>
      <x:c r="G20" s="59"/>
      <x:c r="H20" s="59"/>
      <x:c r="I20" s="59"/>
      <x:c r="J20" s="59"/>
      <x:c r="K20" s="59"/>
      <x:c r="L20" s="59"/>
      <x:c r="M20" s="59"/>
      <x:c r="N20" s="59"/>
      <x:c r="O20" s="59"/>
      <x:c r="P20" s="59"/>
      <x:c r="Q20" s="59"/>
      <x:c r="R20" s="59"/>
      <x:c r="S20" s="59"/>
      <x:c r="T20" s="59"/>
      <x:c r="U20" s="59"/>
      <x:c r="V20" s="59"/>
      <x:c r="W20" s="59"/>
      <x:c r="X20" s="59"/>
      <x:c r="Y20" s="59"/>
      <x:c r="Z20" s="59"/>
      <x:c r="AA20" s="59"/>
      <x:c r="AB20" s="59"/>
      <x:c r="AC20" s="59"/>
      <x:c r="AD20" s="59"/>
      <x:c r="AE20" s="59"/>
      <x:c r="AF20" s="59"/>
      <x:c r="AG20" s="59"/>
      <x:c r="AH20" s="59"/>
      <x:c r="AI20" s="59"/>
      <x:c r="AJ20" s="59"/>
      <x:c r="AK20" s="59"/>
      <x:c r="AL20" s="59"/>
      <x:c r="AM20" s="59"/>
      <x:c r="AN20" s="59"/>
    </x:row>
    <x:row r="21">
      <x:c r="A21" s="59"/>
      <x:c r="B21" s="59"/>
      <x:c r="C21" s="59"/>
      <x:c r="D21" s="59"/>
      <x:c r="E21" s="59"/>
      <x:c r="F21" s="59"/>
      <x:c r="G21" s="59"/>
      <x:c r="H21" s="59"/>
      <x:c r="I21" s="59"/>
      <x:c r="J21" s="59"/>
      <x:c r="K21" s="59"/>
      <x:c r="L21" s="59"/>
      <x:c r="M21" s="59"/>
      <x:c r="N21" s="59"/>
      <x:c r="O21" s="59"/>
      <x:c r="P21" s="59"/>
      <x:c r="Q21" s="59"/>
      <x:c r="R21" s="59"/>
      <x:c r="S21" s="59"/>
      <x:c r="T21" s="59"/>
      <x:c r="U21" s="59"/>
      <x:c r="V21" s="59"/>
      <x:c r="W21" s="59"/>
      <x:c r="X21" s="59"/>
      <x:c r="Y21" s="59"/>
      <x:c r="Z21" s="59"/>
      <x:c r="AA21" s="59"/>
      <x:c r="AB21" s="59"/>
      <x:c r="AC21" s="59"/>
      <x:c r="AD21" s="59"/>
      <x:c r="AE21" s="59"/>
      <x:c r="AF21" s="59"/>
      <x:c r="AG21" s="59"/>
      <x:c r="AH21" s="59"/>
      <x:c r="AI21" s="59"/>
      <x:c r="AJ21" s="59"/>
      <x:c r="AK21" s="59"/>
      <x:c r="AL21" s="59"/>
      <x:c r="AM21" s="59"/>
      <x:c r="AN21" s="59"/>
    </x:row>
    <x:row r="22">
      <x:c r="A22" s="59"/>
      <x:c r="B22" s="59"/>
      <x:c r="C22" s="59"/>
      <x:c r="D22" s="59"/>
      <x:c r="E22" s="59"/>
      <x:c r="F22" s="59"/>
      <x:c r="G22" s="59"/>
      <x:c r="H22" s="59"/>
      <x:c r="I22" s="59"/>
      <x:c r="J22" s="59"/>
      <x:c r="K22" s="59"/>
      <x:c r="L22" s="59"/>
      <x:c r="M22" s="59"/>
      <x:c r="N22" s="59"/>
      <x:c r="O22" s="59"/>
      <x:c r="P22" s="59"/>
      <x:c r="Q22" s="59"/>
      <x:c r="R22" s="59"/>
      <x:c r="S22" s="59"/>
      <x:c r="T22" s="59"/>
      <x:c r="U22" s="59"/>
      <x:c r="V22" s="59"/>
      <x:c r="W22" s="59"/>
      <x:c r="X22" s="59"/>
      <x:c r="Y22" s="59"/>
      <x:c r="Z22" s="59"/>
      <x:c r="AA22" s="59"/>
      <x:c r="AB22" s="59"/>
      <x:c r="AC22" s="59"/>
      <x:c r="AD22" s="59"/>
      <x:c r="AE22" s="59"/>
      <x:c r="AF22" s="59"/>
      <x:c r="AG22" s="59"/>
      <x:c r="AH22" s="59"/>
      <x:c r="AI22" s="59"/>
      <x:c r="AJ22" s="59"/>
      <x:c r="AK22" s="59"/>
      <x:c r="AL22" s="59"/>
      <x:c r="AM22" s="59"/>
      <x:c r="AN22" s="59"/>
    </x:row>
    <x:row r="23">
      <x:c r="A23" s="59"/>
      <x:c r="B23" s="59"/>
      <x:c r="C23" s="59"/>
      <x:c r="D23" s="59"/>
      <x:c r="E23" s="59"/>
      <x:c r="F23" s="59"/>
      <x:c r="G23" s="59"/>
      <x:c r="H23" s="59"/>
      <x:c r="I23" s="59"/>
      <x:c r="J23" s="59"/>
      <x:c r="K23" s="59"/>
      <x:c r="L23" s="59"/>
      <x:c r="M23" s="59"/>
      <x:c r="N23" s="59"/>
      <x:c r="O23" s="59"/>
      <x:c r="P23" s="59"/>
      <x:c r="Q23" s="59"/>
      <x:c r="R23" s="59"/>
      <x:c r="S23" s="59"/>
      <x:c r="T23" s="59"/>
      <x:c r="U23" s="59"/>
      <x:c r="V23" s="59"/>
      <x:c r="W23" s="59"/>
      <x:c r="X23" s="59"/>
      <x:c r="Y23" s="59"/>
      <x:c r="Z23" s="59"/>
      <x:c r="AA23" s="59"/>
      <x:c r="AB23" s="59"/>
      <x:c r="AC23" s="59"/>
      <x:c r="AD23" s="59"/>
      <x:c r="AE23" s="59"/>
      <x:c r="AF23" s="59"/>
      <x:c r="AG23" s="59"/>
      <x:c r="AH23" s="59"/>
      <x:c r="AI23" s="59"/>
      <x:c r="AJ23" s="59"/>
      <x:c r="AK23" s="59"/>
      <x:c r="AL23" s="59"/>
      <x:c r="AM23" s="59"/>
      <x:c r="AN23" s="59"/>
    </x:row>
    <x:row r="24">
      <x:c r="A24" s="59"/>
      <x:c r="B24" s="59"/>
      <x:c r="C24" s="59"/>
      <x:c r="D24" s="59"/>
      <x:c r="E24" s="59"/>
      <x:c r="F24" s="59"/>
      <x:c r="G24" s="59"/>
      <x:c r="H24" s="59"/>
      <x:c r="I24" s="59"/>
      <x:c r="J24" s="59"/>
      <x:c r="K24" s="59"/>
      <x:c r="L24" s="59"/>
      <x:c r="M24" s="59"/>
      <x:c r="N24" s="59"/>
      <x:c r="O24" s="59"/>
      <x:c r="P24" s="59"/>
      <x:c r="Q24" s="59"/>
      <x:c r="R24" s="59"/>
      <x:c r="S24" s="59"/>
      <x:c r="T24" s="59"/>
      <x:c r="U24" s="59"/>
      <x:c r="V24" s="59"/>
      <x:c r="W24" s="59"/>
      <x:c r="X24" s="59"/>
      <x:c r="Y24" s="59"/>
      <x:c r="Z24" s="59"/>
      <x:c r="AA24" s="59"/>
      <x:c r="AB24" s="59"/>
      <x:c r="AC24" s="59"/>
      <x:c r="AD24" s="59"/>
      <x:c r="AE24" s="59"/>
      <x:c r="AF24" s="59"/>
      <x:c r="AG24" s="59"/>
      <x:c r="AH24" s="59"/>
      <x:c r="AI24" s="59"/>
      <x:c r="AJ24" s="59"/>
      <x:c r="AK24" s="59"/>
      <x:c r="AL24" s="59"/>
      <x:c r="AM24" s="59"/>
      <x:c r="AN24" s="59"/>
    </x:row>
    <x:row r="25">
      <x:c r="A25" s="59"/>
      <x:c r="B25" s="59"/>
      <x:c r="C25" s="59"/>
      <x:c r="D25" s="59"/>
      <x:c r="E25" s="59"/>
      <x:c r="F25" s="59"/>
      <x:c r="G25" s="59"/>
      <x:c r="H25" s="59"/>
      <x:c r="I25" s="59"/>
      <x:c r="J25" s="59"/>
      <x:c r="K25" s="59"/>
      <x:c r="L25" s="59"/>
      <x:c r="M25" s="59"/>
      <x:c r="N25" s="59"/>
      <x:c r="O25" s="59"/>
      <x:c r="P25" s="59"/>
      <x:c r="Q25" s="59"/>
      <x:c r="R25" s="59"/>
      <x:c r="S25" s="59"/>
      <x:c r="T25" s="59"/>
      <x:c r="U25" s="59"/>
      <x:c r="V25" s="59"/>
      <x:c r="W25" s="59"/>
      <x:c r="X25" s="59"/>
      <x:c r="Y25" s="59"/>
      <x:c r="Z25" s="59"/>
      <x:c r="AA25" s="59"/>
      <x:c r="AB25" s="59"/>
      <x:c r="AC25" s="59"/>
      <x:c r="AD25" s="59"/>
      <x:c r="AE25" s="59"/>
      <x:c r="AF25" s="59"/>
      <x:c r="AG25" s="59"/>
      <x:c r="AH25" s="59"/>
      <x:c r="AI25" s="59"/>
      <x:c r="AJ25" s="59"/>
      <x:c r="AK25" s="59"/>
      <x:c r="AL25" s="59"/>
      <x:c r="AM25" s="59"/>
      <x:c r="AN25" s="59"/>
    </x:row>
    <x:row r="26">
      <x:c r="A26" s="59"/>
      <x:c r="B26" s="59"/>
      <x:c r="C26" s="59"/>
      <x:c r="D26" s="59"/>
      <x:c r="E26" s="59"/>
      <x:c r="F26" s="59"/>
      <x:c r="G26" s="59"/>
      <x:c r="H26" s="59"/>
      <x:c r="I26" s="59"/>
      <x:c r="J26" s="59"/>
      <x:c r="K26" s="59"/>
      <x:c r="L26" s="59"/>
      <x:c r="M26" s="59"/>
      <x:c r="N26" s="59"/>
      <x:c r="O26" s="59"/>
      <x:c r="P26" s="59"/>
      <x:c r="Q26" s="59"/>
      <x:c r="R26" s="59"/>
      <x:c r="S26" s="59"/>
      <x:c r="T26" s="59"/>
      <x:c r="U26" s="59"/>
      <x:c r="V26" s="59"/>
      <x:c r="W26" s="59"/>
      <x:c r="X26" s="59"/>
      <x:c r="Y26" s="59"/>
      <x:c r="Z26" s="59"/>
      <x:c r="AA26" s="59"/>
      <x:c r="AB26" s="59"/>
      <x:c r="AC26" s="59"/>
      <x:c r="AD26" s="59"/>
      <x:c r="AE26" s="59"/>
      <x:c r="AF26" s="59"/>
      <x:c r="AG26" s="59"/>
      <x:c r="AH26" s="59"/>
      <x:c r="AI26" s="59"/>
      <x:c r="AJ26" s="59"/>
      <x:c r="AK26" s="59"/>
      <x:c r="AL26" s="59"/>
      <x:c r="AM26" s="59"/>
      <x:c r="AN26" s="59"/>
    </x:row>
    <x:row r="27">
      <x:c r="A27" s="59"/>
      <x:c r="B27" s="59"/>
      <x:c r="C27" s="59"/>
      <x:c r="D27" s="59"/>
      <x:c r="E27" s="59"/>
      <x:c r="F27" s="59"/>
      <x:c r="G27" s="59"/>
      <x:c r="H27" s="59"/>
      <x:c r="I27" s="59"/>
      <x:c r="J27" s="59"/>
      <x:c r="K27" s="59"/>
      <x:c r="L27" s="59"/>
      <x:c r="M27" s="59"/>
      <x:c r="N27" s="59"/>
      <x:c r="O27" s="59"/>
      <x:c r="P27" s="59"/>
      <x:c r="Q27" s="59"/>
      <x:c r="R27" s="59"/>
      <x:c r="S27" s="59"/>
      <x:c r="T27" s="59"/>
      <x:c r="U27" s="59"/>
      <x:c r="V27" s="59"/>
      <x:c r="W27" s="59"/>
      <x:c r="X27" s="59"/>
      <x:c r="Y27" s="59"/>
      <x:c r="Z27" s="59"/>
      <x:c r="AA27" s="59"/>
      <x:c r="AB27" s="59"/>
      <x:c r="AC27" s="59"/>
      <x:c r="AD27" s="59"/>
      <x:c r="AE27" s="59"/>
      <x:c r="AF27" s="59"/>
      <x:c r="AG27" s="59"/>
      <x:c r="AH27" s="59"/>
      <x:c r="AI27" s="59"/>
      <x:c r="AJ27" s="59"/>
      <x:c r="AK27" s="59"/>
      <x:c r="AL27" s="59"/>
      <x:c r="AM27" s="59"/>
      <x:c r="AN27" s="59"/>
    </x:row>
    <x:row r="28">
      <x:c r="A28" s="59"/>
      <x:c r="B28" s="59"/>
      <x:c r="C28" s="59"/>
      <x:c r="D28" s="59"/>
      <x:c r="E28" s="59"/>
      <x:c r="F28" s="59"/>
      <x:c r="G28" s="59"/>
      <x:c r="H28" s="59"/>
      <x:c r="I28" s="59"/>
      <x:c r="J28" s="59"/>
      <x:c r="K28" s="59"/>
      <x:c r="L28" s="59"/>
      <x:c r="M28" s="59"/>
      <x:c r="N28" s="59"/>
      <x:c r="O28" s="59"/>
      <x:c r="P28" s="59"/>
      <x:c r="Q28" s="59"/>
      <x:c r="R28" s="59"/>
      <x:c r="S28" s="59"/>
      <x:c r="T28" s="59"/>
      <x:c r="U28" s="59"/>
      <x:c r="V28" s="59"/>
      <x:c r="W28" s="59"/>
      <x:c r="X28" s="59"/>
      <x:c r="Y28" s="59"/>
      <x:c r="Z28" s="59"/>
      <x:c r="AA28" s="59"/>
      <x:c r="AB28" s="59"/>
      <x:c r="AC28" s="59"/>
      <x:c r="AD28" s="59"/>
      <x:c r="AE28" s="59"/>
      <x:c r="AF28" s="59"/>
      <x:c r="AG28" s="59"/>
      <x:c r="AH28" s="59"/>
      <x:c r="AI28" s="59"/>
      <x:c r="AJ28" s="59"/>
      <x:c r="AK28" s="59"/>
      <x:c r="AL28" s="59"/>
      <x:c r="AM28" s="59"/>
      <x:c r="AN28" s="59"/>
    </x:row>
    <x:row r="29">
      <x:c r="A29" s="59"/>
      <x:c r="B29" s="59"/>
      <x:c r="C29" s="59"/>
      <x:c r="D29" s="59"/>
      <x:c r="E29" s="59"/>
      <x:c r="F29" s="59"/>
      <x:c r="G29" s="59"/>
      <x:c r="H29" s="59"/>
      <x:c r="I29" s="59"/>
      <x:c r="J29" s="59"/>
      <x:c r="K29" s="59"/>
      <x:c r="L29" s="59"/>
      <x:c r="M29" s="59"/>
      <x:c r="N29" s="59"/>
      <x:c r="O29" s="59"/>
      <x:c r="P29" s="59"/>
      <x:c r="Q29" s="59"/>
      <x:c r="R29" s="59"/>
      <x:c r="S29" s="59"/>
      <x:c r="T29" s="59"/>
      <x:c r="U29" s="59"/>
      <x:c r="V29" s="59"/>
      <x:c r="W29" s="59"/>
      <x:c r="X29" s="59"/>
      <x:c r="Y29" s="59"/>
      <x:c r="Z29" s="59"/>
      <x:c r="AA29" s="59"/>
      <x:c r="AB29" s="59"/>
      <x:c r="AC29" s="59"/>
      <x:c r="AD29" s="59"/>
      <x:c r="AE29" s="59"/>
      <x:c r="AF29" s="59"/>
      <x:c r="AG29" s="59"/>
      <x:c r="AH29" s="59"/>
      <x:c r="AI29" s="59"/>
      <x:c r="AJ29" s="59"/>
      <x:c r="AK29" s="59"/>
      <x:c r="AL29" s="59"/>
      <x:c r="AM29" s="59"/>
      <x:c r="AN29" s="59"/>
    </x:row>
    <x:row r="30">
      <x:c r="A30" s="59"/>
      <x:c r="B30" s="59"/>
      <x:c r="C30" s="59"/>
      <x:c r="D30" s="59"/>
      <x:c r="E30" s="59"/>
      <x:c r="F30" s="59"/>
      <x:c r="G30" s="59"/>
      <x:c r="H30" s="59"/>
      <x:c r="I30" s="59"/>
      <x:c r="J30" s="59"/>
      <x:c r="K30" s="59"/>
      <x:c r="L30" s="59"/>
      <x:c r="M30" s="59"/>
      <x:c r="N30" s="59"/>
      <x:c r="O30" s="59"/>
      <x:c r="P30" s="59"/>
      <x:c r="Q30" s="59"/>
      <x:c r="R30" s="59"/>
      <x:c r="S30" s="59"/>
      <x:c r="T30" s="59"/>
      <x:c r="U30" s="59"/>
      <x:c r="V30" s="59"/>
      <x:c r="W30" s="59"/>
      <x:c r="X30" s="59"/>
      <x:c r="Y30" s="59"/>
      <x:c r="Z30" s="59"/>
      <x:c r="AA30" s="59"/>
      <x:c r="AB30" s="59"/>
      <x:c r="AC30" s="59"/>
      <x:c r="AD30" s="59"/>
      <x:c r="AE30" s="59"/>
      <x:c r="AF30" s="59"/>
      <x:c r="AG30" s="59"/>
      <x:c r="AH30" s="59"/>
      <x:c r="AI30" s="59"/>
      <x:c r="AJ30" s="59"/>
      <x:c r="AK30" s="59"/>
      <x:c r="AL30" s="59"/>
      <x:c r="AM30" s="59"/>
      <x:c r="AN30" s="59"/>
    </x:row>
    <x:row r="31">
      <x:c r="A31" s="59"/>
      <x:c r="B31" s="59"/>
      <x:c r="C31" s="59"/>
      <x:c r="D31" s="59"/>
      <x:c r="E31" s="59"/>
      <x:c r="F31" s="59"/>
      <x:c r="G31" s="59"/>
      <x:c r="H31" s="59"/>
      <x:c r="I31" s="59"/>
      <x:c r="J31" s="59"/>
      <x:c r="K31" s="59"/>
      <x:c r="L31" s="59"/>
      <x:c r="M31" s="59"/>
      <x:c r="N31" s="59"/>
      <x:c r="O31" s="59"/>
      <x:c r="P31" s="59"/>
      <x:c r="Q31" s="59"/>
      <x:c r="R31" s="59"/>
      <x:c r="S31" s="59"/>
      <x:c r="T31" s="59"/>
      <x:c r="U31" s="59"/>
      <x:c r="V31" s="59"/>
      <x:c r="W31" s="59"/>
      <x:c r="X31" s="59"/>
      <x:c r="Y31" s="59"/>
      <x:c r="Z31" s="59"/>
      <x:c r="AA31" s="59"/>
      <x:c r="AB31" s="59"/>
      <x:c r="AC31" s="59"/>
      <x:c r="AD31" s="59"/>
      <x:c r="AE31" s="59"/>
      <x:c r="AF31" s="59"/>
      <x:c r="AG31" s="59"/>
      <x:c r="AH31" s="59"/>
      <x:c r="AI31" s="59"/>
      <x:c r="AJ31" s="59"/>
      <x:c r="AK31" s="59"/>
      <x:c r="AL31" s="59"/>
      <x:c r="AM31" s="59"/>
      <x:c r="AN31" s="59"/>
    </x:row>
    <x:row r="32">
      <x:c r="A32" s="59"/>
      <x:c r="B32" s="59"/>
      <x:c r="C32" s="59"/>
      <x:c r="D32" s="59"/>
      <x:c r="E32" s="59"/>
      <x:c r="F32" s="59"/>
      <x:c r="G32" s="59"/>
      <x:c r="H32" s="59"/>
      <x:c r="I32" s="59"/>
      <x:c r="J32" s="59"/>
      <x:c r="K32" s="59"/>
      <x:c r="L32" s="59"/>
      <x:c r="M32" s="59"/>
      <x:c r="N32" s="59"/>
      <x:c r="O32" s="59"/>
      <x:c r="P32" s="59"/>
      <x:c r="Q32" s="59"/>
      <x:c r="R32" s="59"/>
      <x:c r="S32" s="59"/>
      <x:c r="T32" s="59"/>
      <x:c r="U32" s="59"/>
      <x:c r="V32" s="59"/>
      <x:c r="W32" s="59"/>
      <x:c r="X32" s="59"/>
      <x:c r="Y32" s="59"/>
      <x:c r="Z32" s="59"/>
      <x:c r="AA32" s="59"/>
      <x:c r="AB32" s="59"/>
      <x:c r="AC32" s="59"/>
      <x:c r="AD32" s="59"/>
      <x:c r="AE32" s="59"/>
      <x:c r="AF32" s="59"/>
      <x:c r="AG32" s="59"/>
      <x:c r="AH32" s="59"/>
      <x:c r="AI32" s="59"/>
      <x:c r="AJ32" s="59"/>
      <x:c r="AK32" s="59"/>
      <x:c r="AL32" s="59"/>
      <x:c r="AM32" s="59"/>
      <x:c r="AN32" s="59"/>
    </x:row>
    <x:row r="33">
      <x:c r="A33" s="59"/>
      <x:c r="B33" s="59"/>
      <x:c r="C33" s="59"/>
      <x:c r="D33" s="59"/>
      <x:c r="E33" s="59"/>
      <x:c r="F33" s="59"/>
      <x:c r="G33" s="59"/>
      <x:c r="H33" s="59"/>
      <x:c r="I33" s="59"/>
      <x:c r="J33" s="59"/>
      <x:c r="K33" s="59"/>
      <x:c r="L33" s="59"/>
      <x:c r="M33" s="59"/>
      <x:c r="N33" s="59"/>
      <x:c r="O33" s="59"/>
      <x:c r="P33" s="59"/>
      <x:c r="Q33" s="59"/>
      <x:c r="R33" s="59"/>
      <x:c r="S33" s="59"/>
      <x:c r="T33" s="59"/>
      <x:c r="U33" s="59"/>
      <x:c r="V33" s="59"/>
      <x:c r="W33" s="59"/>
      <x:c r="X33" s="59"/>
      <x:c r="Y33" s="59"/>
      <x:c r="Z33" s="59"/>
      <x:c r="AA33" s="59"/>
      <x:c r="AB33" s="59"/>
      <x:c r="AC33" s="59"/>
      <x:c r="AD33" s="59"/>
      <x:c r="AE33" s="59"/>
      <x:c r="AF33" s="59"/>
      <x:c r="AG33" s="59"/>
      <x:c r="AH33" s="59"/>
      <x:c r="AI33" s="59"/>
      <x:c r="AJ33" s="59"/>
      <x:c r="AK33" s="59"/>
      <x:c r="AL33" s="59"/>
      <x:c r="AM33" s="59"/>
      <x:c r="AN33" s="59"/>
    </x:row>
    <x:row r="34">
      <x:c r="A34" s="59"/>
      <x:c r="B34" s="59"/>
      <x:c r="C34" s="59"/>
      <x:c r="D34" s="59"/>
      <x:c r="E34" s="59"/>
      <x:c r="F34" s="59"/>
      <x:c r="G34" s="59"/>
      <x:c r="H34" s="59"/>
      <x:c r="I34" s="59"/>
      <x:c r="J34" s="59"/>
      <x:c r="K34" s="59"/>
      <x:c r="L34" s="59"/>
      <x:c r="M34" s="59"/>
      <x:c r="N34" s="59"/>
      <x:c r="O34" s="59"/>
      <x:c r="P34" s="59"/>
      <x:c r="Q34" s="59"/>
      <x:c r="R34" s="59"/>
      <x:c r="S34" s="59"/>
      <x:c r="T34" s="59"/>
      <x:c r="U34" s="59"/>
      <x:c r="V34" s="59"/>
      <x:c r="W34" s="59"/>
      <x:c r="X34" s="59"/>
      <x:c r="Y34" s="59"/>
      <x:c r="Z34" s="59"/>
      <x:c r="AA34" s="59"/>
      <x:c r="AB34" s="59"/>
      <x:c r="AC34" s="59"/>
      <x:c r="AD34" s="59"/>
      <x:c r="AE34" s="59"/>
      <x:c r="AF34" s="59"/>
      <x:c r="AG34" s="59"/>
      <x:c r="AH34" s="59"/>
      <x:c r="AI34" s="59"/>
      <x:c r="AJ34" s="59"/>
      <x:c r="AK34" s="59"/>
      <x:c r="AL34" s="59"/>
      <x:c r="AM34" s="59"/>
      <x:c r="AN34" s="59"/>
    </x:row>
    <x:row r="35">
      <x:c r="A35" s="59"/>
      <x:c r="B35" s="59"/>
      <x:c r="C35" s="59"/>
      <x:c r="D35" s="59"/>
      <x:c r="E35" s="59"/>
      <x:c r="F35" s="59"/>
      <x:c r="G35" s="59"/>
      <x:c r="H35" s="59"/>
      <x:c r="I35" s="59"/>
      <x:c r="J35" s="59"/>
      <x:c r="K35" s="59"/>
      <x:c r="L35" s="59"/>
      <x:c r="M35" s="59"/>
      <x:c r="N35" s="59"/>
      <x:c r="O35" s="59"/>
      <x:c r="P35" s="59"/>
      <x:c r="Q35" s="59"/>
      <x:c r="R35" s="59"/>
      <x:c r="S35" s="59"/>
      <x:c r="T35" s="59"/>
      <x:c r="U35" s="59"/>
      <x:c r="V35" s="59"/>
      <x:c r="W35" s="59"/>
      <x:c r="X35" s="59"/>
      <x:c r="Y35" s="59"/>
      <x:c r="Z35" s="59"/>
      <x:c r="AA35" s="59"/>
      <x:c r="AB35" s="59"/>
      <x:c r="AC35" s="59"/>
      <x:c r="AD35" s="59"/>
      <x:c r="AE35" s="59"/>
      <x:c r="AF35" s="59"/>
      <x:c r="AG35" s="59"/>
      <x:c r="AH35" s="59"/>
      <x:c r="AI35" s="59"/>
      <x:c r="AJ35" s="59"/>
      <x:c r="AK35" s="59"/>
      <x:c r="AL35" s="59"/>
      <x:c r="AM35" s="59"/>
      <x:c r="AN35" s="59"/>
    </x:row>
    <x:row r="36">
      <x:c r="A36" s="59"/>
      <x:c r="B36" s="59"/>
      <x:c r="C36" s="59"/>
      <x:c r="D36" s="59"/>
      <x:c r="E36" s="59"/>
      <x:c r="F36" s="59"/>
      <x:c r="G36" s="59"/>
      <x:c r="H36" s="59"/>
      <x:c r="I36" s="59"/>
      <x:c r="J36" s="59"/>
      <x:c r="K36" s="59"/>
      <x:c r="L36" s="59"/>
      <x:c r="M36" s="59"/>
      <x:c r="N36" s="59"/>
      <x:c r="O36" s="59"/>
      <x:c r="P36" s="59"/>
      <x:c r="Q36" s="59"/>
      <x:c r="R36" s="59"/>
      <x:c r="S36" s="59"/>
      <x:c r="T36" s="59"/>
      <x:c r="U36" s="59"/>
      <x:c r="V36" s="59"/>
      <x:c r="W36" s="59"/>
      <x:c r="X36" s="59"/>
      <x:c r="Y36" s="59"/>
      <x:c r="Z36" s="59"/>
      <x:c r="AA36" s="59"/>
      <x:c r="AB36" s="59"/>
      <x:c r="AC36" s="59"/>
      <x:c r="AD36" s="59"/>
      <x:c r="AE36" s="59"/>
      <x:c r="AF36" s="59"/>
      <x:c r="AG36" s="59"/>
      <x:c r="AH36" s="59"/>
      <x:c r="AI36" s="59"/>
      <x:c r="AJ36" s="59"/>
      <x:c r="AK36" s="59"/>
      <x:c r="AL36" s="59"/>
      <x:c r="AM36" s="59"/>
      <x:c r="AN36" s="59"/>
    </x:row>
    <x:row r="37">
      <x:c r="A37" s="59"/>
      <x:c r="B37" s="59"/>
      <x:c r="C37" s="59"/>
      <x:c r="D37" s="59"/>
      <x:c r="E37" s="59"/>
      <x:c r="F37" s="59"/>
      <x:c r="G37" s="59"/>
      <x:c r="H37" s="59"/>
      <x:c r="I37" s="59"/>
      <x:c r="J37" s="59"/>
      <x:c r="K37" s="59"/>
      <x:c r="L37" s="59"/>
      <x:c r="M37" s="59"/>
      <x:c r="N37" s="59"/>
      <x:c r="O37" s="59"/>
      <x:c r="P37" s="59"/>
      <x:c r="Q37" s="59"/>
      <x:c r="R37" s="59"/>
      <x:c r="S37" s="59"/>
      <x:c r="T37" s="59"/>
      <x:c r="U37" s="59"/>
      <x:c r="V37" s="59"/>
      <x:c r="W37" s="59"/>
      <x:c r="X37" s="59"/>
      <x:c r="Y37" s="59"/>
      <x:c r="Z37" s="59"/>
      <x:c r="AA37" s="59"/>
      <x:c r="AB37" s="59"/>
      <x:c r="AC37" s="59"/>
      <x:c r="AD37" s="59"/>
      <x:c r="AE37" s="59"/>
      <x:c r="AF37" s="59"/>
      <x:c r="AG37" s="59"/>
      <x:c r="AH37" s="59"/>
      <x:c r="AI37" s="59"/>
      <x:c r="AJ37" s="59"/>
      <x:c r="AK37" s="59"/>
      <x:c r="AL37" s="59"/>
      <x:c r="AM37" s="59"/>
      <x:c r="AN37" s="59"/>
    </x:row>
    <x:row r="38">
      <x:c r="A38" s="59"/>
      <x:c r="B38" s="59"/>
      <x:c r="C38" s="59"/>
      <x:c r="D38" s="59"/>
      <x:c r="E38" s="59"/>
      <x:c r="F38" s="59"/>
      <x:c r="G38" s="59"/>
      <x:c r="H38" s="59"/>
      <x:c r="I38" s="59"/>
      <x:c r="J38" s="59"/>
      <x:c r="K38" s="59"/>
      <x:c r="L38" s="59"/>
      <x:c r="M38" s="59"/>
      <x:c r="N38" s="59"/>
      <x:c r="O38" s="59"/>
      <x:c r="P38" s="59"/>
      <x:c r="Q38" s="59"/>
      <x:c r="R38" s="59"/>
      <x:c r="S38" s="59"/>
      <x:c r="T38" s="59"/>
      <x:c r="U38" s="59"/>
      <x:c r="V38" s="59"/>
      <x:c r="W38" s="59"/>
      <x:c r="X38" s="59"/>
      <x:c r="Y38" s="59"/>
      <x:c r="Z38" s="59"/>
      <x:c r="AA38" s="59"/>
      <x:c r="AB38" s="59"/>
      <x:c r="AC38" s="59"/>
      <x:c r="AD38" s="59"/>
      <x:c r="AE38" s="59"/>
      <x:c r="AF38" s="59"/>
      <x:c r="AG38" s="59"/>
      <x:c r="AH38" s="59"/>
      <x:c r="AI38" s="59"/>
      <x:c r="AJ38" s="59"/>
      <x:c r="AK38" s="59"/>
      <x:c r="AL38" s="59"/>
      <x:c r="AM38" s="59"/>
      <x:c r="AN38" s="59"/>
    </x:row>
    <x:row r="39">
      <x:c r="A39" s="59"/>
      <x:c r="B39" s="59"/>
      <x:c r="C39" s="59"/>
      <x:c r="D39" s="59"/>
      <x:c r="E39" s="59"/>
      <x:c r="F39" s="59"/>
      <x:c r="G39" s="59"/>
      <x:c r="H39" s="59"/>
      <x:c r="I39" s="59"/>
      <x:c r="J39" s="59"/>
      <x:c r="K39" s="59"/>
      <x:c r="L39" s="59"/>
      <x:c r="M39" s="59"/>
      <x:c r="N39" s="59"/>
      <x:c r="O39" s="59"/>
      <x:c r="P39" s="59"/>
      <x:c r="Q39" s="59"/>
      <x:c r="R39" s="59"/>
      <x:c r="S39" s="59"/>
      <x:c r="T39" s="59"/>
      <x:c r="U39" s="59"/>
      <x:c r="V39" s="59"/>
      <x:c r="W39" s="59"/>
      <x:c r="X39" s="59"/>
      <x:c r="Y39" s="59"/>
      <x:c r="Z39" s="59"/>
      <x:c r="AA39" s="59"/>
      <x:c r="AB39" s="59"/>
      <x:c r="AC39" s="59"/>
      <x:c r="AD39" s="59"/>
      <x:c r="AE39" s="59"/>
      <x:c r="AF39" s="59"/>
      <x:c r="AG39" s="59"/>
      <x:c r="AH39" s="59"/>
      <x:c r="AI39" s="59"/>
      <x:c r="AJ39" s="59"/>
      <x:c r="AK39" s="59"/>
      <x:c r="AL39" s="59"/>
      <x:c r="AM39" s="59"/>
      <x:c r="AN39" s="59"/>
    </x:row>
    <x:row r="40">
      <x:c r="A40" s="59"/>
      <x:c r="B40" s="59"/>
      <x:c r="C40" s="59"/>
      <x:c r="D40" s="59"/>
      <x:c r="E40" s="59"/>
      <x:c r="F40" s="59"/>
      <x:c r="G40" s="59"/>
      <x:c r="H40" s="59"/>
      <x:c r="I40" s="59"/>
      <x:c r="J40" s="59"/>
      <x:c r="K40" s="59"/>
      <x:c r="L40" s="59"/>
      <x:c r="M40" s="59"/>
      <x:c r="N40" s="59"/>
      <x:c r="O40" s="59"/>
      <x:c r="P40" s="59"/>
      <x:c r="Q40" s="59"/>
      <x:c r="R40" s="59"/>
      <x:c r="S40" s="59"/>
      <x:c r="T40" s="59"/>
      <x:c r="U40" s="59"/>
      <x:c r="V40" s="59"/>
      <x:c r="W40" s="59"/>
      <x:c r="X40" s="59"/>
      <x:c r="Y40" s="59"/>
      <x:c r="Z40" s="59"/>
      <x:c r="AA40" s="59"/>
      <x:c r="AB40" s="59"/>
      <x:c r="AC40" s="59"/>
      <x:c r="AD40" s="59"/>
      <x:c r="AE40" s="59"/>
      <x:c r="AF40" s="59"/>
      <x:c r="AG40" s="59"/>
      <x:c r="AH40" s="59"/>
      <x:c r="AI40" s="59"/>
      <x:c r="AJ40" s="59"/>
      <x:c r="AK40" s="59"/>
      <x:c r="AL40" s="59"/>
      <x:c r="AM40" s="59"/>
      <x:c r="AN40" s="59"/>
    </x:row>
    <x:row r="41">
      <x:c r="A41" s="59"/>
      <x:c r="B41" s="59"/>
      <x:c r="C41" s="59"/>
      <x:c r="D41" s="59"/>
      <x:c r="E41" s="59"/>
      <x:c r="F41" s="59"/>
      <x:c r="G41" s="59"/>
      <x:c r="H41" s="59"/>
      <x:c r="I41" s="59"/>
      <x:c r="J41" s="59"/>
      <x:c r="K41" s="59"/>
      <x:c r="L41" s="59"/>
      <x:c r="M41" s="59"/>
      <x:c r="N41" s="59"/>
      <x:c r="O41" s="59"/>
      <x:c r="P41" s="59"/>
      <x:c r="Q41" s="59"/>
      <x:c r="R41" s="59"/>
      <x:c r="S41" s="59"/>
      <x:c r="T41" s="59"/>
      <x:c r="U41" s="59"/>
      <x:c r="V41" s="59"/>
      <x:c r="W41" s="59"/>
      <x:c r="X41" s="59"/>
      <x:c r="Y41" s="59"/>
      <x:c r="Z41" s="59"/>
      <x:c r="AA41" s="59"/>
      <x:c r="AB41" s="59"/>
      <x:c r="AC41" s="59"/>
      <x:c r="AD41" s="59"/>
      <x:c r="AE41" s="59"/>
      <x:c r="AF41" s="59"/>
      <x:c r="AG41" s="59"/>
      <x:c r="AH41" s="59"/>
      <x:c r="AI41" s="59"/>
      <x:c r="AJ41" s="59"/>
      <x:c r="AK41" s="59"/>
      <x:c r="AL41" s="59"/>
      <x:c r="AM41" s="59"/>
      <x:c r="AN41" s="59"/>
    </x:row>
    <x:row r="42">
      <x:c r="A42" s="59"/>
      <x:c r="B42" s="59"/>
      <x:c r="C42" s="59"/>
      <x:c r="D42" s="59"/>
      <x:c r="E42" s="59"/>
      <x:c r="F42" s="59"/>
      <x:c r="G42" s="59"/>
      <x:c r="H42" s="59"/>
      <x:c r="I42" s="59"/>
      <x:c r="J42" s="59"/>
      <x:c r="K42" s="59"/>
      <x:c r="L42" s="59"/>
      <x:c r="M42" s="59"/>
      <x:c r="N42" s="59"/>
      <x:c r="O42" s="59"/>
      <x:c r="P42" s="59"/>
      <x:c r="Q42" s="59"/>
      <x:c r="R42" s="59"/>
      <x:c r="S42" s="59"/>
      <x:c r="T42" s="59"/>
      <x:c r="U42" s="59"/>
      <x:c r="V42" s="59"/>
      <x:c r="W42" s="59"/>
      <x:c r="X42" s="59"/>
      <x:c r="Y42" s="59"/>
      <x:c r="Z42" s="59"/>
      <x:c r="AA42" s="59"/>
      <x:c r="AB42" s="59"/>
      <x:c r="AC42" s="59"/>
      <x:c r="AD42" s="59"/>
      <x:c r="AE42" s="59"/>
      <x:c r="AF42" s="59"/>
      <x:c r="AG42" s="59"/>
      <x:c r="AH42" s="59"/>
      <x:c r="AI42" s="59"/>
      <x:c r="AJ42" s="59"/>
      <x:c r="AK42" s="59"/>
      <x:c r="AL42" s="59"/>
      <x:c r="AM42" s="59"/>
      <x:c r="AN42" s="59"/>
    </x:row>
    <x:row r="43">
      <x:c r="A43" s="59"/>
      <x:c r="B43" s="59"/>
      <x:c r="C43" s="59"/>
      <x:c r="D43" s="59"/>
      <x:c r="E43" s="59"/>
      <x:c r="F43" s="59"/>
      <x:c r="G43" s="59"/>
      <x:c r="H43" s="59"/>
      <x:c r="I43" s="59"/>
      <x:c r="J43" s="59"/>
      <x:c r="K43" s="59"/>
      <x:c r="L43" s="59"/>
      <x:c r="M43" s="59"/>
      <x:c r="N43" s="59"/>
      <x:c r="O43" s="59"/>
      <x:c r="P43" s="59"/>
      <x:c r="Q43" s="59"/>
      <x:c r="R43" s="59"/>
      <x:c r="S43" s="59"/>
      <x:c r="T43" s="59"/>
      <x:c r="U43" s="59"/>
      <x:c r="V43" s="59"/>
      <x:c r="W43" s="59"/>
      <x:c r="X43" s="59"/>
      <x:c r="Y43" s="59"/>
      <x:c r="Z43" s="59"/>
      <x:c r="AA43" s="59"/>
      <x:c r="AB43" s="59"/>
      <x:c r="AC43" s="59"/>
      <x:c r="AD43" s="59"/>
      <x:c r="AE43" s="59"/>
      <x:c r="AF43" s="59"/>
      <x:c r="AG43" s="59"/>
      <x:c r="AH43" s="59"/>
      <x:c r="AI43" s="59"/>
      <x:c r="AJ43" s="59"/>
      <x:c r="AK43" s="59"/>
      <x:c r="AL43" s="59"/>
      <x:c r="AM43" s="59"/>
      <x:c r="AN43" s="59"/>
    </x:row>
    <x:row r="44">
      <x:c r="A44" s="59"/>
      <x:c r="B44" s="59"/>
      <x:c r="C44" s="59"/>
      <x:c r="D44" s="59"/>
      <x:c r="E44" s="59"/>
      <x:c r="F44" s="59"/>
      <x:c r="G44" s="59"/>
      <x:c r="H44" s="59"/>
      <x:c r="I44" s="59"/>
      <x:c r="J44" s="59"/>
      <x:c r="K44" s="59"/>
      <x:c r="L44" s="59"/>
      <x:c r="M44" s="59"/>
      <x:c r="N44" s="59"/>
      <x:c r="O44" s="59"/>
      <x:c r="P44" s="59"/>
      <x:c r="Q44" s="59"/>
      <x:c r="R44" s="59"/>
      <x:c r="S44" s="59"/>
      <x:c r="T44" s="59"/>
      <x:c r="U44" s="59"/>
      <x:c r="V44" s="59"/>
      <x:c r="W44" s="59"/>
      <x:c r="X44" s="59"/>
      <x:c r="Y44" s="59"/>
      <x:c r="Z44" s="59"/>
      <x:c r="AA44" s="59"/>
      <x:c r="AB44" s="59"/>
      <x:c r="AC44" s="59"/>
      <x:c r="AD44" s="59"/>
      <x:c r="AE44" s="59"/>
      <x:c r="AF44" s="59"/>
      <x:c r="AG44" s="59"/>
      <x:c r="AH44" s="59"/>
      <x:c r="AI44" s="59"/>
      <x:c r="AJ44" s="59"/>
      <x:c r="AK44" s="59"/>
      <x:c r="AL44" s="59"/>
      <x:c r="AM44" s="59"/>
      <x:c r="AN44" s="59"/>
    </x:row>
    <x:row r="45">
      <x:c r="A45" s="59"/>
      <x:c r="B45" s="59"/>
      <x:c r="C45" s="59"/>
      <x:c r="D45" s="59"/>
      <x:c r="E45" s="59"/>
      <x:c r="F45" s="59"/>
      <x:c r="G45" s="59"/>
      <x:c r="H45" s="59"/>
      <x:c r="I45" s="59"/>
      <x:c r="J45" s="59"/>
      <x:c r="K45" s="59"/>
      <x:c r="L45" s="59"/>
      <x:c r="M45" s="59"/>
      <x:c r="N45" s="59"/>
      <x:c r="O45" s="59"/>
      <x:c r="P45" s="59"/>
      <x:c r="Q45" s="59"/>
      <x:c r="R45" s="59"/>
      <x:c r="S45" s="59"/>
      <x:c r="T45" s="59"/>
      <x:c r="U45" s="59"/>
      <x:c r="V45" s="59"/>
      <x:c r="W45" s="59"/>
      <x:c r="X45" s="59"/>
      <x:c r="Y45" s="59"/>
      <x:c r="Z45" s="59"/>
      <x:c r="AA45" s="59"/>
      <x:c r="AB45" s="59"/>
      <x:c r="AC45" s="59"/>
      <x:c r="AD45" s="59"/>
      <x:c r="AE45" s="59"/>
      <x:c r="AF45" s="59"/>
      <x:c r="AG45" s="59"/>
      <x:c r="AH45" s="59"/>
      <x:c r="AI45" s="59"/>
      <x:c r="AJ45" s="59"/>
      <x:c r="AK45" s="59"/>
      <x:c r="AL45" s="59"/>
      <x:c r="AM45" s="59"/>
      <x:c r="AN45" s="59"/>
    </x:row>
    <x:row r="46">
      <x:c r="A46" s="59"/>
      <x:c r="B46" s="59"/>
      <x:c r="C46" s="59"/>
      <x:c r="D46" s="59"/>
      <x:c r="E46" s="59"/>
      <x:c r="F46" s="59"/>
      <x:c r="G46" s="59"/>
      <x:c r="H46" s="59"/>
      <x:c r="I46" s="59"/>
      <x:c r="J46" s="59"/>
      <x:c r="K46" s="59"/>
      <x:c r="L46" s="59"/>
      <x:c r="M46" s="59"/>
      <x:c r="N46" s="59"/>
      <x:c r="O46" s="59"/>
      <x:c r="P46" s="59"/>
      <x:c r="Q46" s="59"/>
      <x:c r="R46" s="59"/>
      <x:c r="S46" s="59"/>
      <x:c r="T46" s="59"/>
      <x:c r="U46" s="59"/>
      <x:c r="V46" s="59"/>
      <x:c r="W46" s="59"/>
      <x:c r="X46" s="59"/>
      <x:c r="Y46" s="59"/>
      <x:c r="Z46" s="59"/>
      <x:c r="AA46" s="59"/>
      <x:c r="AB46" s="59"/>
      <x:c r="AC46" s="59"/>
      <x:c r="AD46" s="59"/>
      <x:c r="AE46" s="59"/>
      <x:c r="AF46" s="59"/>
      <x:c r="AG46" s="59"/>
      <x:c r="AH46" s="59"/>
      <x:c r="AI46" s="59"/>
      <x:c r="AJ46" s="59"/>
      <x:c r="AK46" s="59"/>
      <x:c r="AL46" s="59"/>
      <x:c r="AM46" s="59"/>
      <x:c r="AN46" s="59"/>
    </x:row>
    <x:row r="47">
      <x:c r="A47" s="59"/>
      <x:c r="B47" s="59"/>
      <x:c r="C47" s="59"/>
      <x:c r="D47" s="59"/>
      <x:c r="E47" s="59"/>
      <x:c r="F47" s="59"/>
      <x:c r="G47" s="59"/>
      <x:c r="H47" s="59"/>
      <x:c r="I47" s="59"/>
      <x:c r="J47" s="59"/>
      <x:c r="K47" s="59"/>
      <x:c r="L47" s="59"/>
      <x:c r="M47" s="59"/>
      <x:c r="N47" s="59"/>
      <x:c r="O47" s="59"/>
      <x:c r="P47" s="59"/>
      <x:c r="Q47" s="59"/>
      <x:c r="R47" s="59"/>
      <x:c r="S47" s="59"/>
      <x:c r="T47" s="59"/>
      <x:c r="U47" s="59"/>
      <x:c r="V47" s="59"/>
      <x:c r="W47" s="59"/>
      <x:c r="X47" s="59"/>
      <x:c r="Y47" s="59"/>
      <x:c r="Z47" s="59"/>
      <x:c r="AA47" s="59"/>
      <x:c r="AB47" s="59"/>
      <x:c r="AC47" s="59"/>
      <x:c r="AD47" s="59"/>
      <x:c r="AE47" s="59"/>
      <x:c r="AF47" s="59"/>
      <x:c r="AG47" s="59"/>
      <x:c r="AH47" s="59"/>
      <x:c r="AI47" s="59"/>
      <x:c r="AJ47" s="59"/>
      <x:c r="AK47" s="59"/>
      <x:c r="AL47" s="59"/>
      <x:c r="AM47" s="59"/>
      <x:c r="AN47" s="59"/>
    </x:row>
    <x:row r="48">
      <x:c r="A48" s="59"/>
      <x:c r="B48" s="59"/>
      <x:c r="C48" s="59"/>
      <x:c r="D48" s="59"/>
      <x:c r="E48" s="59"/>
      <x:c r="F48" s="59"/>
      <x:c r="G48" s="59"/>
      <x:c r="H48" s="59"/>
      <x:c r="I48" s="59"/>
      <x:c r="J48" s="59"/>
      <x:c r="K48" s="59"/>
      <x:c r="L48" s="59"/>
      <x:c r="M48" s="59"/>
      <x:c r="N48" s="59"/>
      <x:c r="O48" s="59"/>
      <x:c r="P48" s="59"/>
      <x:c r="Q48" s="59"/>
      <x:c r="R48" s="59"/>
      <x:c r="S48" s="59"/>
      <x:c r="T48" s="59"/>
      <x:c r="U48" s="59"/>
      <x:c r="V48" s="59"/>
      <x:c r="W48" s="59"/>
      <x:c r="X48" s="59"/>
      <x:c r="Y48" s="59"/>
      <x:c r="Z48" s="59"/>
      <x:c r="AA48" s="59"/>
      <x:c r="AB48" s="59"/>
      <x:c r="AC48" s="59"/>
      <x:c r="AD48" s="59"/>
      <x:c r="AE48" s="59"/>
      <x:c r="AF48" s="59"/>
      <x:c r="AG48" s="59"/>
      <x:c r="AH48" s="59"/>
      <x:c r="AI48" s="59"/>
      <x:c r="AJ48" s="59"/>
      <x:c r="AK48" s="59"/>
      <x:c r="AL48" s="59"/>
      <x:c r="AM48" s="59"/>
      <x:c r="AN48" s="59"/>
    </x:row>
    <x:row r="49">
      <x:c r="A49" s="59"/>
      <x:c r="B49" s="59"/>
      <x:c r="C49" s="59"/>
      <x:c r="D49" s="59"/>
      <x:c r="E49" s="59"/>
      <x:c r="F49" s="59"/>
      <x:c r="G49" s="59"/>
      <x:c r="H49" s="59"/>
      <x:c r="I49" s="59"/>
      <x:c r="J49" s="59"/>
      <x:c r="K49" s="59"/>
      <x:c r="L49" s="59"/>
      <x:c r="M49" s="59"/>
      <x:c r="N49" s="59"/>
      <x:c r="O49" s="59"/>
      <x:c r="P49" s="59"/>
      <x:c r="Q49" s="59"/>
      <x:c r="R49" s="59"/>
      <x:c r="S49" s="59"/>
      <x:c r="T49" s="59"/>
      <x:c r="U49" s="59"/>
      <x:c r="V49" s="59"/>
      <x:c r="W49" s="59"/>
      <x:c r="X49" s="59"/>
      <x:c r="Y49" s="59"/>
      <x:c r="Z49" s="59"/>
      <x:c r="AA49" s="59"/>
      <x:c r="AB49" s="59"/>
      <x:c r="AC49" s="59"/>
      <x:c r="AD49" s="59"/>
      <x:c r="AE49" s="59"/>
      <x:c r="AF49" s="59"/>
      <x:c r="AG49" s="59"/>
      <x:c r="AH49" s="59"/>
      <x:c r="AI49" s="59"/>
      <x:c r="AJ49" s="59"/>
      <x:c r="AK49" s="59"/>
      <x:c r="AL49" s="59"/>
      <x:c r="AM49" s="59"/>
      <x:c r="AN49" s="59"/>
    </x:row>
    <x:row r="50">
      <x:c r="A50" s="59"/>
      <x:c r="B50" s="59"/>
      <x:c r="C50" s="59"/>
      <x:c r="D50" s="59"/>
      <x:c r="E50" s="59"/>
      <x:c r="F50" s="59"/>
      <x:c r="G50" s="59"/>
      <x:c r="H50" s="59"/>
      <x:c r="I50" s="59"/>
      <x:c r="J50" s="59"/>
      <x:c r="K50" s="59"/>
      <x:c r="L50" s="59"/>
      <x:c r="M50" s="59"/>
      <x:c r="N50" s="59"/>
      <x:c r="O50" s="59"/>
      <x:c r="P50" s="59"/>
      <x:c r="Q50" s="59"/>
      <x:c r="R50" s="59"/>
      <x:c r="S50" s="59"/>
      <x:c r="T50" s="59"/>
      <x:c r="U50" s="59"/>
      <x:c r="V50" s="59"/>
      <x:c r="W50" s="59"/>
      <x:c r="X50" s="59"/>
      <x:c r="Y50" s="59"/>
      <x:c r="Z50" s="59"/>
      <x:c r="AA50" s="59"/>
      <x:c r="AB50" s="59"/>
      <x:c r="AC50" s="59"/>
      <x:c r="AD50" s="59"/>
      <x:c r="AE50" s="59"/>
      <x:c r="AF50" s="59"/>
      <x:c r="AG50" s="59"/>
      <x:c r="AH50" s="59"/>
      <x:c r="AI50" s="59"/>
      <x:c r="AJ50" s="59"/>
      <x:c r="AK50" s="59"/>
      <x:c r="AL50" s="59"/>
      <x:c r="AM50" s="59"/>
      <x:c r="AN50" s="59"/>
    </x:row>
    <x:row r="51">
      <x:c r="A51" s="59"/>
      <x:c r="B51" s="59"/>
      <x:c r="C51" s="59"/>
      <x:c r="D51" s="59"/>
      <x:c r="E51" s="59"/>
      <x:c r="F51" s="59"/>
      <x:c r="G51" s="59"/>
      <x:c r="H51" s="59"/>
      <x:c r="I51" s="59"/>
      <x:c r="J51" s="59"/>
      <x:c r="K51" s="59"/>
      <x:c r="L51" s="59"/>
      <x:c r="M51" s="59"/>
      <x:c r="N51" s="59"/>
      <x:c r="O51" s="59"/>
      <x:c r="P51" s="59"/>
      <x:c r="Q51" s="59"/>
      <x:c r="R51" s="59"/>
      <x:c r="S51" s="59"/>
      <x:c r="T51" s="59"/>
      <x:c r="U51" s="59"/>
      <x:c r="V51" s="59"/>
      <x:c r="W51" s="59"/>
      <x:c r="X51" s="59"/>
      <x:c r="Y51" s="59"/>
      <x:c r="Z51" s="59"/>
      <x:c r="AA51" s="59"/>
      <x:c r="AB51" s="59"/>
      <x:c r="AC51" s="59"/>
      <x:c r="AD51" s="59"/>
      <x:c r="AE51" s="59"/>
      <x:c r="AF51" s="59"/>
      <x:c r="AG51" s="59"/>
      <x:c r="AH51" s="59"/>
      <x:c r="AI51" s="59"/>
      <x:c r="AJ51" s="59"/>
      <x:c r="AK51" s="59"/>
      <x:c r="AL51" s="59"/>
      <x:c r="AM51" s="59"/>
      <x:c r="AN51" s="59"/>
    </x:row>
    <x:row r="52">
      <x:c r="A52" s="59"/>
      <x:c r="B52" s="59"/>
      <x:c r="C52" s="59"/>
      <x:c r="D52" s="59"/>
      <x:c r="E52" s="59"/>
      <x:c r="F52" s="59"/>
      <x:c r="G52" s="59"/>
      <x:c r="H52" s="59"/>
      <x:c r="I52" s="59"/>
      <x:c r="J52" s="59"/>
      <x:c r="K52" s="59"/>
      <x:c r="L52" s="59"/>
      <x:c r="M52" s="59"/>
      <x:c r="N52" s="59"/>
      <x:c r="O52" s="59"/>
      <x:c r="P52" s="59"/>
      <x:c r="Q52" s="59"/>
      <x:c r="R52" s="59"/>
      <x:c r="S52" s="59"/>
      <x:c r="T52" s="59"/>
      <x:c r="U52" s="59"/>
      <x:c r="V52" s="59"/>
      <x:c r="W52" s="59"/>
      <x:c r="X52" s="59"/>
      <x:c r="Y52" s="59"/>
      <x:c r="Z52" s="59"/>
      <x:c r="AA52" s="59"/>
      <x:c r="AB52" s="59"/>
      <x:c r="AC52" s="59"/>
      <x:c r="AD52" s="59"/>
      <x:c r="AE52" s="59"/>
      <x:c r="AF52" s="59"/>
      <x:c r="AG52" s="59"/>
      <x:c r="AH52" s="59"/>
      <x:c r="AI52" s="59"/>
      <x:c r="AJ52" s="59"/>
      <x:c r="AK52" s="59"/>
      <x:c r="AL52" s="59"/>
      <x:c r="AM52" s="59"/>
      <x:c r="AN52" s="59"/>
    </x:row>
    <x:row r="53">
      <x:c r="A53" s="59"/>
      <x:c r="B53" s="59"/>
      <x:c r="C53" s="59"/>
      <x:c r="D53" s="59"/>
      <x:c r="E53" s="59"/>
      <x:c r="F53" s="59"/>
      <x:c r="G53" s="59"/>
      <x:c r="H53" s="59"/>
      <x:c r="I53" s="59"/>
      <x:c r="J53" s="59"/>
      <x:c r="K53" s="59"/>
      <x:c r="L53" s="59"/>
      <x:c r="M53" s="59"/>
      <x:c r="N53" s="59"/>
      <x:c r="O53" s="59"/>
      <x:c r="P53" s="59"/>
      <x:c r="Q53" s="59"/>
      <x:c r="R53" s="59"/>
      <x:c r="S53" s="59"/>
      <x:c r="T53" s="59"/>
      <x:c r="U53" s="59"/>
      <x:c r="V53" s="59"/>
      <x:c r="W53" s="59"/>
      <x:c r="X53" s="59"/>
      <x:c r="Y53" s="59"/>
      <x:c r="Z53" s="59"/>
      <x:c r="AA53" s="59"/>
      <x:c r="AB53" s="59"/>
      <x:c r="AC53" s="59"/>
      <x:c r="AD53" s="59"/>
      <x:c r="AE53" s="59"/>
      <x:c r="AF53" s="59"/>
      <x:c r="AG53" s="59"/>
      <x:c r="AH53" s="59"/>
      <x:c r="AI53" s="59"/>
      <x:c r="AJ53" s="59"/>
      <x:c r="AK53" s="59"/>
      <x:c r="AL53" s="59"/>
      <x:c r="AM53" s="59"/>
      <x:c r="AN53" s="59"/>
    </x:row>
    <x:row r="54">
      <x:c r="A54" s="59"/>
      <x:c r="B54" s="59"/>
      <x:c r="C54" s="59"/>
      <x:c r="D54" s="59"/>
      <x:c r="E54" s="59"/>
      <x:c r="F54" s="59"/>
      <x:c r="G54" s="59"/>
      <x:c r="H54" s="59"/>
      <x:c r="I54" s="59"/>
      <x:c r="J54" s="59"/>
      <x:c r="K54" s="59"/>
      <x:c r="L54" s="59"/>
      <x:c r="M54" s="59"/>
      <x:c r="N54" s="59"/>
      <x:c r="O54" s="59"/>
      <x:c r="P54" s="59"/>
      <x:c r="Q54" s="59"/>
      <x:c r="R54" s="59"/>
      <x:c r="S54" s="59"/>
      <x:c r="T54" s="59"/>
      <x:c r="U54" s="59"/>
      <x:c r="V54" s="59"/>
      <x:c r="W54" s="59"/>
      <x:c r="X54" s="59"/>
      <x:c r="Y54" s="59"/>
      <x:c r="Z54" s="59"/>
      <x:c r="AA54" s="59"/>
      <x:c r="AB54" s="59"/>
      <x:c r="AC54" s="59"/>
      <x:c r="AD54" s="59"/>
      <x:c r="AE54" s="59"/>
      <x:c r="AF54" s="59"/>
      <x:c r="AG54" s="59"/>
      <x:c r="AH54" s="59"/>
      <x:c r="AI54" s="59"/>
      <x:c r="AJ54" s="59"/>
      <x:c r="AK54" s="59"/>
      <x:c r="AL54" s="59"/>
      <x:c r="AM54" s="59"/>
      <x:c r="AN54" s="59"/>
    </x:row>
    <x:row r="55">
      <x:c r="A55" s="59"/>
      <x:c r="B55" s="59"/>
      <x:c r="C55" s="59"/>
      <x:c r="D55" s="59"/>
      <x:c r="E55" s="59"/>
      <x:c r="F55" s="59"/>
      <x:c r="G55" s="59"/>
      <x:c r="H55" s="59"/>
      <x:c r="I55" s="59"/>
      <x:c r="J55" s="59"/>
      <x:c r="K55" s="59"/>
      <x:c r="L55" s="59"/>
      <x:c r="M55" s="59"/>
      <x:c r="N55" s="59"/>
      <x:c r="O55" s="59"/>
      <x:c r="P55" s="59"/>
      <x:c r="Q55" s="59"/>
      <x:c r="R55" s="59"/>
      <x:c r="S55" s="59"/>
      <x:c r="T55" s="59"/>
      <x:c r="U55" s="59"/>
      <x:c r="V55" s="59"/>
      <x:c r="W55" s="59"/>
      <x:c r="X55" s="59"/>
      <x:c r="Y55" s="59"/>
      <x:c r="Z55" s="59"/>
      <x:c r="AA55" s="59"/>
      <x:c r="AB55" s="59"/>
      <x:c r="AC55" s="59"/>
      <x:c r="AD55" s="59"/>
      <x:c r="AE55" s="59"/>
      <x:c r="AF55" s="59"/>
      <x:c r="AG55" s="59"/>
      <x:c r="AH55" s="59"/>
      <x:c r="AI55" s="59"/>
      <x:c r="AJ55" s="59"/>
      <x:c r="AK55" s="59"/>
      <x:c r="AL55" s="59"/>
      <x:c r="AM55" s="59"/>
      <x:c r="AN55" s="59"/>
    </x:row>
    <x:row r="56">
      <x:c r="A56" s="59"/>
      <x:c r="B56" s="59"/>
      <x:c r="C56" s="59"/>
      <x:c r="D56" s="59"/>
      <x:c r="E56" s="59"/>
      <x:c r="F56" s="59"/>
      <x:c r="G56" s="59"/>
      <x:c r="H56" s="59"/>
      <x:c r="I56" s="59"/>
      <x:c r="J56" s="59"/>
      <x:c r="K56" s="59"/>
      <x:c r="L56" s="59"/>
      <x:c r="M56" s="59"/>
      <x:c r="N56" s="59"/>
      <x:c r="O56" s="59"/>
      <x:c r="P56" s="59"/>
      <x:c r="Q56" s="59"/>
      <x:c r="R56" s="59"/>
      <x:c r="S56" s="59"/>
      <x:c r="T56" s="59"/>
      <x:c r="U56" s="59"/>
      <x:c r="V56" s="59"/>
      <x:c r="W56" s="59"/>
      <x:c r="X56" s="59"/>
      <x:c r="Y56" s="59"/>
      <x:c r="Z56" s="59"/>
      <x:c r="AA56" s="59"/>
      <x:c r="AB56" s="59"/>
      <x:c r="AC56" s="59"/>
      <x:c r="AD56" s="59"/>
      <x:c r="AE56" s="59"/>
      <x:c r="AF56" s="59"/>
      <x:c r="AG56" s="59"/>
      <x:c r="AH56" s="59"/>
      <x:c r="AI56" s="59"/>
      <x:c r="AJ56" s="59"/>
      <x:c r="AK56" s="59"/>
      <x:c r="AL56" s="59"/>
      <x:c r="AM56" s="59"/>
      <x:c r="AN56" s="59"/>
    </x:row>
    <x:row r="57">
      <x:c r="A57" s="59"/>
      <x:c r="B57" s="59"/>
      <x:c r="C57" s="59"/>
      <x:c r="D57" s="59"/>
      <x:c r="E57" s="59"/>
      <x:c r="F57" s="59"/>
      <x:c r="G57" s="59"/>
      <x:c r="H57" s="59"/>
      <x:c r="I57" s="59"/>
      <x:c r="J57" s="59"/>
      <x:c r="K57" s="59"/>
      <x:c r="L57" s="59"/>
      <x:c r="M57" s="59"/>
      <x:c r="N57" s="59"/>
      <x:c r="O57" s="59"/>
      <x:c r="P57" s="59"/>
      <x:c r="Q57" s="59"/>
      <x:c r="R57" s="59"/>
      <x:c r="S57" s="59"/>
      <x:c r="T57" s="59"/>
      <x:c r="U57" s="59"/>
      <x:c r="V57" s="59"/>
      <x:c r="W57" s="59"/>
      <x:c r="X57" s="59"/>
      <x:c r="Y57" s="59"/>
      <x:c r="Z57" s="59"/>
      <x:c r="AA57" s="59"/>
      <x:c r="AB57" s="59"/>
      <x:c r="AC57" s="59"/>
      <x:c r="AD57" s="59"/>
      <x:c r="AE57" s="59"/>
      <x:c r="AF57" s="59"/>
      <x:c r="AG57" s="59"/>
      <x:c r="AH57" s="59"/>
      <x:c r="AI57" s="59"/>
      <x:c r="AJ57" s="59"/>
      <x:c r="AK57" s="59"/>
      <x:c r="AL57" s="59"/>
      <x:c r="AM57" s="59"/>
      <x:c r="AN57" s="59"/>
    </x:row>
    <x:row r="58">
      <x:c r="A58" s="59"/>
      <x:c r="B58" s="59"/>
      <x:c r="C58" s="59"/>
      <x:c r="D58" s="59"/>
      <x:c r="E58" s="59"/>
      <x:c r="F58" s="59"/>
      <x:c r="G58" s="59"/>
      <x:c r="H58" s="59"/>
      <x:c r="I58" s="59"/>
      <x:c r="J58" s="59"/>
      <x:c r="K58" s="59"/>
      <x:c r="L58" s="59"/>
      <x:c r="M58" s="59"/>
      <x:c r="N58" s="59"/>
      <x:c r="O58" s="59"/>
      <x:c r="P58" s="59"/>
      <x:c r="Q58" s="59"/>
      <x:c r="R58" s="59"/>
      <x:c r="S58" s="59"/>
      <x:c r="T58" s="59"/>
      <x:c r="U58" s="59"/>
      <x:c r="V58" s="59"/>
      <x:c r="W58" s="59"/>
      <x:c r="X58" s="59"/>
      <x:c r="Y58" s="59"/>
      <x:c r="Z58" s="59"/>
      <x:c r="AA58" s="59"/>
      <x:c r="AB58" s="59"/>
      <x:c r="AC58" s="59"/>
      <x:c r="AD58" s="59"/>
      <x:c r="AE58" s="59"/>
      <x:c r="AF58" s="59"/>
      <x:c r="AG58" s="59"/>
      <x:c r="AH58" s="59"/>
      <x:c r="AI58" s="59"/>
      <x:c r="AJ58" s="59"/>
      <x:c r="AK58" s="59"/>
      <x:c r="AL58" s="59"/>
      <x:c r="AM58" s="59"/>
      <x:c r="AN58" s="59"/>
    </x:row>
    <x:row r="59">
      <x:c r="A59" s="59"/>
      <x:c r="B59" s="59"/>
      <x:c r="C59" s="59"/>
      <x:c r="D59" s="59"/>
      <x:c r="E59" s="59"/>
      <x:c r="F59" s="59"/>
      <x:c r="G59" s="59"/>
      <x:c r="H59" s="59"/>
      <x:c r="I59" s="59"/>
      <x:c r="J59" s="59"/>
      <x:c r="K59" s="59"/>
      <x:c r="L59" s="59"/>
      <x:c r="M59" s="59"/>
      <x:c r="N59" s="59"/>
      <x:c r="O59" s="59"/>
      <x:c r="P59" s="59"/>
      <x:c r="Q59" s="59"/>
      <x:c r="R59" s="59"/>
      <x:c r="S59" s="59"/>
      <x:c r="T59" s="59"/>
      <x:c r="U59" s="59"/>
      <x:c r="V59" s="59"/>
      <x:c r="W59" s="59"/>
      <x:c r="X59" s="59"/>
      <x:c r="Y59" s="59"/>
      <x:c r="Z59" s="59"/>
      <x:c r="AA59" s="59"/>
      <x:c r="AB59" s="59"/>
      <x:c r="AC59" s="59"/>
      <x:c r="AD59" s="59"/>
      <x:c r="AE59" s="59"/>
      <x:c r="AF59" s="59"/>
      <x:c r="AG59" s="59"/>
      <x:c r="AH59" s="59"/>
      <x:c r="AI59" s="59"/>
      <x:c r="AJ59" s="59"/>
      <x:c r="AK59" s="59"/>
      <x:c r="AL59" s="59"/>
      <x:c r="AM59" s="59"/>
      <x:c r="AN59" s="59"/>
    </x:row>
    <x:row r="60">
      <x:c r="A60" s="59"/>
      <x:c r="B60" s="59"/>
      <x:c r="C60" s="59"/>
      <x:c r="D60" s="59"/>
      <x:c r="E60" s="59"/>
      <x:c r="F60" s="59"/>
      <x:c r="G60" s="59"/>
      <x:c r="H60" s="59"/>
      <x:c r="I60" s="59"/>
      <x:c r="J60" s="59"/>
      <x:c r="K60" s="59"/>
      <x:c r="L60" s="59"/>
      <x:c r="M60" s="59"/>
      <x:c r="N60" s="59"/>
      <x:c r="O60" s="59"/>
      <x:c r="P60" s="59"/>
      <x:c r="Q60" s="59"/>
      <x:c r="R60" s="59"/>
      <x:c r="S60" s="59"/>
      <x:c r="T60" s="59"/>
      <x:c r="U60" s="59"/>
      <x:c r="V60" s="59"/>
      <x:c r="W60" s="59"/>
      <x:c r="X60" s="59"/>
      <x:c r="Y60" s="59"/>
      <x:c r="Z60" s="59"/>
      <x:c r="AA60" s="59"/>
      <x:c r="AB60" s="59"/>
      <x:c r="AC60" s="59"/>
      <x:c r="AD60" s="59"/>
      <x:c r="AE60" s="59"/>
      <x:c r="AF60" s="59"/>
      <x:c r="AG60" s="59"/>
      <x:c r="AH60" s="59"/>
      <x:c r="AI60" s="59"/>
      <x:c r="AJ60" s="59"/>
      <x:c r="AK60" s="59"/>
      <x:c r="AL60" s="59"/>
      <x:c r="AM60" s="59"/>
      <x:c r="AN60" s="59"/>
    </x:row>
    <x:row r="61">
      <x:c r="A61" s="59"/>
      <x:c r="B61" s="59"/>
      <x:c r="C61" s="59"/>
      <x:c r="D61" s="59"/>
      <x:c r="E61" s="59"/>
      <x:c r="F61" s="59"/>
      <x:c r="G61" s="59"/>
      <x:c r="H61" s="59"/>
      <x:c r="I61" s="59"/>
      <x:c r="J61" s="59"/>
      <x:c r="K61" s="59"/>
      <x:c r="L61" s="59"/>
      <x:c r="M61" s="59"/>
      <x:c r="N61" s="59"/>
      <x:c r="O61" s="59"/>
      <x:c r="P61" s="59"/>
      <x:c r="Q61" s="59"/>
      <x:c r="R61" s="59"/>
      <x:c r="S61" s="59"/>
      <x:c r="T61" s="59"/>
      <x:c r="U61" s="59"/>
      <x:c r="V61" s="59"/>
      <x:c r="W61" s="59"/>
      <x:c r="X61" s="59"/>
      <x:c r="Y61" s="59"/>
      <x:c r="Z61" s="59"/>
      <x:c r="AA61" s="59"/>
      <x:c r="AB61" s="59"/>
      <x:c r="AC61" s="59"/>
      <x:c r="AD61" s="59"/>
      <x:c r="AE61" s="59"/>
      <x:c r="AF61" s="59"/>
      <x:c r="AG61" s="59"/>
      <x:c r="AH61" s="59"/>
      <x:c r="AI61" s="59"/>
      <x:c r="AJ61" s="59"/>
      <x:c r="AK61" s="59"/>
      <x:c r="AL61" s="59"/>
      <x:c r="AM61" s="59"/>
      <x:c r="AN61" s="59"/>
    </x:row>
    <x:row r="62">
      <x:c r="A62" s="59"/>
      <x:c r="B62" s="59"/>
      <x:c r="C62" s="59"/>
      <x:c r="D62" s="59"/>
      <x:c r="E62" s="59"/>
      <x:c r="F62" s="59"/>
      <x:c r="G62" s="59"/>
      <x:c r="H62" s="59"/>
      <x:c r="I62" s="59"/>
      <x:c r="J62" s="59"/>
      <x:c r="K62" s="59"/>
      <x:c r="L62" s="59"/>
      <x:c r="M62" s="59"/>
      <x:c r="N62" s="59"/>
      <x:c r="O62" s="59"/>
      <x:c r="P62" s="59"/>
      <x:c r="Q62" s="59"/>
      <x:c r="R62" s="59"/>
      <x:c r="S62" s="59"/>
      <x:c r="T62" s="59"/>
      <x:c r="U62" s="59"/>
      <x:c r="V62" s="59"/>
      <x:c r="W62" s="59"/>
      <x:c r="X62" s="59"/>
      <x:c r="Y62" s="59"/>
      <x:c r="Z62" s="59"/>
      <x:c r="AA62" s="59"/>
      <x:c r="AB62" s="59"/>
      <x:c r="AC62" s="59"/>
      <x:c r="AD62" s="59"/>
      <x:c r="AE62" s="59"/>
      <x:c r="AF62" s="59"/>
      <x:c r="AG62" s="59"/>
      <x:c r="AH62" s="59"/>
      <x:c r="AI62" s="59"/>
      <x:c r="AJ62" s="59"/>
      <x:c r="AK62" s="59"/>
      <x:c r="AL62" s="59"/>
      <x:c r="AM62" s="59"/>
      <x:c r="AN62" s="59"/>
    </x:row>
    <x:row r="63">
      <x:c r="A63" s="59"/>
      <x:c r="B63" s="59"/>
      <x:c r="C63" s="59"/>
      <x:c r="D63" s="59"/>
      <x:c r="E63" s="59"/>
      <x:c r="F63" s="59"/>
      <x:c r="G63" s="59"/>
      <x:c r="H63" s="59"/>
      <x:c r="I63" s="59"/>
      <x:c r="J63" s="59"/>
      <x:c r="K63" s="59"/>
      <x:c r="L63" s="59"/>
      <x:c r="M63" s="59"/>
      <x:c r="N63" s="59"/>
      <x:c r="O63" s="59"/>
      <x:c r="P63" s="59"/>
      <x:c r="Q63" s="59"/>
      <x:c r="R63" s="59"/>
      <x:c r="S63" s="59"/>
      <x:c r="T63" s="59"/>
      <x:c r="U63" s="59"/>
      <x:c r="V63" s="59"/>
      <x:c r="W63" s="59"/>
      <x:c r="X63" s="59"/>
      <x:c r="Y63" s="59"/>
      <x:c r="Z63" s="59"/>
      <x:c r="AA63" s="59"/>
      <x:c r="AB63" s="59"/>
      <x:c r="AC63" s="59"/>
      <x:c r="AD63" s="59"/>
      <x:c r="AE63" s="59"/>
      <x:c r="AF63" s="59"/>
      <x:c r="AG63" s="59"/>
      <x:c r="AH63" s="59"/>
      <x:c r="AI63" s="59"/>
      <x:c r="AJ63" s="59"/>
      <x:c r="AK63" s="59"/>
      <x:c r="AL63" s="59"/>
      <x:c r="AM63" s="59"/>
      <x:c r="AN63" s="59"/>
    </x:row>
    <x:row r="64">
      <x:c r="A64" s="59"/>
      <x:c r="B64" s="59"/>
      <x:c r="C64" s="59"/>
      <x:c r="D64" s="59"/>
      <x:c r="E64" s="59"/>
      <x:c r="F64" s="59"/>
      <x:c r="G64" s="59"/>
      <x:c r="H64" s="59"/>
      <x:c r="I64" s="59"/>
      <x:c r="J64" s="59"/>
      <x:c r="K64" s="59"/>
      <x:c r="L64" s="59"/>
      <x:c r="M64" s="59"/>
      <x:c r="N64" s="59"/>
      <x:c r="O64" s="59"/>
      <x:c r="P64" s="59"/>
      <x:c r="Q64" s="59"/>
      <x:c r="R64" s="59"/>
      <x:c r="S64" s="59"/>
      <x:c r="T64" s="59"/>
      <x:c r="U64" s="59"/>
      <x:c r="V64" s="59"/>
      <x:c r="W64" s="59"/>
      <x:c r="X64" s="59"/>
      <x:c r="Y64" s="59"/>
      <x:c r="Z64" s="59"/>
      <x:c r="AA64" s="59"/>
      <x:c r="AB64" s="59"/>
      <x:c r="AC64" s="59"/>
      <x:c r="AD64" s="59"/>
      <x:c r="AE64" s="59"/>
      <x:c r="AF64" s="59"/>
      <x:c r="AG64" s="59"/>
      <x:c r="AH64" s="59"/>
      <x:c r="AI64" s="59"/>
      <x:c r="AJ64" s="59"/>
      <x:c r="AK64" s="59"/>
      <x:c r="AL64" s="59"/>
      <x:c r="AM64" s="59"/>
      <x:c r="AN64" s="59"/>
    </x:row>
    <x:row r="65">
      <x:c r="A65" s="59"/>
      <x:c r="B65" s="59"/>
      <x:c r="C65" s="59"/>
      <x:c r="D65" s="59"/>
      <x:c r="E65" s="59"/>
      <x:c r="F65" s="59"/>
      <x:c r="G65" s="59"/>
      <x:c r="H65" s="59"/>
      <x:c r="I65" s="59"/>
      <x:c r="J65" s="59"/>
      <x:c r="K65" s="59"/>
      <x:c r="L65" s="59"/>
      <x:c r="M65" s="59"/>
      <x:c r="N65" s="59"/>
      <x:c r="O65" s="59"/>
      <x:c r="P65" s="59"/>
      <x:c r="Q65" s="59"/>
      <x:c r="R65" s="59"/>
      <x:c r="S65" s="59"/>
      <x:c r="T65" s="59"/>
      <x:c r="U65" s="59"/>
      <x:c r="V65" s="59"/>
      <x:c r="W65" s="59"/>
      <x:c r="X65" s="59"/>
      <x:c r="Y65" s="59"/>
      <x:c r="Z65" s="59"/>
      <x:c r="AA65" s="59"/>
      <x:c r="AB65" s="59"/>
      <x:c r="AC65" s="59"/>
      <x:c r="AD65" s="59"/>
      <x:c r="AE65" s="59"/>
      <x:c r="AF65" s="59"/>
      <x:c r="AG65" s="59"/>
      <x:c r="AH65" s="59"/>
      <x:c r="AI65" s="59"/>
      <x:c r="AJ65" s="59"/>
      <x:c r="AK65" s="59"/>
      <x:c r="AL65" s="59"/>
      <x:c r="AM65" s="59"/>
      <x:c r="AN65" s="59"/>
    </x:row>
    <x:row r="66">
      <x:c r="A66" s="59"/>
      <x:c r="B66" s="59"/>
      <x:c r="C66" s="59"/>
      <x:c r="D66" s="59"/>
      <x:c r="E66" s="59"/>
      <x:c r="F66" s="59"/>
      <x:c r="G66" s="59"/>
      <x:c r="H66" s="59"/>
      <x:c r="I66" s="59"/>
      <x:c r="J66" s="59"/>
      <x:c r="K66" s="59"/>
      <x:c r="L66" s="59"/>
      <x:c r="M66" s="59"/>
      <x:c r="N66" s="59"/>
      <x:c r="O66" s="59"/>
      <x:c r="P66" s="59"/>
      <x:c r="Q66" s="59"/>
      <x:c r="R66" s="59"/>
      <x:c r="S66" s="59"/>
      <x:c r="T66" s="59"/>
      <x:c r="U66" s="59"/>
      <x:c r="V66" s="59"/>
      <x:c r="W66" s="59"/>
      <x:c r="X66" s="59"/>
      <x:c r="Y66" s="59"/>
      <x:c r="Z66" s="59"/>
      <x:c r="AA66" s="59"/>
      <x:c r="AB66" s="59"/>
      <x:c r="AC66" s="59"/>
      <x:c r="AD66" s="59"/>
      <x:c r="AE66" s="59"/>
      <x:c r="AF66" s="59"/>
      <x:c r="AG66" s="59"/>
      <x:c r="AH66" s="59"/>
      <x:c r="AI66" s="59"/>
      <x:c r="AJ66" s="59"/>
      <x:c r="AK66" s="59"/>
      <x:c r="AL66" s="59"/>
      <x:c r="AM66" s="59"/>
      <x:c r="AN66" s="59"/>
    </x:row>
    <x:row r="67">
      <x:c r="A67" s="59"/>
      <x:c r="B67" s="59"/>
      <x:c r="C67" s="59"/>
      <x:c r="D67" s="59"/>
      <x:c r="E67" s="59"/>
      <x:c r="F67" s="59"/>
      <x:c r="G67" s="59"/>
      <x:c r="H67" s="59"/>
      <x:c r="I67" s="59"/>
      <x:c r="J67" s="59"/>
      <x:c r="K67" s="59"/>
      <x:c r="L67" s="59"/>
      <x:c r="M67" s="59"/>
      <x:c r="N67" s="59"/>
      <x:c r="O67" s="59"/>
      <x:c r="P67" s="59"/>
      <x:c r="Q67" s="59"/>
      <x:c r="R67" s="59"/>
      <x:c r="S67" s="59"/>
      <x:c r="T67" s="59"/>
      <x:c r="U67" s="59"/>
      <x:c r="V67" s="59"/>
      <x:c r="W67" s="59"/>
      <x:c r="X67" s="59"/>
      <x:c r="Y67" s="59"/>
      <x:c r="Z67" s="59"/>
      <x:c r="AA67" s="59"/>
      <x:c r="AB67" s="59"/>
      <x:c r="AC67" s="59"/>
      <x:c r="AD67" s="59"/>
      <x:c r="AE67" s="59"/>
      <x:c r="AF67" s="59"/>
      <x:c r="AG67" s="59"/>
      <x:c r="AH67" s="59"/>
      <x:c r="AI67" s="59"/>
      <x:c r="AJ67" s="59"/>
      <x:c r="AK67" s="59"/>
      <x:c r="AL67" s="59"/>
      <x:c r="AM67" s="59"/>
      <x:c r="AN67" s="59"/>
    </x:row>
    <x:row r="68">
      <x:c r="A68" s="59"/>
      <x:c r="B68" s="59"/>
      <x:c r="C68" s="59"/>
      <x:c r="D68" s="59"/>
      <x:c r="E68" s="59"/>
      <x:c r="F68" s="59"/>
      <x:c r="G68" s="59"/>
      <x:c r="H68" s="59"/>
      <x:c r="I68" s="59"/>
      <x:c r="J68" s="59"/>
      <x:c r="K68" s="59"/>
      <x:c r="L68" s="59"/>
      <x:c r="M68" s="59"/>
      <x:c r="N68" s="59"/>
      <x:c r="O68" s="59"/>
      <x:c r="P68" s="59"/>
      <x:c r="Q68" s="59"/>
      <x:c r="R68" s="59"/>
      <x:c r="S68" s="59"/>
      <x:c r="T68" s="59"/>
      <x:c r="U68" s="59"/>
      <x:c r="V68" s="59"/>
      <x:c r="W68" s="59"/>
      <x:c r="X68" s="59"/>
      <x:c r="Y68" s="59"/>
      <x:c r="Z68" s="59"/>
      <x:c r="AA68" s="59"/>
      <x:c r="AB68" s="59"/>
      <x:c r="AC68" s="59"/>
      <x:c r="AD68" s="59"/>
      <x:c r="AE68" s="59"/>
      <x:c r="AF68" s="59"/>
      <x:c r="AG68" s="59"/>
      <x:c r="AH68" s="59"/>
      <x:c r="AI68" s="59"/>
      <x:c r="AJ68" s="59"/>
      <x:c r="AK68" s="59"/>
      <x:c r="AL68" s="59"/>
      <x:c r="AM68" s="59"/>
      <x:c r="AN68" s="59"/>
    </x:row>
    <x:row r="69">
      <x:c r="A69" s="59"/>
      <x:c r="B69" s="59"/>
      <x:c r="C69" s="59"/>
      <x:c r="D69" s="59"/>
      <x:c r="E69" s="59"/>
      <x:c r="F69" s="59"/>
      <x:c r="G69" s="59"/>
      <x:c r="H69" s="59"/>
      <x:c r="I69" s="59"/>
      <x:c r="J69" s="59"/>
      <x:c r="K69" s="59"/>
      <x:c r="L69" s="59"/>
      <x:c r="M69" s="59"/>
      <x:c r="N69" s="59"/>
      <x:c r="O69" s="59"/>
      <x:c r="P69" s="59"/>
      <x:c r="Q69" s="59"/>
      <x:c r="R69" s="59"/>
      <x:c r="S69" s="59"/>
      <x:c r="T69" s="59"/>
      <x:c r="U69" s="59"/>
      <x:c r="V69" s="59"/>
      <x:c r="W69" s="59"/>
      <x:c r="X69" s="59"/>
      <x:c r="Y69" s="59"/>
      <x:c r="Z69" s="59"/>
      <x:c r="AA69" s="59"/>
      <x:c r="AB69" s="59"/>
      <x:c r="AC69" s="59"/>
      <x:c r="AD69" s="59"/>
      <x:c r="AE69" s="59"/>
      <x:c r="AF69" s="59"/>
      <x:c r="AG69" s="59"/>
      <x:c r="AH69" s="59"/>
      <x:c r="AI69" s="59"/>
      <x:c r="AJ69" s="59"/>
      <x:c r="AK69" s="59"/>
      <x:c r="AL69" s="59"/>
      <x:c r="AM69" s="59"/>
      <x:c r="AN69" s="59"/>
    </x:row>
    <x:row r="70">
      <x:c r="A70" s="59"/>
      <x:c r="B70" s="59"/>
      <x:c r="C70" s="59"/>
      <x:c r="D70" s="59"/>
      <x:c r="E70" s="59"/>
      <x:c r="F70" s="59"/>
      <x:c r="G70" s="59"/>
      <x:c r="H70" s="59"/>
      <x:c r="I70" s="59"/>
      <x:c r="J70" s="59"/>
      <x:c r="K70" s="59"/>
      <x:c r="L70" s="59"/>
      <x:c r="M70" s="59"/>
      <x:c r="N70" s="59"/>
      <x:c r="O70" s="59"/>
      <x:c r="P70" s="59"/>
      <x:c r="Q70" s="59"/>
      <x:c r="R70" s="59"/>
      <x:c r="S70" s="59"/>
      <x:c r="T70" s="59"/>
      <x:c r="U70" s="59"/>
      <x:c r="V70" s="59"/>
      <x:c r="W70" s="59"/>
      <x:c r="X70" s="59"/>
      <x:c r="Y70" s="59"/>
      <x:c r="Z70" s="59"/>
      <x:c r="AA70" s="59"/>
      <x:c r="AB70" s="59"/>
      <x:c r="AC70" s="59"/>
      <x:c r="AD70" s="59"/>
      <x:c r="AE70" s="59"/>
      <x:c r="AF70" s="59"/>
      <x:c r="AG70" s="59"/>
      <x:c r="AH70" s="59"/>
      <x:c r="AI70" s="59"/>
      <x:c r="AJ70" s="59"/>
      <x:c r="AK70" s="59"/>
      <x:c r="AL70" s="59"/>
      <x:c r="AM70" s="59"/>
      <x:c r="AN70" s="59"/>
    </x:row>
    <x:row r="71">
      <x:c r="A71" s="59"/>
      <x:c r="B71" s="59"/>
      <x:c r="C71" s="59"/>
      <x:c r="D71" s="59"/>
      <x:c r="E71" s="59"/>
      <x:c r="F71" s="59"/>
      <x:c r="G71" s="59"/>
      <x:c r="H71" s="59"/>
      <x:c r="I71" s="59"/>
      <x:c r="J71" s="59"/>
      <x:c r="K71" s="59"/>
      <x:c r="L71" s="59"/>
      <x:c r="M71" s="59"/>
      <x:c r="N71" s="59"/>
      <x:c r="O71" s="59"/>
      <x:c r="P71" s="59"/>
      <x:c r="Q71" s="59"/>
      <x:c r="R71" s="59"/>
      <x:c r="S71" s="59"/>
      <x:c r="T71" s="59"/>
      <x:c r="U71" s="59"/>
      <x:c r="V71" s="59"/>
      <x:c r="W71" s="59"/>
      <x:c r="X71" s="59"/>
      <x:c r="Y71" s="59"/>
      <x:c r="Z71" s="59"/>
      <x:c r="AA71" s="59"/>
      <x:c r="AB71" s="59"/>
      <x:c r="AC71" s="59"/>
      <x:c r="AD71" s="59"/>
      <x:c r="AE71" s="59"/>
      <x:c r="AF71" s="59"/>
      <x:c r="AG71" s="59"/>
      <x:c r="AH71" s="59"/>
      <x:c r="AI71" s="59"/>
      <x:c r="AJ71" s="59"/>
      <x:c r="AK71" s="59"/>
      <x:c r="AL71" s="59"/>
      <x:c r="AM71" s="59"/>
      <x:c r="AN71" s="59"/>
    </x:row>
    <x:row r="72">
      <x:c r="A72" s="59"/>
      <x:c r="B72" s="59"/>
      <x:c r="C72" s="59"/>
      <x:c r="D72" s="59"/>
      <x:c r="E72" s="59"/>
      <x:c r="F72" s="59"/>
      <x:c r="G72" s="59"/>
      <x:c r="H72" s="59"/>
      <x:c r="I72" s="59"/>
      <x:c r="J72" s="59"/>
      <x:c r="K72" s="59"/>
      <x:c r="L72" s="59"/>
      <x:c r="M72" s="59"/>
      <x:c r="N72" s="59"/>
      <x:c r="O72" s="59"/>
      <x:c r="P72" s="59"/>
      <x:c r="Q72" s="59"/>
      <x:c r="R72" s="59"/>
      <x:c r="S72" s="59"/>
      <x:c r="T72" s="59"/>
      <x:c r="U72" s="59"/>
      <x:c r="V72" s="59"/>
      <x:c r="W72" s="59"/>
      <x:c r="X72" s="59"/>
      <x:c r="Y72" s="59"/>
      <x:c r="Z72" s="59"/>
      <x:c r="AA72" s="59"/>
      <x:c r="AB72" s="59"/>
      <x:c r="AC72" s="59"/>
      <x:c r="AD72" s="59"/>
      <x:c r="AE72" s="59"/>
      <x:c r="AF72" s="59"/>
      <x:c r="AG72" s="59"/>
      <x:c r="AH72" s="59"/>
      <x:c r="AI72" s="59"/>
      <x:c r="AJ72" s="59"/>
      <x:c r="AK72" s="59"/>
      <x:c r="AL72" s="59"/>
      <x:c r="AM72" s="59"/>
      <x:c r="AN72" s="59"/>
    </x:row>
    <x:row r="73">
      <x:c r="A73" s="59"/>
      <x:c r="B73" s="59"/>
      <x:c r="C73" s="59"/>
      <x:c r="D73" s="59"/>
      <x:c r="E73" s="59"/>
      <x:c r="F73" s="59"/>
      <x:c r="G73" s="59"/>
      <x:c r="H73" s="59"/>
      <x:c r="I73" s="59"/>
      <x:c r="J73" s="59"/>
      <x:c r="K73" s="59"/>
      <x:c r="L73" s="59"/>
      <x:c r="M73" s="59"/>
      <x:c r="N73" s="59"/>
      <x:c r="O73" s="59"/>
      <x:c r="P73" s="59"/>
      <x:c r="Q73" s="59"/>
      <x:c r="R73" s="59"/>
      <x:c r="S73" s="59"/>
      <x:c r="T73" s="59"/>
      <x:c r="U73" s="59"/>
      <x:c r="V73" s="59"/>
      <x:c r="W73" s="59"/>
      <x:c r="X73" s="59"/>
      <x:c r="Y73" s="59"/>
      <x:c r="Z73" s="59"/>
      <x:c r="AA73" s="59"/>
      <x:c r="AB73" s="59"/>
      <x:c r="AC73" s="59"/>
      <x:c r="AD73" s="59"/>
      <x:c r="AE73" s="59"/>
      <x:c r="AF73" s="59"/>
      <x:c r="AG73" s="59"/>
      <x:c r="AH73" s="59"/>
      <x:c r="AI73" s="59"/>
      <x:c r="AJ73" s="59"/>
      <x:c r="AK73" s="59"/>
      <x:c r="AL73" s="59"/>
      <x:c r="AM73" s="59"/>
      <x:c r="AN73" s="59"/>
    </x:row>
    <x:row r="74">
      <x:c r="A74" s="59"/>
      <x:c r="B74" s="59"/>
      <x:c r="C74" s="59"/>
      <x:c r="D74" s="59"/>
      <x:c r="E74" s="59"/>
      <x:c r="F74" s="59"/>
      <x:c r="G74" s="59"/>
      <x:c r="H74" s="59"/>
      <x:c r="I74" s="59"/>
      <x:c r="J74" s="59"/>
      <x:c r="K74" s="59"/>
      <x:c r="L74" s="59"/>
      <x:c r="M74" s="59"/>
      <x:c r="N74" s="59"/>
      <x:c r="O74" s="59"/>
      <x:c r="P74" s="59"/>
      <x:c r="Q74" s="59"/>
      <x:c r="R74" s="59"/>
      <x:c r="S74" s="59"/>
      <x:c r="T74" s="59"/>
      <x:c r="U74" s="59"/>
      <x:c r="V74" s="59"/>
      <x:c r="W74" s="59"/>
      <x:c r="X74" s="59"/>
      <x:c r="Y74" s="59"/>
      <x:c r="Z74" s="59"/>
      <x:c r="AA74" s="59"/>
      <x:c r="AB74" s="59"/>
      <x:c r="AC74" s="59"/>
      <x:c r="AD74" s="59"/>
      <x:c r="AE74" s="59"/>
      <x:c r="AF74" s="59"/>
      <x:c r="AG74" s="59"/>
      <x:c r="AH74" s="59"/>
      <x:c r="AI74" s="59"/>
      <x:c r="AJ74" s="59"/>
      <x:c r="AK74" s="59"/>
      <x:c r="AL74" s="59"/>
      <x:c r="AM74" s="59"/>
      <x:c r="AN74" s="59"/>
    </x:row>
    <x:row r="75">
      <x:c r="A75" s="59"/>
      <x:c r="B75" s="59"/>
      <x:c r="C75" s="59"/>
      <x:c r="D75" s="59"/>
      <x:c r="E75" s="59"/>
      <x:c r="F75" s="59"/>
      <x:c r="G75" s="59"/>
      <x:c r="H75" s="59"/>
      <x:c r="I75" s="59"/>
      <x:c r="J75" s="59"/>
      <x:c r="K75" s="59"/>
      <x:c r="L75" s="59"/>
      <x:c r="M75" s="59"/>
      <x:c r="N75" s="59"/>
      <x:c r="O75" s="59"/>
      <x:c r="P75" s="59"/>
      <x:c r="Q75" s="59"/>
      <x:c r="R75" s="59"/>
      <x:c r="S75" s="59"/>
      <x:c r="T75" s="59"/>
      <x:c r="U75" s="59"/>
      <x:c r="V75" s="59"/>
      <x:c r="W75" s="59"/>
      <x:c r="X75" s="59"/>
      <x:c r="Y75" s="59"/>
      <x:c r="Z75" s="59"/>
      <x:c r="AA75" s="59"/>
      <x:c r="AB75" s="59"/>
      <x:c r="AC75" s="59"/>
      <x:c r="AD75" s="59"/>
      <x:c r="AE75" s="59"/>
      <x:c r="AF75" s="59"/>
      <x:c r="AG75" s="59"/>
      <x:c r="AH75" s="59"/>
      <x:c r="AI75" s="59"/>
      <x:c r="AJ75" s="59"/>
      <x:c r="AK75" s="59"/>
      <x:c r="AL75" s="59"/>
      <x:c r="AM75" s="59"/>
      <x:c r="AN75" s="59"/>
    </x:row>
    <x:row r="76">
      <x:c r="A76" s="59"/>
      <x:c r="B76" s="59"/>
      <x:c r="C76" s="59"/>
      <x:c r="D76" s="59"/>
      <x:c r="E76" s="59"/>
      <x:c r="F76" s="59"/>
      <x:c r="G76" s="59"/>
      <x:c r="H76" s="59"/>
      <x:c r="I76" s="59"/>
      <x:c r="J76" s="59"/>
      <x:c r="K76" s="59"/>
      <x:c r="L76" s="59"/>
      <x:c r="M76" s="59"/>
      <x:c r="N76" s="59"/>
      <x:c r="O76" s="59"/>
      <x:c r="P76" s="59"/>
      <x:c r="Q76" s="59"/>
      <x:c r="R76" s="59"/>
      <x:c r="S76" s="59"/>
      <x:c r="T76" s="59"/>
      <x:c r="U76" s="59"/>
      <x:c r="V76" s="59"/>
      <x:c r="W76" s="59"/>
      <x:c r="X76" s="59"/>
      <x:c r="Y76" s="59"/>
      <x:c r="Z76" s="59"/>
      <x:c r="AA76" s="59"/>
      <x:c r="AB76" s="59"/>
      <x:c r="AC76" s="59"/>
      <x:c r="AD76" s="59"/>
      <x:c r="AE76" s="59"/>
      <x:c r="AF76" s="59"/>
      <x:c r="AG76" s="59"/>
      <x:c r="AH76" s="59"/>
      <x:c r="AI76" s="59"/>
      <x:c r="AJ76" s="59"/>
      <x:c r="AK76" s="59"/>
      <x:c r="AL76" s="59"/>
      <x:c r="AM76" s="59"/>
      <x:c r="AN76" s="59"/>
    </x:row>
    <x:row r="77">
      <x:c r="A77" s="59"/>
      <x:c r="B77" s="59"/>
      <x:c r="C77" s="59"/>
      <x:c r="D77" s="59"/>
      <x:c r="E77" s="59"/>
      <x:c r="F77" s="59"/>
      <x:c r="G77" s="59"/>
      <x:c r="H77" s="59"/>
      <x:c r="I77" s="59"/>
      <x:c r="J77" s="59"/>
      <x:c r="K77" s="59"/>
      <x:c r="L77" s="59"/>
      <x:c r="M77" s="59"/>
      <x:c r="N77" s="59"/>
      <x:c r="O77" s="59"/>
      <x:c r="P77" s="59"/>
      <x:c r="Q77" s="59"/>
      <x:c r="R77" s="59"/>
      <x:c r="S77" s="59"/>
      <x:c r="T77" s="59"/>
      <x:c r="U77" s="59"/>
      <x:c r="V77" s="59"/>
      <x:c r="W77" s="59"/>
      <x:c r="X77" s="59"/>
      <x:c r="Y77" s="59"/>
      <x:c r="Z77" s="59"/>
      <x:c r="AA77" s="59"/>
      <x:c r="AB77" s="59"/>
      <x:c r="AC77" s="59"/>
      <x:c r="AD77" s="59"/>
      <x:c r="AE77" s="59"/>
      <x:c r="AF77" s="59"/>
      <x:c r="AG77" s="59"/>
      <x:c r="AH77" s="59"/>
      <x:c r="AI77" s="59"/>
      <x:c r="AJ77" s="59"/>
      <x:c r="AK77" s="59"/>
      <x:c r="AL77" s="59"/>
      <x:c r="AM77" s="59"/>
      <x:c r="AN77" s="59"/>
    </x:row>
    <x:row r="78">
      <x:c r="A78" s="59"/>
      <x:c r="B78" s="59"/>
      <x:c r="C78" s="59"/>
      <x:c r="D78" s="59"/>
      <x:c r="E78" s="59"/>
      <x:c r="F78" s="59"/>
      <x:c r="G78" s="59"/>
      <x:c r="H78" s="59"/>
      <x:c r="I78" s="59"/>
      <x:c r="J78" s="59"/>
      <x:c r="K78" s="59"/>
      <x:c r="L78" s="59"/>
      <x:c r="M78" s="59"/>
      <x:c r="N78" s="59"/>
      <x:c r="O78" s="59"/>
      <x:c r="P78" s="59"/>
      <x:c r="Q78" s="59"/>
      <x:c r="R78" s="59"/>
      <x:c r="S78" s="59"/>
      <x:c r="T78" s="59"/>
      <x:c r="U78" s="59"/>
      <x:c r="V78" s="59"/>
      <x:c r="W78" s="59"/>
      <x:c r="X78" s="59"/>
      <x:c r="Y78" s="59"/>
      <x:c r="Z78" s="59"/>
      <x:c r="AA78" s="59"/>
      <x:c r="AB78" s="59"/>
      <x:c r="AC78" s="59"/>
      <x:c r="AD78" s="59"/>
      <x:c r="AE78" s="59"/>
      <x:c r="AF78" s="59"/>
      <x:c r="AG78" s="59"/>
      <x:c r="AH78" s="59"/>
      <x:c r="AI78" s="59"/>
      <x:c r="AJ78" s="59"/>
      <x:c r="AK78" s="59"/>
      <x:c r="AL78" s="59"/>
      <x:c r="AM78" s="59"/>
      <x:c r="AN78" s="59"/>
    </x:row>
    <x:row r="79">
      <x:c r="A79" s="59"/>
      <x:c r="B79" s="59"/>
      <x:c r="C79" s="59"/>
      <x:c r="D79" s="59"/>
      <x:c r="E79" s="59"/>
      <x:c r="F79" s="59"/>
      <x:c r="G79" s="59"/>
      <x:c r="H79" s="59"/>
      <x:c r="I79" s="59"/>
      <x:c r="J79" s="59"/>
      <x:c r="K79" s="59"/>
      <x:c r="L79" s="59"/>
      <x:c r="M79" s="59"/>
      <x:c r="N79" s="59"/>
      <x:c r="O79" s="59"/>
      <x:c r="P79" s="59"/>
      <x:c r="Q79" s="59"/>
      <x:c r="R79" s="59"/>
      <x:c r="S79" s="59"/>
      <x:c r="T79" s="59"/>
      <x:c r="U79" s="59"/>
      <x:c r="V79" s="59"/>
      <x:c r="W79" s="59"/>
      <x:c r="X79" s="59"/>
      <x:c r="Y79" s="59"/>
      <x:c r="Z79" s="59"/>
      <x:c r="AA79" s="59"/>
      <x:c r="AB79" s="59"/>
      <x:c r="AC79" s="59"/>
      <x:c r="AD79" s="59"/>
      <x:c r="AE79" s="59"/>
      <x:c r="AF79" s="59"/>
      <x:c r="AG79" s="59"/>
      <x:c r="AH79" s="59"/>
      <x:c r="AI79" s="59"/>
      <x:c r="AJ79" s="59"/>
      <x:c r="AK79" s="59"/>
      <x:c r="AL79" s="59"/>
      <x:c r="AM79" s="59"/>
      <x:c r="AN79" s="59"/>
    </x:row>
    <x:row r="80">
      <x:c r="A80" s="59"/>
      <x:c r="B80" s="59"/>
      <x:c r="C80" s="59"/>
      <x:c r="D80" s="59"/>
      <x:c r="E80" s="59"/>
      <x:c r="F80" s="59"/>
      <x:c r="G80" s="59"/>
      <x:c r="H80" s="59"/>
      <x:c r="I80" s="59"/>
      <x:c r="J80" s="59"/>
      <x:c r="K80" s="59"/>
      <x:c r="L80" s="59"/>
      <x:c r="M80" s="59"/>
      <x:c r="N80" s="59"/>
      <x:c r="O80" s="59"/>
      <x:c r="P80" s="59"/>
      <x:c r="Q80" s="59"/>
      <x:c r="R80" s="59"/>
      <x:c r="S80" s="59"/>
      <x:c r="T80" s="59"/>
      <x:c r="U80" s="59"/>
      <x:c r="V80" s="59"/>
      <x:c r="W80" s="59"/>
      <x:c r="X80" s="59"/>
      <x:c r="Y80" s="59"/>
      <x:c r="Z80" s="59"/>
      <x:c r="AA80" s="59"/>
      <x:c r="AB80" s="59"/>
      <x:c r="AC80" s="59"/>
      <x:c r="AD80" s="59"/>
      <x:c r="AE80" s="59"/>
      <x:c r="AF80" s="59"/>
      <x:c r="AG80" s="59"/>
      <x:c r="AH80" s="59"/>
      <x:c r="AI80" s="59"/>
      <x:c r="AJ80" s="59"/>
      <x:c r="AK80" s="59"/>
      <x:c r="AL80" s="59"/>
      <x:c r="AM80" s="59"/>
      <x:c r="AN80" s="59"/>
    </x:row>
    <x:row r="81">
      <x:c r="A81" s="59"/>
      <x:c r="B81" s="59"/>
      <x:c r="C81" s="59"/>
      <x:c r="D81" s="59"/>
      <x:c r="E81" s="59"/>
      <x:c r="F81" s="59"/>
      <x:c r="G81" s="59"/>
      <x:c r="H81" s="59"/>
      <x:c r="I81" s="59"/>
      <x:c r="J81" s="59"/>
      <x:c r="K81" s="59"/>
      <x:c r="L81" s="59"/>
      <x:c r="M81" s="59"/>
      <x:c r="N81" s="59"/>
      <x:c r="O81" s="59"/>
      <x:c r="P81" s="59"/>
      <x:c r="Q81" s="59"/>
      <x:c r="R81" s="59"/>
      <x:c r="S81" s="59"/>
      <x:c r="T81" s="59"/>
      <x:c r="U81" s="59"/>
      <x:c r="V81" s="59"/>
      <x:c r="W81" s="59"/>
      <x:c r="X81" s="59"/>
      <x:c r="Y81" s="59"/>
      <x:c r="Z81" s="59"/>
      <x:c r="AA81" s="59"/>
      <x:c r="AB81" s="59"/>
      <x:c r="AC81" s="59"/>
      <x:c r="AD81" s="59"/>
      <x:c r="AE81" s="59"/>
      <x:c r="AF81" s="59"/>
      <x:c r="AG81" s="59"/>
      <x:c r="AH81" s="59"/>
      <x:c r="AI81" s="59"/>
      <x:c r="AJ81" s="59"/>
      <x:c r="AK81" s="59"/>
      <x:c r="AL81" s="59"/>
      <x:c r="AM81" s="59"/>
      <x:c r="AN81" s="59"/>
    </x:row>
    <x:row r="82">
      <x:c r="A82" s="59"/>
      <x:c r="B82" s="59"/>
      <x:c r="C82" s="59"/>
      <x:c r="D82" s="59"/>
      <x:c r="E82" s="59"/>
      <x:c r="F82" s="59"/>
      <x:c r="G82" s="59"/>
      <x:c r="H82" s="59"/>
      <x:c r="I82" s="59"/>
      <x:c r="J82" s="59"/>
      <x:c r="K82" s="59"/>
      <x:c r="L82" s="59"/>
      <x:c r="M82" s="59"/>
      <x:c r="N82" s="59"/>
      <x:c r="O82" s="59"/>
      <x:c r="P82" s="59"/>
      <x:c r="Q82" s="59"/>
      <x:c r="R82" s="59"/>
      <x:c r="S82" s="59"/>
      <x:c r="T82" s="59"/>
      <x:c r="U82" s="59"/>
      <x:c r="V82" s="59"/>
      <x:c r="W82" s="59"/>
      <x:c r="X82" s="59"/>
      <x:c r="Y82" s="59"/>
      <x:c r="Z82" s="59"/>
      <x:c r="AA82" s="59"/>
      <x:c r="AB82" s="59"/>
      <x:c r="AC82" s="59"/>
      <x:c r="AD82" s="59"/>
      <x:c r="AE82" s="59"/>
      <x:c r="AF82" s="59"/>
      <x:c r="AG82" s="59"/>
      <x:c r="AH82" s="59"/>
      <x:c r="AI82" s="59"/>
      <x:c r="AJ82" s="59"/>
      <x:c r="AK82" s="59"/>
      <x:c r="AL82" s="59"/>
      <x:c r="AM82" s="59"/>
      <x:c r="AN82" s="59"/>
    </x:row>
    <x:row r="83">
      <x:c r="A83" s="59"/>
      <x:c r="B83" s="59"/>
      <x:c r="C83" s="59"/>
      <x:c r="D83" s="59"/>
      <x:c r="E83" s="59"/>
      <x:c r="F83" s="59"/>
      <x:c r="G83" s="59"/>
      <x:c r="H83" s="59"/>
      <x:c r="I83" s="59"/>
      <x:c r="J83" s="59"/>
      <x:c r="K83" s="59"/>
      <x:c r="L83" s="59"/>
      <x:c r="M83" s="59"/>
      <x:c r="N83" s="59"/>
      <x:c r="O83" s="59"/>
      <x:c r="P83" s="59"/>
      <x:c r="Q83" s="59"/>
      <x:c r="R83" s="59"/>
      <x:c r="S83" s="59"/>
      <x:c r="T83" s="59"/>
      <x:c r="U83" s="59"/>
      <x:c r="V83" s="59"/>
      <x:c r="W83" s="59"/>
      <x:c r="X83" s="59"/>
      <x:c r="Y83" s="59"/>
      <x:c r="Z83" s="59"/>
      <x:c r="AA83" s="59"/>
      <x:c r="AB83" s="59"/>
      <x:c r="AC83" s="59"/>
      <x:c r="AD83" s="59"/>
      <x:c r="AE83" s="59"/>
      <x:c r="AF83" s="59"/>
      <x:c r="AG83" s="59"/>
      <x:c r="AH83" s="59"/>
      <x:c r="AI83" s="59"/>
      <x:c r="AJ83" s="59"/>
      <x:c r="AK83" s="59"/>
      <x:c r="AL83" s="59"/>
      <x:c r="AM83" s="59"/>
      <x:c r="AN83" s="59"/>
    </x:row>
    <x:row r="84">
      <x:c r="A84" s="59"/>
      <x:c r="B84" s="59"/>
      <x:c r="C84" s="59"/>
      <x:c r="D84" s="59"/>
      <x:c r="E84" s="59"/>
      <x:c r="F84" s="59"/>
      <x:c r="G84" s="59"/>
      <x:c r="H84" s="59"/>
      <x:c r="I84" s="59"/>
      <x:c r="J84" s="59"/>
      <x:c r="K84" s="59"/>
      <x:c r="L84" s="59"/>
      <x:c r="M84" s="59"/>
      <x:c r="N84" s="59"/>
      <x:c r="O84" s="59"/>
      <x:c r="P84" s="59"/>
      <x:c r="Q84" s="59"/>
      <x:c r="R84" s="59"/>
      <x:c r="S84" s="59"/>
      <x:c r="T84" s="59"/>
      <x:c r="U84" s="59"/>
      <x:c r="V84" s="59"/>
      <x:c r="W84" s="59"/>
      <x:c r="X84" s="59"/>
      <x:c r="Y84" s="59"/>
      <x:c r="Z84" s="59"/>
      <x:c r="AA84" s="59"/>
      <x:c r="AB84" s="59"/>
      <x:c r="AC84" s="59"/>
      <x:c r="AD84" s="59"/>
      <x:c r="AE84" s="59"/>
      <x:c r="AF84" s="59"/>
      <x:c r="AG84" s="59"/>
      <x:c r="AH84" s="59"/>
      <x:c r="AI84" s="59"/>
      <x:c r="AJ84" s="59"/>
      <x:c r="AK84" s="59"/>
      <x:c r="AL84" s="59"/>
      <x:c r="AM84" s="59"/>
      <x:c r="AN84" s="59"/>
    </x:row>
    <x:row r="85">
      <x:c r="A85" s="59"/>
      <x:c r="B85" s="59"/>
      <x:c r="C85" s="59"/>
      <x:c r="D85" s="59"/>
      <x:c r="E85" s="59"/>
      <x:c r="F85" s="59"/>
      <x:c r="G85" s="59"/>
      <x:c r="H85" s="59"/>
      <x:c r="I85" s="59"/>
      <x:c r="J85" s="59"/>
      <x:c r="K85" s="59"/>
      <x:c r="L85" s="59"/>
      <x:c r="M85" s="59"/>
      <x:c r="N85" s="59"/>
      <x:c r="O85" s="59"/>
      <x:c r="P85" s="59"/>
      <x:c r="Q85" s="59"/>
      <x:c r="R85" s="59"/>
      <x:c r="S85" s="59"/>
      <x:c r="T85" s="59"/>
      <x:c r="U85" s="59"/>
      <x:c r="V85" s="59"/>
      <x:c r="W85" s="59"/>
      <x:c r="X85" s="59"/>
      <x:c r="Y85" s="59"/>
      <x:c r="Z85" s="59"/>
      <x:c r="AA85" s="59"/>
      <x:c r="AB85" s="59"/>
      <x:c r="AC85" s="59"/>
      <x:c r="AD85" s="59"/>
      <x:c r="AE85" s="59"/>
      <x:c r="AF85" s="59"/>
      <x:c r="AG85" s="59"/>
      <x:c r="AH85" s="59"/>
      <x:c r="AI85" s="59"/>
      <x:c r="AJ85" s="59"/>
      <x:c r="AK85" s="59"/>
      <x:c r="AL85" s="59"/>
      <x:c r="AM85" s="59"/>
      <x:c r="AN85" s="59"/>
    </x:row>
    <x:row r="86">
      <x:c r="A86" s="59"/>
      <x:c r="B86" s="59"/>
      <x:c r="C86" s="59"/>
      <x:c r="D86" s="59"/>
      <x:c r="E86" s="59"/>
      <x:c r="F86" s="59"/>
      <x:c r="G86" s="59"/>
      <x:c r="H86" s="59"/>
      <x:c r="I86" s="59"/>
      <x:c r="J86" s="59"/>
      <x:c r="K86" s="59"/>
      <x:c r="L86" s="59"/>
      <x:c r="M86" s="59"/>
      <x:c r="N86" s="59"/>
      <x:c r="O86" s="59"/>
      <x:c r="P86" s="59"/>
      <x:c r="Q86" s="59"/>
      <x:c r="R86" s="59"/>
      <x:c r="S86" s="59"/>
      <x:c r="T86" s="59"/>
      <x:c r="U86" s="59"/>
      <x:c r="V86" s="59"/>
      <x:c r="W86" s="59"/>
      <x:c r="X86" s="59"/>
      <x:c r="Y86" s="59"/>
      <x:c r="Z86" s="59"/>
      <x:c r="AA86" s="59"/>
      <x:c r="AB86" s="59"/>
      <x:c r="AC86" s="59"/>
      <x:c r="AD86" s="59"/>
      <x:c r="AE86" s="59"/>
      <x:c r="AF86" s="59"/>
      <x:c r="AG86" s="59"/>
      <x:c r="AH86" s="59"/>
      <x:c r="AI86" s="59"/>
      <x:c r="AJ86" s="59"/>
      <x:c r="AK86" s="59"/>
      <x:c r="AL86" s="59"/>
      <x:c r="AM86" s="59"/>
      <x:c r="AN86" s="59"/>
    </x:row>
    <x:row r="87">
      <x:c r="A87" s="59"/>
      <x:c r="B87" s="59"/>
      <x:c r="C87" s="59"/>
      <x:c r="D87" s="59"/>
      <x:c r="E87" s="59"/>
      <x:c r="F87" s="59"/>
      <x:c r="G87" s="59"/>
      <x:c r="H87" s="59"/>
      <x:c r="I87" s="59"/>
      <x:c r="J87" s="59"/>
      <x:c r="K87" s="59"/>
      <x:c r="L87" s="59"/>
      <x:c r="M87" s="59"/>
      <x:c r="N87" s="59"/>
      <x:c r="O87" s="59"/>
      <x:c r="P87" s="59"/>
      <x:c r="Q87" s="59"/>
      <x:c r="R87" s="59"/>
      <x:c r="S87" s="59"/>
      <x:c r="T87" s="59"/>
      <x:c r="U87" s="59"/>
      <x:c r="V87" s="59"/>
      <x:c r="W87" s="59"/>
      <x:c r="X87" s="59"/>
      <x:c r="Y87" s="59"/>
      <x:c r="Z87" s="59"/>
      <x:c r="AA87" s="59"/>
      <x:c r="AB87" s="59"/>
      <x:c r="AC87" s="59"/>
      <x:c r="AD87" s="59"/>
      <x:c r="AE87" s="59"/>
      <x:c r="AF87" s="59"/>
      <x:c r="AG87" s="59"/>
      <x:c r="AH87" s="59"/>
      <x:c r="AI87" s="59"/>
      <x:c r="AJ87" s="59"/>
      <x:c r="AK87" s="59"/>
      <x:c r="AL87" s="59"/>
      <x:c r="AM87" s="59"/>
      <x:c r="AN87" s="59"/>
    </x:row>
    <x:row r="88">
      <x:c r="A88" s="59"/>
      <x:c r="B88" s="59"/>
      <x:c r="C88" s="59"/>
      <x:c r="D88" s="59"/>
      <x:c r="E88" s="59"/>
      <x:c r="F88" s="59"/>
      <x:c r="G88" s="59"/>
      <x:c r="H88" s="59"/>
      <x:c r="I88" s="59"/>
      <x:c r="J88" s="59"/>
      <x:c r="K88" s="59"/>
      <x:c r="L88" s="59"/>
      <x:c r="M88" s="59"/>
      <x:c r="N88" s="59"/>
      <x:c r="O88" s="59"/>
      <x:c r="P88" s="59"/>
      <x:c r="Q88" s="59"/>
      <x:c r="R88" s="59"/>
      <x:c r="S88" s="59"/>
      <x:c r="T88" s="59"/>
      <x:c r="U88" s="59"/>
      <x:c r="V88" s="59"/>
      <x:c r="W88" s="59"/>
      <x:c r="X88" s="59"/>
      <x:c r="Y88" s="59"/>
      <x:c r="Z88" s="59"/>
      <x:c r="AA88" s="59"/>
      <x:c r="AB88" s="59"/>
      <x:c r="AC88" s="59"/>
      <x:c r="AD88" s="59"/>
      <x:c r="AE88" s="59"/>
      <x:c r="AF88" s="59"/>
      <x:c r="AG88" s="59"/>
      <x:c r="AH88" s="59"/>
      <x:c r="AI88" s="59"/>
      <x:c r="AJ88" s="59"/>
      <x:c r="AK88" s="59"/>
      <x:c r="AL88" s="59"/>
      <x:c r="AM88" s="59"/>
      <x:c r="AN88" s="59"/>
    </x:row>
    <x:row r="89">
      <x:c r="A89" s="59"/>
      <x:c r="B89" s="59"/>
      <x:c r="C89" s="59"/>
      <x:c r="D89" s="59"/>
      <x:c r="E89" s="59"/>
      <x:c r="F89" s="59"/>
      <x:c r="G89" s="59"/>
      <x:c r="H89" s="59"/>
      <x:c r="I89" s="59"/>
      <x:c r="J89" s="59"/>
      <x:c r="K89" s="59"/>
      <x:c r="L89" s="59"/>
      <x:c r="M89" s="59"/>
      <x:c r="N89" s="59"/>
      <x:c r="O89" s="59"/>
      <x:c r="P89" s="59"/>
      <x:c r="Q89" s="59"/>
      <x:c r="R89" s="59"/>
      <x:c r="S89" s="59"/>
      <x:c r="T89" s="59"/>
      <x:c r="U89" s="59"/>
      <x:c r="V89" s="59"/>
      <x:c r="W89" s="59"/>
      <x:c r="X89" s="59"/>
      <x:c r="Y89" s="59"/>
      <x:c r="Z89" s="59"/>
      <x:c r="AA89" s="59"/>
      <x:c r="AB89" s="59"/>
      <x:c r="AC89" s="59"/>
      <x:c r="AD89" s="59"/>
      <x:c r="AE89" s="59"/>
      <x:c r="AF89" s="59"/>
      <x:c r="AG89" s="59"/>
      <x:c r="AH89" s="59"/>
      <x:c r="AI89" s="59"/>
      <x:c r="AJ89" s="59"/>
      <x:c r="AK89" s="59"/>
      <x:c r="AL89" s="59"/>
      <x:c r="AM89" s="59"/>
      <x:c r="AN89" s="59"/>
    </x:row>
    <x:row r="90">
      <x:c r="A90" s="59"/>
      <x:c r="B90" s="59"/>
      <x:c r="C90" s="59"/>
      <x:c r="D90" s="59"/>
      <x:c r="E90" s="59"/>
      <x:c r="F90" s="59"/>
      <x:c r="G90" s="59"/>
      <x:c r="H90" s="59"/>
      <x:c r="I90" s="59"/>
      <x:c r="J90" s="59"/>
      <x:c r="K90" s="59"/>
      <x:c r="L90" s="59"/>
      <x:c r="M90" s="59"/>
      <x:c r="N90" s="59"/>
      <x:c r="O90" s="59"/>
      <x:c r="P90" s="59"/>
      <x:c r="Q90" s="59"/>
      <x:c r="R90" s="59"/>
      <x:c r="S90" s="59"/>
      <x:c r="T90" s="59"/>
      <x:c r="U90" s="59"/>
      <x:c r="V90" s="59"/>
      <x:c r="W90" s="59"/>
      <x:c r="X90" s="59"/>
      <x:c r="Y90" s="59"/>
      <x:c r="Z90" s="59"/>
      <x:c r="AA90" s="59"/>
      <x:c r="AB90" s="59"/>
      <x:c r="AC90" s="59"/>
      <x:c r="AD90" s="59"/>
      <x:c r="AE90" s="59"/>
      <x:c r="AF90" s="59"/>
      <x:c r="AG90" s="59"/>
      <x:c r="AH90" s="59"/>
      <x:c r="AI90" s="59"/>
      <x:c r="AJ90" s="59"/>
      <x:c r="AK90" s="59"/>
      <x:c r="AL90" s="59"/>
      <x:c r="AM90" s="59"/>
      <x:c r="AN90" s="59"/>
    </x:row>
    <x:row r="91">
      <x:c r="A91" s="59"/>
      <x:c r="B91" s="59"/>
      <x:c r="C91" s="59"/>
      <x:c r="D91" s="59"/>
      <x:c r="E91" s="59"/>
      <x:c r="F91" s="59"/>
      <x:c r="G91" s="59"/>
      <x:c r="H91" s="59"/>
      <x:c r="I91" s="59"/>
      <x:c r="J91" s="59"/>
      <x:c r="K91" s="59"/>
      <x:c r="L91" s="59"/>
      <x:c r="M91" s="59"/>
      <x:c r="N91" s="59"/>
      <x:c r="O91" s="59"/>
      <x:c r="P91" s="59"/>
      <x:c r="Q91" s="59"/>
      <x:c r="R91" s="59"/>
      <x:c r="S91" s="59"/>
      <x:c r="T91" s="59"/>
      <x:c r="U91" s="59"/>
      <x:c r="V91" s="59"/>
      <x:c r="W91" s="59"/>
      <x:c r="X91" s="59"/>
      <x:c r="Y91" s="59"/>
      <x:c r="Z91" s="59"/>
      <x:c r="AA91" s="59"/>
      <x:c r="AB91" s="59"/>
      <x:c r="AC91" s="59"/>
      <x:c r="AD91" s="59"/>
      <x:c r="AE91" s="59"/>
      <x:c r="AF91" s="59"/>
      <x:c r="AG91" s="59"/>
      <x:c r="AH91" s="59"/>
      <x:c r="AI91" s="59"/>
      <x:c r="AJ91" s="59"/>
      <x:c r="AK91" s="59"/>
      <x:c r="AL91" s="59"/>
      <x:c r="AM91" s="59"/>
      <x:c r="AN91" s="59"/>
    </x:row>
    <x:row r="92">
      <x:c r="A92" s="59"/>
      <x:c r="B92" s="59"/>
      <x:c r="C92" s="59"/>
      <x:c r="D92" s="59"/>
      <x:c r="E92" s="59"/>
      <x:c r="F92" s="59"/>
      <x:c r="G92" s="59"/>
      <x:c r="H92" s="59"/>
      <x:c r="I92" s="59"/>
      <x:c r="J92" s="59"/>
      <x:c r="K92" s="59"/>
      <x:c r="L92" s="59"/>
      <x:c r="M92" s="59"/>
      <x:c r="N92" s="59"/>
      <x:c r="O92" s="59"/>
      <x:c r="P92" s="59"/>
      <x:c r="Q92" s="59"/>
      <x:c r="R92" s="59"/>
      <x:c r="S92" s="59"/>
      <x:c r="T92" s="59"/>
      <x:c r="U92" s="59"/>
      <x:c r="V92" s="59"/>
      <x:c r="W92" s="59"/>
      <x:c r="X92" s="59"/>
      <x:c r="Y92" s="59"/>
      <x:c r="Z92" s="59"/>
      <x:c r="AA92" s="59"/>
      <x:c r="AB92" s="59"/>
      <x:c r="AC92" s="59"/>
      <x:c r="AD92" s="59"/>
      <x:c r="AE92" s="59"/>
      <x:c r="AF92" s="59"/>
      <x:c r="AG92" s="59"/>
      <x:c r="AH92" s="59"/>
      <x:c r="AI92" s="59"/>
      <x:c r="AJ92" s="59"/>
      <x:c r="AK92" s="59"/>
      <x:c r="AL92" s="59"/>
      <x:c r="AM92" s="59"/>
      <x:c r="AN92" s="59"/>
    </x:row>
    <x:row r="93">
      <x:c r="A93" s="59"/>
      <x:c r="B93" s="59"/>
      <x:c r="C93" s="59"/>
      <x:c r="D93" s="59"/>
      <x:c r="E93" s="59"/>
      <x:c r="F93" s="59"/>
      <x:c r="G93" s="59"/>
      <x:c r="H93" s="59"/>
      <x:c r="I93" s="59"/>
      <x:c r="J93" s="59"/>
      <x:c r="K93" s="59"/>
      <x:c r="L93" s="59"/>
      <x:c r="M93" s="59"/>
      <x:c r="N93" s="59"/>
      <x:c r="O93" s="59"/>
      <x:c r="P93" s="59"/>
      <x:c r="Q93" s="59"/>
      <x:c r="R93" s="59"/>
      <x:c r="S93" s="59"/>
      <x:c r="T93" s="59"/>
      <x:c r="U93" s="59"/>
      <x:c r="V93" s="59"/>
      <x:c r="W93" s="59"/>
      <x:c r="X93" s="59"/>
      <x:c r="Y93" s="59"/>
      <x:c r="Z93" s="59"/>
      <x:c r="AA93" s="59"/>
      <x:c r="AB93" s="59"/>
      <x:c r="AC93" s="59"/>
      <x:c r="AD93" s="59"/>
      <x:c r="AE93" s="59"/>
      <x:c r="AF93" s="59"/>
      <x:c r="AG93" s="59"/>
      <x:c r="AH93" s="59"/>
      <x:c r="AI93" s="59"/>
      <x:c r="AJ93" s="59"/>
      <x:c r="AK93" s="59"/>
      <x:c r="AL93" s="59"/>
      <x:c r="AM93" s="59"/>
      <x:c r="AN93" s="59"/>
    </x:row>
    <x:row r="94">
      <x:c r="A94" s="59"/>
      <x:c r="B94" s="59"/>
      <x:c r="C94" s="59"/>
      <x:c r="D94" s="59"/>
      <x:c r="E94" s="59"/>
      <x:c r="F94" s="59"/>
      <x:c r="G94" s="59"/>
      <x:c r="H94" s="59"/>
      <x:c r="I94" s="59"/>
      <x:c r="J94" s="59"/>
      <x:c r="K94" s="59"/>
      <x:c r="L94" s="59"/>
      <x:c r="M94" s="59"/>
      <x:c r="N94" s="59"/>
      <x:c r="O94" s="59"/>
      <x:c r="P94" s="59"/>
      <x:c r="Q94" s="59"/>
      <x:c r="R94" s="59"/>
      <x:c r="S94" s="59"/>
      <x:c r="T94" s="59"/>
      <x:c r="U94" s="59"/>
      <x:c r="V94" s="59"/>
      <x:c r="W94" s="59"/>
      <x:c r="X94" s="59"/>
      <x:c r="Y94" s="59"/>
      <x:c r="Z94" s="59"/>
      <x:c r="AA94" s="59"/>
      <x:c r="AB94" s="59"/>
      <x:c r="AC94" s="59"/>
      <x:c r="AD94" s="59"/>
      <x:c r="AE94" s="59"/>
      <x:c r="AF94" s="59"/>
      <x:c r="AG94" s="59"/>
      <x:c r="AH94" s="59"/>
      <x:c r="AI94" s="59"/>
      <x:c r="AJ94" s="59"/>
      <x:c r="AK94" s="59"/>
      <x:c r="AL94" s="59"/>
      <x:c r="AM94" s="59"/>
      <x:c r="AN94" s="59"/>
    </x:row>
    <x:row r="95">
      <x:c r="A95" s="59"/>
      <x:c r="B95" s="59"/>
      <x:c r="C95" s="59"/>
      <x:c r="D95" s="59"/>
      <x:c r="E95" s="59"/>
      <x:c r="F95" s="59"/>
      <x:c r="G95" s="59"/>
      <x:c r="H95" s="59"/>
      <x:c r="I95" s="59"/>
      <x:c r="J95" s="59"/>
      <x:c r="K95" s="59"/>
      <x:c r="L95" s="59"/>
      <x:c r="M95" s="59"/>
      <x:c r="N95" s="59"/>
      <x:c r="O95" s="59"/>
      <x:c r="P95" s="59"/>
      <x:c r="Q95" s="59"/>
      <x:c r="R95" s="59"/>
      <x:c r="S95" s="59"/>
      <x:c r="T95" s="59"/>
      <x:c r="U95" s="59"/>
      <x:c r="V95" s="59"/>
      <x:c r="W95" s="59"/>
      <x:c r="X95" s="59"/>
      <x:c r="Y95" s="59"/>
      <x:c r="Z95" s="59"/>
      <x:c r="AA95" s="59"/>
      <x:c r="AB95" s="59"/>
      <x:c r="AC95" s="59"/>
      <x:c r="AD95" s="59"/>
      <x:c r="AE95" s="59"/>
      <x:c r="AF95" s="59"/>
      <x:c r="AG95" s="59"/>
      <x:c r="AH95" s="59"/>
      <x:c r="AI95" s="59"/>
      <x:c r="AJ95" s="59"/>
      <x:c r="AK95" s="59"/>
      <x:c r="AL95" s="59"/>
      <x:c r="AM95" s="59"/>
      <x:c r="AN95" s="59"/>
    </x:row>
    <x:row r="96">
      <x:c r="A96" s="59"/>
      <x:c r="B96" s="59"/>
      <x:c r="C96" s="59"/>
      <x:c r="D96" s="59"/>
      <x:c r="E96" s="59"/>
      <x:c r="F96" s="59"/>
      <x:c r="G96" s="59"/>
      <x:c r="H96" s="59"/>
      <x:c r="I96" s="59"/>
      <x:c r="J96" s="59"/>
      <x:c r="K96" s="59"/>
      <x:c r="L96" s="59"/>
      <x:c r="M96" s="59"/>
      <x:c r="N96" s="59"/>
      <x:c r="O96" s="59"/>
      <x:c r="P96" s="59"/>
      <x:c r="Q96" s="59"/>
      <x:c r="R96" s="59"/>
      <x:c r="S96" s="59"/>
      <x:c r="T96" s="59"/>
      <x:c r="U96" s="59"/>
      <x:c r="V96" s="59"/>
      <x:c r="W96" s="59"/>
      <x:c r="X96" s="59"/>
      <x:c r="Y96" s="59"/>
      <x:c r="Z96" s="59"/>
      <x:c r="AA96" s="59"/>
      <x:c r="AB96" s="59"/>
      <x:c r="AC96" s="59"/>
      <x:c r="AD96" s="59"/>
      <x:c r="AE96" s="59"/>
      <x:c r="AF96" s="59"/>
      <x:c r="AG96" s="59"/>
      <x:c r="AH96" s="59"/>
      <x:c r="AI96" s="59"/>
      <x:c r="AJ96" s="59"/>
      <x:c r="AK96" s="59"/>
      <x:c r="AL96" s="59"/>
      <x:c r="AM96" s="59"/>
      <x:c r="AN96" s="59"/>
    </x:row>
    <x:row r="97">
      <x:c r="A97" s="59"/>
      <x:c r="B97" s="59"/>
      <x:c r="C97" s="59"/>
      <x:c r="D97" s="59"/>
      <x:c r="E97" s="59"/>
      <x:c r="F97" s="59"/>
      <x:c r="G97" s="59"/>
      <x:c r="H97" s="59"/>
      <x:c r="I97" s="59"/>
      <x:c r="J97" s="59"/>
      <x:c r="K97" s="59"/>
      <x:c r="L97" s="59"/>
      <x:c r="M97" s="59"/>
      <x:c r="N97" s="59"/>
      <x:c r="O97" s="59"/>
      <x:c r="P97" s="59"/>
      <x:c r="Q97" s="59"/>
      <x:c r="R97" s="59"/>
      <x:c r="S97" s="59"/>
      <x:c r="T97" s="59"/>
      <x:c r="U97" s="59"/>
      <x:c r="V97" s="59"/>
      <x:c r="W97" s="59"/>
      <x:c r="X97" s="59"/>
      <x:c r="Y97" s="59"/>
      <x:c r="Z97" s="59"/>
      <x:c r="AA97" s="59"/>
      <x:c r="AB97" s="59"/>
      <x:c r="AC97" s="59"/>
      <x:c r="AD97" s="59"/>
      <x:c r="AE97" s="59"/>
      <x:c r="AF97" s="59"/>
      <x:c r="AG97" s="59"/>
      <x:c r="AH97" s="59"/>
      <x:c r="AI97" s="59"/>
      <x:c r="AJ97" s="59"/>
      <x:c r="AK97" s="59"/>
      <x:c r="AL97" s="59"/>
      <x:c r="AM97" s="59"/>
      <x:c r="AN97" s="59"/>
    </x:row>
    <x:row r="98">
      <x:c r="A98" s="59"/>
      <x:c r="B98" s="59"/>
      <x:c r="C98" s="59"/>
      <x:c r="D98" s="59"/>
      <x:c r="E98" s="59"/>
      <x:c r="F98" s="59"/>
      <x:c r="G98" s="59"/>
      <x:c r="H98" s="59"/>
      <x:c r="I98" s="59"/>
      <x:c r="J98" s="59"/>
      <x:c r="K98" s="59"/>
      <x:c r="L98" s="59"/>
      <x:c r="M98" s="59"/>
      <x:c r="N98" s="59"/>
      <x:c r="O98" s="59"/>
      <x:c r="P98" s="59"/>
      <x:c r="Q98" s="59"/>
      <x:c r="R98" s="59"/>
      <x:c r="S98" s="59"/>
      <x:c r="T98" s="59"/>
      <x:c r="U98" s="59"/>
      <x:c r="V98" s="59"/>
      <x:c r="W98" s="59"/>
      <x:c r="X98" s="59"/>
      <x:c r="Y98" s="59"/>
      <x:c r="Z98" s="59"/>
      <x:c r="AA98" s="59"/>
      <x:c r="AB98" s="59"/>
      <x:c r="AC98" s="59"/>
      <x:c r="AD98" s="59"/>
      <x:c r="AE98" s="59"/>
      <x:c r="AF98" s="59"/>
      <x:c r="AG98" s="59"/>
      <x:c r="AH98" s="59"/>
      <x:c r="AI98" s="59"/>
      <x:c r="AJ98" s="59"/>
      <x:c r="AK98" s="59"/>
      <x:c r="AL98" s="59"/>
      <x:c r="AM98" s="59"/>
      <x:c r="AN98" s="59"/>
    </x:row>
    <x:row r="99">
      <x:c r="A99" s="59"/>
      <x:c r="B99" s="59"/>
      <x:c r="C99" s="59"/>
      <x:c r="D99" s="59"/>
      <x:c r="E99" s="59"/>
      <x:c r="F99" s="59"/>
      <x:c r="G99" s="59"/>
      <x:c r="H99" s="59"/>
      <x:c r="I99" s="59"/>
      <x:c r="J99" s="59"/>
      <x:c r="K99" s="59"/>
      <x:c r="L99" s="59"/>
      <x:c r="M99" s="59"/>
      <x:c r="N99" s="59"/>
      <x:c r="O99" s="59"/>
      <x:c r="P99" s="59"/>
      <x:c r="Q99" s="59"/>
      <x:c r="R99" s="59"/>
      <x:c r="S99" s="59"/>
      <x:c r="T99" s="59"/>
      <x:c r="U99" s="59"/>
      <x:c r="V99" s="59"/>
      <x:c r="W99" s="59"/>
      <x:c r="X99" s="59"/>
      <x:c r="Y99" s="59"/>
      <x:c r="Z99" s="59"/>
      <x:c r="AA99" s="59"/>
      <x:c r="AB99" s="59"/>
      <x:c r="AC99" s="59"/>
      <x:c r="AD99" s="59"/>
      <x:c r="AE99" s="59"/>
      <x:c r="AF99" s="59"/>
      <x:c r="AG99" s="59"/>
      <x:c r="AH99" s="59"/>
      <x:c r="AI99" s="59"/>
      <x:c r="AJ99" s="59"/>
      <x:c r="AK99" s="59"/>
      <x:c r="AL99" s="59"/>
      <x:c r="AM99" s="59"/>
      <x:c r="AN99" s="59"/>
    </x:row>
    <x:row r="100">
      <x:c r="A100" s="59"/>
      <x:c r="B100" s="59"/>
      <x:c r="C100" s="59"/>
      <x:c r="D100" s="59"/>
      <x:c r="E100" s="59"/>
      <x:c r="F100" s="59"/>
      <x:c r="G100" s="59"/>
      <x:c r="H100" s="59"/>
      <x:c r="I100" s="59"/>
      <x:c r="J100" s="59"/>
      <x:c r="K100" s="59"/>
      <x:c r="L100" s="59"/>
      <x:c r="M100" s="59"/>
      <x:c r="N100" s="59"/>
      <x:c r="O100" s="59"/>
      <x:c r="P100" s="59"/>
      <x:c r="Q100" s="59"/>
      <x:c r="R100" s="59"/>
      <x:c r="S100" s="59"/>
      <x:c r="T100" s="59"/>
      <x:c r="U100" s="59"/>
      <x:c r="V100" s="59"/>
      <x:c r="W100" s="59"/>
      <x:c r="X100" s="59"/>
      <x:c r="Y100" s="59"/>
      <x:c r="Z100" s="59"/>
      <x:c r="AA100" s="59"/>
      <x:c r="AB100" s="59"/>
      <x:c r="AC100" s="59"/>
      <x:c r="AD100" s="59"/>
      <x:c r="AE100" s="59"/>
      <x:c r="AF100" s="59"/>
      <x:c r="AG100" s="59"/>
      <x:c r="AH100" s="59"/>
      <x:c r="AI100" s="59"/>
      <x:c r="AJ100" s="59"/>
      <x:c r="AK100" s="59"/>
      <x:c r="AL100" s="59"/>
      <x:c r="AM100" s="59"/>
      <x:c r="AN100" s="59"/>
    </x:row>
    <x:row r="101">
      <x:c r="A101" s="59"/>
      <x:c r="B101" s="59"/>
      <x:c r="C101" s="59"/>
      <x:c r="D101" s="59"/>
      <x:c r="E101" s="59"/>
      <x:c r="F101" s="59"/>
      <x:c r="G101" s="59"/>
      <x:c r="H101" s="59"/>
      <x:c r="I101" s="59"/>
      <x:c r="J101" s="59"/>
      <x:c r="K101" s="59"/>
      <x:c r="L101" s="59"/>
      <x:c r="M101" s="59"/>
      <x:c r="N101" s="59"/>
      <x:c r="O101" s="59"/>
      <x:c r="P101" s="59"/>
      <x:c r="Q101" s="59"/>
      <x:c r="R101" s="59"/>
      <x:c r="S101" s="59"/>
      <x:c r="T101" s="59"/>
      <x:c r="U101" s="59"/>
      <x:c r="V101" s="59"/>
      <x:c r="W101" s="59"/>
      <x:c r="X101" s="59"/>
      <x:c r="Y101" s="59"/>
      <x:c r="Z101" s="59"/>
      <x:c r="AA101" s="59"/>
      <x:c r="AB101" s="59"/>
      <x:c r="AC101" s="59"/>
      <x:c r="AD101" s="59"/>
      <x:c r="AE101" s="59"/>
      <x:c r="AF101" s="59"/>
      <x:c r="AG101" s="59"/>
      <x:c r="AH101" s="59"/>
      <x:c r="AI101" s="59"/>
      <x:c r="AJ101" s="59"/>
      <x:c r="AK101" s="59"/>
      <x:c r="AL101" s="59"/>
      <x:c r="AM101" s="59"/>
      <x:c r="AN101" s="59"/>
    </x:row>
    <x:row r="102">
      <x:c r="A102" s="59"/>
      <x:c r="B102" s="59"/>
      <x:c r="C102" s="59"/>
      <x:c r="D102" s="59"/>
      <x:c r="E102" s="59"/>
      <x:c r="F102" s="59"/>
      <x:c r="G102" s="59"/>
      <x:c r="H102" s="59"/>
      <x:c r="I102" s="59"/>
      <x:c r="J102" s="59"/>
      <x:c r="K102" s="59"/>
      <x:c r="L102" s="59"/>
      <x:c r="M102" s="59"/>
      <x:c r="N102" s="59"/>
      <x:c r="O102" s="59"/>
      <x:c r="P102" s="59"/>
      <x:c r="Q102" s="59"/>
      <x:c r="R102" s="59"/>
      <x:c r="S102" s="59"/>
      <x:c r="T102" s="59"/>
      <x:c r="U102" s="59"/>
      <x:c r="V102" s="59"/>
      <x:c r="W102" s="59"/>
      <x:c r="X102" s="59"/>
      <x:c r="Y102" s="59"/>
      <x:c r="Z102" s="59"/>
      <x:c r="AA102" s="59"/>
      <x:c r="AB102" s="59"/>
      <x:c r="AC102" s="59"/>
      <x:c r="AD102" s="59"/>
      <x:c r="AE102" s="59"/>
      <x:c r="AF102" s="59"/>
      <x:c r="AG102" s="59"/>
      <x:c r="AH102" s="59"/>
      <x:c r="AI102" s="59"/>
      <x:c r="AJ102" s="59"/>
      <x:c r="AK102" s="59"/>
      <x:c r="AL102" s="59"/>
      <x:c r="AM102" s="59"/>
      <x:c r="AN102" s="59"/>
    </x:row>
    <x:row r="103">
      <x:c r="A103" s="59"/>
      <x:c r="B103" s="59"/>
      <x:c r="C103" s="59"/>
      <x:c r="D103" s="59"/>
      <x:c r="E103" s="59"/>
      <x:c r="F103" s="59"/>
      <x:c r="G103" s="59"/>
      <x:c r="H103" s="59"/>
      <x:c r="I103" s="59"/>
      <x:c r="J103" s="59"/>
      <x:c r="K103" s="59"/>
      <x:c r="L103" s="59"/>
      <x:c r="M103" s="59"/>
      <x:c r="N103" s="59"/>
      <x:c r="O103" s="59"/>
      <x:c r="P103" s="59"/>
      <x:c r="Q103" s="59"/>
      <x:c r="R103" s="59"/>
      <x:c r="S103" s="59"/>
      <x:c r="T103" s="59"/>
      <x:c r="U103" s="59"/>
      <x:c r="V103" s="59"/>
      <x:c r="W103" s="59"/>
      <x:c r="X103" s="59"/>
      <x:c r="Y103" s="59"/>
      <x:c r="Z103" s="59"/>
      <x:c r="AA103" s="59"/>
      <x:c r="AB103" s="59"/>
      <x:c r="AC103" s="59"/>
      <x:c r="AD103" s="59"/>
      <x:c r="AE103" s="59"/>
      <x:c r="AF103" s="59"/>
      <x:c r="AG103" s="59"/>
      <x:c r="AH103" s="59"/>
      <x:c r="AI103" s="59"/>
      <x:c r="AJ103" s="59"/>
      <x:c r="AK103" s="59"/>
      <x:c r="AL103" s="59"/>
      <x:c r="AM103" s="59"/>
      <x:c r="AN103" s="59"/>
    </x:row>
    <x:row r="104">
      <x:c r="A104" s="59"/>
      <x:c r="B104" s="59"/>
      <x:c r="C104" s="59"/>
      <x:c r="D104" s="59"/>
      <x:c r="E104" s="59"/>
      <x:c r="F104" s="59"/>
      <x:c r="G104" s="59"/>
      <x:c r="H104" s="59"/>
      <x:c r="I104" s="59"/>
      <x:c r="J104" s="59"/>
      <x:c r="K104" s="59"/>
      <x:c r="L104" s="59"/>
      <x:c r="M104" s="59"/>
      <x:c r="N104" s="59"/>
      <x:c r="O104" s="59"/>
      <x:c r="P104" s="59"/>
      <x:c r="Q104" s="59"/>
      <x:c r="R104" s="59"/>
      <x:c r="S104" s="59"/>
      <x:c r="T104" s="59"/>
      <x:c r="U104" s="59"/>
      <x:c r="V104" s="59"/>
      <x:c r="W104" s="59"/>
      <x:c r="X104" s="59"/>
      <x:c r="Y104" s="59"/>
      <x:c r="Z104" s="59"/>
      <x:c r="AA104" s="59"/>
      <x:c r="AB104" s="59"/>
      <x:c r="AC104" s="59"/>
      <x:c r="AD104" s="59"/>
      <x:c r="AE104" s="59"/>
      <x:c r="AF104" s="59"/>
      <x:c r="AG104" s="59"/>
      <x:c r="AH104" s="59"/>
      <x:c r="AI104" s="59"/>
      <x:c r="AJ104" s="59"/>
      <x:c r="AK104" s="59"/>
      <x:c r="AL104" s="59"/>
      <x:c r="AM104" s="59"/>
      <x:c r="AN104" s="59"/>
    </x:row>
    <x:row r="105">
      <x:c r="A105" s="59"/>
      <x:c r="B105" s="59"/>
      <x:c r="C105" s="59"/>
      <x:c r="D105" s="59"/>
      <x:c r="E105" s="59"/>
      <x:c r="F105" s="59"/>
      <x:c r="G105" s="59"/>
      <x:c r="H105" s="59"/>
      <x:c r="I105" s="59"/>
      <x:c r="J105" s="59"/>
      <x:c r="K105" s="59"/>
      <x:c r="L105" s="59"/>
      <x:c r="M105" s="59"/>
      <x:c r="N105" s="59"/>
      <x:c r="O105" s="59"/>
      <x:c r="P105" s="59"/>
      <x:c r="Q105" s="59"/>
      <x:c r="R105" s="59"/>
      <x:c r="S105" s="59"/>
      <x:c r="T105" s="59"/>
      <x:c r="U105" s="59"/>
      <x:c r="V105" s="59"/>
      <x:c r="W105" s="59"/>
      <x:c r="X105" s="59"/>
      <x:c r="Y105" s="59"/>
      <x:c r="Z105" s="59"/>
      <x:c r="AA105" s="59"/>
      <x:c r="AB105" s="59"/>
      <x:c r="AC105" s="59"/>
      <x:c r="AD105" s="59"/>
      <x:c r="AE105" s="59"/>
      <x:c r="AF105" s="59"/>
      <x:c r="AG105" s="59"/>
      <x:c r="AH105" s="59"/>
      <x:c r="AI105" s="59"/>
      <x:c r="AJ105" s="59"/>
      <x:c r="AK105" s="59"/>
      <x:c r="AL105" s="59"/>
      <x:c r="AM105" s="59"/>
      <x:c r="AN105" s="59"/>
    </x:row>
    <x:row r="106">
      <x:c r="A106" s="59"/>
      <x:c r="B106" s="59"/>
      <x:c r="C106" s="59"/>
      <x:c r="D106" s="59"/>
      <x:c r="E106" s="59"/>
      <x:c r="F106" s="59"/>
      <x:c r="G106" s="59"/>
      <x:c r="H106" s="59"/>
      <x:c r="I106" s="59"/>
      <x:c r="J106" s="59"/>
      <x:c r="K106" s="59"/>
      <x:c r="L106" s="59"/>
      <x:c r="M106" s="59"/>
      <x:c r="N106" s="59"/>
      <x:c r="O106" s="59"/>
      <x:c r="P106" s="59"/>
      <x:c r="Q106" s="59"/>
      <x:c r="R106" s="59"/>
      <x:c r="S106" s="59"/>
      <x:c r="T106" s="59"/>
      <x:c r="U106" s="59"/>
      <x:c r="V106" s="59"/>
      <x:c r="W106" s="59"/>
      <x:c r="X106" s="59"/>
      <x:c r="Y106" s="59"/>
      <x:c r="Z106" s="59"/>
      <x:c r="AA106" s="59"/>
      <x:c r="AB106" s="59"/>
      <x:c r="AC106" s="59"/>
      <x:c r="AD106" s="59"/>
      <x:c r="AE106" s="59"/>
      <x:c r="AF106" s="59"/>
      <x:c r="AG106" s="59"/>
      <x:c r="AH106" s="59"/>
      <x:c r="AI106" s="59"/>
      <x:c r="AJ106" s="59"/>
      <x:c r="AK106" s="59"/>
      <x:c r="AL106" s="59"/>
      <x:c r="AM106" s="59"/>
      <x:c r="AN106" s="59"/>
    </x:row>
    <x:row r="107">
      <x:c r="A107" s="59"/>
      <x:c r="B107" s="59"/>
      <x:c r="C107" s="59"/>
      <x:c r="D107" s="59"/>
      <x:c r="E107" s="59"/>
      <x:c r="F107" s="59"/>
      <x:c r="G107" s="59"/>
      <x:c r="H107" s="59"/>
      <x:c r="I107" s="59"/>
      <x:c r="J107" s="59"/>
      <x:c r="K107" s="59"/>
      <x:c r="L107" s="59"/>
      <x:c r="M107" s="59"/>
      <x:c r="N107" s="59"/>
      <x:c r="O107" s="59"/>
      <x:c r="P107" s="59"/>
      <x:c r="Q107" s="59"/>
      <x:c r="R107" s="59"/>
      <x:c r="S107" s="59"/>
      <x:c r="T107" s="59"/>
      <x:c r="U107" s="59"/>
      <x:c r="V107" s="59"/>
      <x:c r="W107" s="59"/>
      <x:c r="X107" s="59"/>
      <x:c r="Y107" s="59"/>
      <x:c r="Z107" s="59"/>
      <x:c r="AA107" s="59"/>
      <x:c r="AB107" s="59"/>
      <x:c r="AC107" s="59"/>
      <x:c r="AD107" s="59"/>
      <x:c r="AE107" s="59"/>
      <x:c r="AF107" s="59"/>
      <x:c r="AG107" s="59"/>
      <x:c r="AH107" s="59"/>
      <x:c r="AI107" s="59"/>
      <x:c r="AJ107" s="59"/>
      <x:c r="AK107" s="59"/>
      <x:c r="AL107" s="59"/>
      <x:c r="AM107" s="59"/>
      <x:c r="AN107" s="59"/>
    </x:row>
    <x:row r="108">
      <x:c r="A108" s="59"/>
      <x:c r="B108" s="59"/>
      <x:c r="C108" s="59"/>
      <x:c r="D108" s="59"/>
      <x:c r="E108" s="59"/>
      <x:c r="F108" s="59"/>
      <x:c r="G108" s="59"/>
      <x:c r="H108" s="59"/>
      <x:c r="I108" s="59"/>
      <x:c r="J108" s="59"/>
      <x:c r="K108" s="59"/>
      <x:c r="L108" s="59"/>
      <x:c r="M108" s="59"/>
      <x:c r="N108" s="59"/>
      <x:c r="O108" s="59"/>
      <x:c r="P108" s="59"/>
      <x:c r="Q108" s="59"/>
      <x:c r="R108" s="59"/>
      <x:c r="S108" s="59"/>
      <x:c r="T108" s="59"/>
      <x:c r="U108" s="59"/>
      <x:c r="V108" s="59"/>
      <x:c r="W108" s="59"/>
      <x:c r="X108" s="59"/>
      <x:c r="Y108" s="59"/>
      <x:c r="Z108" s="59"/>
      <x:c r="AA108" s="59"/>
      <x:c r="AB108" s="59"/>
      <x:c r="AC108" s="59"/>
      <x:c r="AD108" s="59"/>
      <x:c r="AE108" s="59"/>
      <x:c r="AF108" s="59"/>
      <x:c r="AG108" s="59"/>
      <x:c r="AH108" s="59"/>
      <x:c r="AI108" s="59"/>
      <x:c r="AJ108" s="59"/>
      <x:c r="AK108" s="59"/>
      <x:c r="AL108" s="59"/>
      <x:c r="AM108" s="59"/>
      <x:c r="AN108" s="59"/>
    </x:row>
    <x:row r="109">
      <x:c r="A109" s="59"/>
      <x:c r="B109" s="59"/>
      <x:c r="C109" s="59"/>
      <x:c r="D109" s="59"/>
      <x:c r="E109" s="59"/>
      <x:c r="F109" s="59"/>
      <x:c r="G109" s="59"/>
      <x:c r="H109" s="59"/>
      <x:c r="I109" s="59"/>
      <x:c r="J109" s="59"/>
      <x:c r="K109" s="59"/>
      <x:c r="L109" s="59"/>
      <x:c r="M109" s="59"/>
      <x:c r="N109" s="59"/>
      <x:c r="O109" s="59"/>
      <x:c r="P109" s="59"/>
      <x:c r="Q109" s="59"/>
      <x:c r="R109" s="59"/>
      <x:c r="S109" s="59"/>
      <x:c r="T109" s="59"/>
      <x:c r="U109" s="59"/>
      <x:c r="V109" s="59"/>
      <x:c r="W109" s="59"/>
      <x:c r="X109" s="59"/>
      <x:c r="Y109" s="59"/>
      <x:c r="Z109" s="59"/>
      <x:c r="AA109" s="59"/>
      <x:c r="AB109" s="59"/>
      <x:c r="AC109" s="59"/>
      <x:c r="AD109" s="59"/>
      <x:c r="AE109" s="59"/>
      <x:c r="AF109" s="59"/>
      <x:c r="AG109" s="59"/>
      <x:c r="AH109" s="59"/>
      <x:c r="AI109" s="59"/>
      <x:c r="AJ109" s="59"/>
      <x:c r="AK109" s="59"/>
      <x:c r="AL109" s="59"/>
      <x:c r="AM109" s="59"/>
      <x:c r="AN109" s="59"/>
    </x:row>
    <x:row r="110">
      <x:c r="A110" s="59"/>
      <x:c r="B110" s="59"/>
      <x:c r="C110" s="59"/>
      <x:c r="D110" s="59"/>
      <x:c r="E110" s="59"/>
      <x:c r="F110" s="59"/>
      <x:c r="G110" s="59"/>
      <x:c r="H110" s="59"/>
      <x:c r="I110" s="59"/>
      <x:c r="J110" s="59"/>
      <x:c r="K110" s="59"/>
      <x:c r="L110" s="59"/>
      <x:c r="M110" s="59"/>
      <x:c r="N110" s="59"/>
      <x:c r="O110" s="59"/>
      <x:c r="P110" s="59"/>
      <x:c r="Q110" s="59"/>
      <x:c r="R110" s="59"/>
      <x:c r="S110" s="59"/>
      <x:c r="T110" s="59"/>
      <x:c r="U110" s="59"/>
      <x:c r="V110" s="59"/>
      <x:c r="W110" s="59"/>
      <x:c r="X110" s="59"/>
      <x:c r="Y110" s="59"/>
      <x:c r="Z110" s="59"/>
      <x:c r="AA110" s="59"/>
      <x:c r="AB110" s="59"/>
      <x:c r="AC110" s="59"/>
      <x:c r="AD110" s="59"/>
      <x:c r="AE110" s="59"/>
      <x:c r="AF110" s="59"/>
      <x:c r="AG110" s="59"/>
      <x:c r="AH110" s="59"/>
      <x:c r="AI110" s="59"/>
      <x:c r="AJ110" s="59"/>
      <x:c r="AK110" s="59"/>
      <x:c r="AL110" s="59"/>
      <x:c r="AM110" s="59"/>
      <x:c r="AN110" s="59"/>
    </x:row>
    <x:row r="111">
      <x:c r="A111" s="59"/>
      <x:c r="B111" s="59"/>
      <x:c r="C111" s="59"/>
      <x:c r="D111" s="59"/>
      <x:c r="E111" s="59"/>
      <x:c r="F111" s="59"/>
      <x:c r="G111" s="59"/>
      <x:c r="H111" s="59"/>
      <x:c r="I111" s="59"/>
      <x:c r="J111" s="59"/>
      <x:c r="K111" s="59"/>
      <x:c r="L111" s="59"/>
      <x:c r="M111" s="59"/>
      <x:c r="N111" s="59"/>
      <x:c r="O111" s="59"/>
      <x:c r="P111" s="59"/>
      <x:c r="Q111" s="59"/>
      <x:c r="R111" s="59"/>
      <x:c r="S111" s="59"/>
      <x:c r="T111" s="59"/>
      <x:c r="U111" s="59"/>
      <x:c r="V111" s="59"/>
      <x:c r="W111" s="59"/>
      <x:c r="X111" s="59"/>
      <x:c r="Y111" s="59"/>
      <x:c r="Z111" s="59"/>
      <x:c r="AA111" s="59"/>
      <x:c r="AB111" s="59"/>
      <x:c r="AC111" s="59"/>
      <x:c r="AD111" s="59"/>
      <x:c r="AE111" s="59"/>
      <x:c r="AF111" s="59"/>
      <x:c r="AG111" s="59"/>
      <x:c r="AH111" s="59"/>
      <x:c r="AI111" s="59"/>
      <x:c r="AJ111" s="59"/>
      <x:c r="AK111" s="59"/>
      <x:c r="AL111" s="59"/>
      <x:c r="AM111" s="59"/>
      <x:c r="AN111" s="59"/>
    </x:row>
    <x:row r="112">
      <x:c r="A112" s="59"/>
      <x:c r="B112" s="59"/>
      <x:c r="C112" s="59"/>
      <x:c r="D112" s="59"/>
      <x:c r="E112" s="59"/>
      <x:c r="F112" s="59"/>
      <x:c r="G112" s="59"/>
      <x:c r="H112" s="59"/>
      <x:c r="I112" s="59"/>
      <x:c r="J112" s="59"/>
      <x:c r="K112" s="59"/>
      <x:c r="L112" s="59"/>
      <x:c r="M112" s="59"/>
      <x:c r="N112" s="59"/>
      <x:c r="O112" s="59"/>
      <x:c r="P112" s="59"/>
      <x:c r="Q112" s="59"/>
      <x:c r="R112" s="59"/>
      <x:c r="S112" s="59"/>
      <x:c r="T112" s="59"/>
      <x:c r="U112" s="59"/>
      <x:c r="V112" s="59"/>
      <x:c r="W112" s="59"/>
      <x:c r="X112" s="59"/>
      <x:c r="Y112" s="59"/>
      <x:c r="Z112" s="59"/>
      <x:c r="AA112" s="59"/>
      <x:c r="AB112" s="59"/>
      <x:c r="AC112" s="59"/>
      <x:c r="AD112" s="59"/>
      <x:c r="AE112" s="59"/>
      <x:c r="AF112" s="59"/>
      <x:c r="AG112" s="59"/>
      <x:c r="AH112" s="59"/>
      <x:c r="AI112" s="59"/>
      <x:c r="AJ112" s="59"/>
      <x:c r="AK112" s="59"/>
      <x:c r="AL112" s="59"/>
      <x:c r="AM112" s="59"/>
      <x:c r="AN112" s="59"/>
    </x:row>
    <x:row r="113">
      <x:c r="A113" s="59"/>
      <x:c r="B113" s="59"/>
      <x:c r="C113" s="59"/>
      <x:c r="D113" s="59"/>
      <x:c r="E113" s="59"/>
      <x:c r="F113" s="59"/>
      <x:c r="G113" s="59"/>
      <x:c r="H113" s="59"/>
      <x:c r="I113" s="59"/>
      <x:c r="J113" s="59"/>
      <x:c r="K113" s="59"/>
      <x:c r="L113" s="59"/>
      <x:c r="M113" s="59"/>
      <x:c r="N113" s="59"/>
      <x:c r="O113" s="59"/>
      <x:c r="P113" s="59"/>
      <x:c r="Q113" s="59"/>
      <x:c r="R113" s="59"/>
      <x:c r="S113" s="59"/>
      <x:c r="T113" s="59"/>
      <x:c r="U113" s="59"/>
      <x:c r="V113" s="59"/>
      <x:c r="W113" s="59"/>
      <x:c r="X113" s="59"/>
      <x:c r="Y113" s="59"/>
      <x:c r="Z113" s="59"/>
      <x:c r="AA113" s="59"/>
      <x:c r="AB113" s="59"/>
      <x:c r="AC113" s="59"/>
      <x:c r="AD113" s="59"/>
      <x:c r="AE113" s="59"/>
      <x:c r="AF113" s="59"/>
      <x:c r="AG113" s="59"/>
      <x:c r="AH113" s="59"/>
      <x:c r="AI113" s="59"/>
      <x:c r="AJ113" s="59"/>
      <x:c r="AK113" s="59"/>
      <x:c r="AL113" s="59"/>
      <x:c r="AM113" s="59"/>
      <x:c r="AN113" s="59"/>
    </x:row>
    <x:row r="114">
      <x:c r="A114" s="59"/>
      <x:c r="B114" s="59"/>
      <x:c r="C114" s="59"/>
      <x:c r="D114" s="59"/>
      <x:c r="E114" s="59"/>
      <x:c r="F114" s="59"/>
      <x:c r="G114" s="59"/>
      <x:c r="H114" s="59"/>
      <x:c r="I114" s="59"/>
      <x:c r="J114" s="59"/>
      <x:c r="K114" s="59"/>
      <x:c r="L114" s="59"/>
      <x:c r="M114" s="59"/>
      <x:c r="N114" s="59"/>
      <x:c r="O114" s="59"/>
      <x:c r="P114" s="59"/>
      <x:c r="Q114" s="59"/>
      <x:c r="R114" s="59"/>
      <x:c r="S114" s="59"/>
      <x:c r="T114" s="59"/>
      <x:c r="U114" s="59"/>
      <x:c r="V114" s="59"/>
      <x:c r="W114" s="59"/>
      <x:c r="X114" s="59"/>
      <x:c r="Y114" s="59"/>
      <x:c r="Z114" s="59"/>
      <x:c r="AA114" s="59"/>
      <x:c r="AB114" s="59"/>
      <x:c r="AC114" s="59"/>
      <x:c r="AD114" s="59"/>
      <x:c r="AE114" s="59"/>
      <x:c r="AF114" s="59"/>
      <x:c r="AG114" s="59"/>
      <x:c r="AH114" s="59"/>
      <x:c r="AI114" s="59"/>
      <x:c r="AJ114" s="59"/>
      <x:c r="AK114" s="59"/>
      <x:c r="AL114" s="59"/>
      <x:c r="AM114" s="59"/>
      <x:c r="AN114" s="59"/>
    </x:row>
    <x:row r="115">
      <x:c r="A115" s="59"/>
      <x:c r="B115" s="59"/>
      <x:c r="C115" s="59"/>
      <x:c r="D115" s="59"/>
      <x:c r="E115" s="59"/>
      <x:c r="F115" s="59"/>
      <x:c r="G115" s="59"/>
      <x:c r="H115" s="59"/>
      <x:c r="I115" s="59"/>
      <x:c r="J115" s="59"/>
      <x:c r="K115" s="59"/>
      <x:c r="L115" s="59"/>
      <x:c r="M115" s="59"/>
      <x:c r="N115" s="59"/>
      <x:c r="O115" s="59"/>
      <x:c r="P115" s="59"/>
      <x:c r="Q115" s="59"/>
      <x:c r="R115" s="59"/>
      <x:c r="S115" s="59"/>
      <x:c r="T115" s="59"/>
      <x:c r="U115" s="59"/>
      <x:c r="V115" s="59"/>
      <x:c r="W115" s="59"/>
      <x:c r="X115" s="59"/>
      <x:c r="Y115" s="59"/>
      <x:c r="Z115" s="59"/>
      <x:c r="AA115" s="59"/>
      <x:c r="AB115" s="59"/>
      <x:c r="AC115" s="59"/>
      <x:c r="AD115" s="59"/>
      <x:c r="AE115" s="59"/>
      <x:c r="AF115" s="59"/>
      <x:c r="AG115" s="59"/>
      <x:c r="AH115" s="59"/>
      <x:c r="AI115" s="59"/>
      <x:c r="AJ115" s="59"/>
      <x:c r="AK115" s="59"/>
      <x:c r="AL115" s="59"/>
      <x:c r="AM115" s="59"/>
      <x:c r="AN115" s="59"/>
    </x:row>
    <x:row r="116">
      <x:c r="A116" s="59"/>
      <x:c r="B116" s="59"/>
      <x:c r="C116" s="59"/>
      <x:c r="D116" s="59"/>
      <x:c r="E116" s="59"/>
      <x:c r="F116" s="59"/>
      <x:c r="G116" s="59"/>
      <x:c r="H116" s="59"/>
      <x:c r="I116" s="59"/>
      <x:c r="J116" s="59"/>
      <x:c r="K116" s="59"/>
      <x:c r="L116" s="59"/>
      <x:c r="M116" s="59"/>
      <x:c r="N116" s="59"/>
      <x:c r="O116" s="59"/>
      <x:c r="P116" s="59"/>
      <x:c r="Q116" s="59"/>
      <x:c r="R116" s="59"/>
      <x:c r="S116" s="59"/>
      <x:c r="T116" s="59"/>
      <x:c r="U116" s="59"/>
      <x:c r="V116" s="59"/>
      <x:c r="W116" s="59"/>
      <x:c r="X116" s="59"/>
      <x:c r="Y116" s="59"/>
      <x:c r="Z116" s="59"/>
      <x:c r="AA116" s="59"/>
      <x:c r="AB116" s="59"/>
      <x:c r="AC116" s="59"/>
      <x:c r="AD116" s="59"/>
      <x:c r="AE116" s="59"/>
      <x:c r="AF116" s="59"/>
      <x:c r="AG116" s="59"/>
      <x:c r="AH116" s="59"/>
      <x:c r="AI116" s="59"/>
      <x:c r="AJ116" s="59"/>
      <x:c r="AK116" s="59"/>
      <x:c r="AL116" s="59"/>
      <x:c r="AM116" s="59"/>
      <x:c r="AN116" s="59"/>
    </x:row>
    <x:row r="117">
      <x:c r="A117" s="59"/>
      <x:c r="B117" s="59"/>
      <x:c r="C117" s="59"/>
      <x:c r="D117" s="59"/>
      <x:c r="E117" s="59"/>
      <x:c r="F117" s="59"/>
      <x:c r="G117" s="59"/>
      <x:c r="H117" s="59"/>
      <x:c r="I117" s="59"/>
      <x:c r="J117" s="59"/>
      <x:c r="K117" s="59"/>
      <x:c r="L117" s="59"/>
      <x:c r="M117" s="59"/>
      <x:c r="N117" s="59"/>
      <x:c r="O117" s="59"/>
      <x:c r="P117" s="59"/>
      <x:c r="Q117" s="59"/>
      <x:c r="R117" s="59"/>
      <x:c r="S117" s="59"/>
      <x:c r="T117" s="59"/>
      <x:c r="U117" s="59"/>
      <x:c r="V117" s="59"/>
      <x:c r="W117" s="59"/>
      <x:c r="X117" s="59"/>
      <x:c r="Y117" s="59"/>
      <x:c r="Z117" s="59"/>
      <x:c r="AA117" s="59"/>
      <x:c r="AB117" s="59"/>
      <x:c r="AC117" s="59"/>
      <x:c r="AD117" s="59"/>
      <x:c r="AE117" s="59"/>
      <x:c r="AF117" s="59"/>
      <x:c r="AG117" s="59"/>
      <x:c r="AH117" s="59"/>
      <x:c r="AI117" s="59"/>
      <x:c r="AJ117" s="59"/>
      <x:c r="AK117" s="59"/>
      <x:c r="AL117" s="59"/>
      <x:c r="AM117" s="59"/>
      <x:c r="AN117" s="59"/>
    </x:row>
    <x:row r="118">
      <x:c r="A118" s="59"/>
      <x:c r="B118" s="59"/>
      <x:c r="C118" s="59"/>
      <x:c r="D118" s="59"/>
      <x:c r="E118" s="59"/>
      <x:c r="F118" s="59"/>
      <x:c r="G118" s="59"/>
      <x:c r="H118" s="59"/>
      <x:c r="I118" s="59"/>
      <x:c r="J118" s="59"/>
      <x:c r="K118" s="59"/>
      <x:c r="L118" s="59"/>
      <x:c r="M118" s="59"/>
      <x:c r="N118" s="59"/>
      <x:c r="O118" s="59"/>
      <x:c r="P118" s="59"/>
      <x:c r="Q118" s="59"/>
      <x:c r="R118" s="59"/>
      <x:c r="S118" s="59"/>
      <x:c r="T118" s="59"/>
      <x:c r="U118" s="59"/>
      <x:c r="V118" s="59"/>
      <x:c r="W118" s="59"/>
      <x:c r="X118" s="59"/>
      <x:c r="Y118" s="59"/>
      <x:c r="Z118" s="59"/>
      <x:c r="AA118" s="59"/>
      <x:c r="AB118" s="59"/>
      <x:c r="AC118" s="59"/>
      <x:c r="AD118" s="59"/>
      <x:c r="AE118" s="59"/>
      <x:c r="AF118" s="59"/>
      <x:c r="AG118" s="59"/>
      <x:c r="AH118" s="59"/>
      <x:c r="AI118" s="59"/>
      <x:c r="AJ118" s="59"/>
      <x:c r="AK118" s="59"/>
      <x:c r="AL118" s="59"/>
      <x:c r="AM118" s="59"/>
      <x:c r="AN118" s="59"/>
    </x:row>
    <x:row r="119">
      <x:c r="A119" s="59"/>
      <x:c r="B119" s="59"/>
      <x:c r="C119" s="59"/>
      <x:c r="D119" s="59"/>
      <x:c r="E119" s="59"/>
      <x:c r="F119" s="59"/>
      <x:c r="G119" s="59"/>
      <x:c r="H119" s="59"/>
      <x:c r="I119" s="59"/>
      <x:c r="J119" s="59"/>
      <x:c r="K119" s="59"/>
      <x:c r="L119" s="59"/>
      <x:c r="M119" s="59"/>
      <x:c r="N119" s="59"/>
      <x:c r="O119" s="59"/>
      <x:c r="P119" s="59"/>
      <x:c r="Q119" s="59"/>
      <x:c r="R119" s="59"/>
      <x:c r="S119" s="59"/>
      <x:c r="T119" s="59"/>
      <x:c r="U119" s="59"/>
      <x:c r="V119" s="59"/>
      <x:c r="W119" s="59"/>
      <x:c r="X119" s="59"/>
      <x:c r="Y119" s="59"/>
      <x:c r="Z119" s="59"/>
      <x:c r="AA119" s="59"/>
      <x:c r="AB119" s="59"/>
      <x:c r="AC119" s="59"/>
      <x:c r="AD119" s="59"/>
      <x:c r="AE119" s="59"/>
      <x:c r="AF119" s="59"/>
      <x:c r="AG119" s="59"/>
      <x:c r="AH119" s="59"/>
      <x:c r="AI119" s="59"/>
      <x:c r="AJ119" s="59"/>
      <x:c r="AK119" s="59"/>
      <x:c r="AL119" s="59"/>
      <x:c r="AM119" s="59"/>
      <x:c r="AN119" s="59"/>
    </x:row>
    <x:row r="120">
      <x:c r="A120" s="59"/>
      <x:c r="B120" s="59"/>
      <x:c r="C120" s="59"/>
      <x:c r="D120" s="59"/>
      <x:c r="E120" s="59"/>
      <x:c r="F120" s="59"/>
      <x:c r="G120" s="59"/>
      <x:c r="H120" s="59"/>
      <x:c r="I120" s="59"/>
      <x:c r="J120" s="59"/>
      <x:c r="K120" s="59"/>
      <x:c r="L120" s="59"/>
      <x:c r="M120" s="59"/>
      <x:c r="N120" s="59"/>
      <x:c r="O120" s="59"/>
      <x:c r="P120" s="59"/>
      <x:c r="Q120" s="59"/>
      <x:c r="R120" s="59"/>
      <x:c r="S120" s="59"/>
      <x:c r="T120" s="59"/>
      <x:c r="U120" s="59"/>
      <x:c r="V120" s="59"/>
      <x:c r="W120" s="59"/>
      <x:c r="X120" s="59"/>
      <x:c r="Y120" s="59"/>
      <x:c r="Z120" s="59"/>
      <x:c r="AA120" s="59"/>
      <x:c r="AB120" s="59"/>
      <x:c r="AC120" s="59"/>
      <x:c r="AD120" s="59"/>
      <x:c r="AE120" s="59"/>
      <x:c r="AF120" s="59"/>
      <x:c r="AG120" s="59"/>
      <x:c r="AH120" s="59"/>
      <x:c r="AI120" s="59"/>
      <x:c r="AJ120" s="59"/>
      <x:c r="AK120" s="59"/>
      <x:c r="AL120" s="59"/>
      <x:c r="AM120" s="59"/>
      <x:c r="AN120" s="59"/>
    </x:row>
    <x:row r="121">
      <x:c r="A121" s="59"/>
      <x:c r="B121" s="59"/>
      <x:c r="C121" s="59"/>
      <x:c r="D121" s="59"/>
      <x:c r="E121" s="59"/>
      <x:c r="F121" s="59"/>
      <x:c r="G121" s="59"/>
      <x:c r="H121" s="59"/>
      <x:c r="I121" s="59"/>
      <x:c r="J121" s="59"/>
      <x:c r="K121" s="59"/>
      <x:c r="L121" s="59"/>
      <x:c r="M121" s="59"/>
      <x:c r="N121" s="59"/>
      <x:c r="O121" s="59"/>
      <x:c r="P121" s="59"/>
      <x:c r="Q121" s="59"/>
      <x:c r="R121" s="59"/>
      <x:c r="S121" s="59"/>
      <x:c r="T121" s="59"/>
      <x:c r="U121" s="59"/>
      <x:c r="V121" s="59"/>
      <x:c r="W121" s="59"/>
      <x:c r="X121" s="59"/>
      <x:c r="Y121" s="59"/>
      <x:c r="Z121" s="59"/>
      <x:c r="AA121" s="59"/>
      <x:c r="AB121" s="59"/>
      <x:c r="AC121" s="59"/>
      <x:c r="AD121" s="59"/>
      <x:c r="AE121" s="59"/>
      <x:c r="AF121" s="59"/>
      <x:c r="AG121" s="59"/>
      <x:c r="AH121" s="59"/>
      <x:c r="AI121" s="59"/>
      <x:c r="AJ121" s="59"/>
      <x:c r="AK121" s="59"/>
      <x:c r="AL121" s="59"/>
      <x:c r="AM121" s="59"/>
      <x:c r="AN121" s="59"/>
    </x:row>
    <x:row r="122">
      <x:c r="A122" s="59"/>
      <x:c r="B122" s="59"/>
      <x:c r="C122" s="59"/>
      <x:c r="D122" s="59"/>
      <x:c r="E122" s="59"/>
      <x:c r="F122" s="59"/>
      <x:c r="G122" s="59"/>
      <x:c r="H122" s="59"/>
      <x:c r="I122" s="59"/>
      <x:c r="J122" s="59"/>
      <x:c r="K122" s="59"/>
      <x:c r="L122" s="59"/>
      <x:c r="M122" s="59"/>
      <x:c r="N122" s="59"/>
      <x:c r="O122" s="59"/>
      <x:c r="P122" s="59"/>
      <x:c r="Q122" s="59"/>
      <x:c r="R122" s="59"/>
      <x:c r="S122" s="59"/>
      <x:c r="T122" s="59"/>
      <x:c r="U122" s="59"/>
      <x:c r="V122" s="59"/>
      <x:c r="W122" s="59"/>
      <x:c r="X122" s="59"/>
      <x:c r="Y122" s="59"/>
      <x:c r="Z122" s="59"/>
      <x:c r="AA122" s="59"/>
      <x:c r="AB122" s="59"/>
      <x:c r="AC122" s="59"/>
      <x:c r="AD122" s="59"/>
      <x:c r="AE122" s="59"/>
      <x:c r="AF122" s="59"/>
      <x:c r="AG122" s="59"/>
      <x:c r="AH122" s="59"/>
      <x:c r="AI122" s="59"/>
      <x:c r="AJ122" s="59"/>
      <x:c r="AK122" s="59"/>
      <x:c r="AL122" s="59"/>
      <x:c r="AM122" s="59"/>
      <x:c r="AN122" s="59"/>
    </x:row>
    <x:row r="123">
      <x:c r="A123" s="59"/>
      <x:c r="B123" s="59"/>
      <x:c r="C123" s="59"/>
      <x:c r="D123" s="59"/>
      <x:c r="E123" s="59"/>
      <x:c r="F123" s="59"/>
      <x:c r="G123" s="59"/>
      <x:c r="H123" s="59"/>
      <x:c r="I123" s="59"/>
      <x:c r="J123" s="59"/>
      <x:c r="K123" s="59"/>
      <x:c r="L123" s="59"/>
      <x:c r="M123" s="59"/>
      <x:c r="N123" s="59"/>
      <x:c r="O123" s="59"/>
      <x:c r="P123" s="59"/>
      <x:c r="Q123" s="59"/>
      <x:c r="R123" s="59"/>
      <x:c r="S123" s="59"/>
      <x:c r="T123" s="59"/>
      <x:c r="U123" s="59"/>
      <x:c r="V123" s="59"/>
      <x:c r="W123" s="59"/>
      <x:c r="X123" s="59"/>
      <x:c r="Y123" s="59"/>
      <x:c r="Z123" s="59"/>
      <x:c r="AA123" s="59"/>
      <x:c r="AB123" s="59"/>
      <x:c r="AC123" s="59"/>
      <x:c r="AD123" s="59"/>
      <x:c r="AE123" s="59"/>
      <x:c r="AF123" s="59"/>
      <x:c r="AG123" s="59"/>
      <x:c r="AH123" s="59"/>
      <x:c r="AI123" s="59"/>
      <x:c r="AJ123" s="59"/>
      <x:c r="AK123" s="59"/>
      <x:c r="AL123" s="59"/>
      <x:c r="AM123" s="59"/>
      <x:c r="AN123" s="59"/>
    </x:row>
    <x:row r="124">
      <x:c r="A124" s="59"/>
      <x:c r="B124" s="59"/>
      <x:c r="C124" s="59"/>
      <x:c r="D124" s="59"/>
      <x:c r="E124" s="59"/>
      <x:c r="F124" s="59"/>
      <x:c r="G124" s="59"/>
      <x:c r="H124" s="59"/>
      <x:c r="I124" s="59"/>
      <x:c r="J124" s="59"/>
      <x:c r="K124" s="59"/>
      <x:c r="L124" s="59"/>
      <x:c r="M124" s="59"/>
      <x:c r="N124" s="59"/>
      <x:c r="O124" s="59"/>
      <x:c r="P124" s="59"/>
      <x:c r="Q124" s="59"/>
      <x:c r="R124" s="59"/>
      <x:c r="S124" s="59"/>
      <x:c r="T124" s="59"/>
      <x:c r="U124" s="59"/>
      <x:c r="V124" s="59"/>
      <x:c r="W124" s="59"/>
      <x:c r="X124" s="59"/>
      <x:c r="Y124" s="59"/>
      <x:c r="Z124" s="59"/>
      <x:c r="AA124" s="59"/>
      <x:c r="AB124" s="59"/>
      <x:c r="AC124" s="59"/>
      <x:c r="AD124" s="59"/>
      <x:c r="AE124" s="59"/>
      <x:c r="AF124" s="59"/>
      <x:c r="AG124" s="59"/>
      <x:c r="AH124" s="59"/>
      <x:c r="AI124" s="59"/>
      <x:c r="AJ124" s="59"/>
      <x:c r="AK124" s="59"/>
      <x:c r="AL124" s="59"/>
      <x:c r="AM124" s="59"/>
      <x:c r="AN124" s="59"/>
    </x:row>
    <x:row r="125">
      <x:c r="A125" s="59"/>
      <x:c r="B125" s="59"/>
      <x:c r="C125" s="59"/>
      <x:c r="D125" s="59"/>
      <x:c r="E125" s="59"/>
      <x:c r="F125" s="59"/>
      <x:c r="G125" s="59"/>
      <x:c r="H125" s="59"/>
      <x:c r="I125" s="59"/>
      <x:c r="J125" s="59"/>
      <x:c r="K125" s="59"/>
      <x:c r="L125" s="59"/>
      <x:c r="M125" s="59"/>
      <x:c r="N125" s="59"/>
      <x:c r="O125" s="59"/>
      <x:c r="P125" s="59"/>
      <x:c r="Q125" s="59"/>
      <x:c r="R125" s="59"/>
      <x:c r="S125" s="59"/>
      <x:c r="T125" s="59"/>
      <x:c r="U125" s="59"/>
      <x:c r="V125" s="59"/>
      <x:c r="W125" s="59"/>
      <x:c r="X125" s="59"/>
      <x:c r="Y125" s="59"/>
      <x:c r="Z125" s="59"/>
      <x:c r="AA125" s="59"/>
      <x:c r="AB125" s="59"/>
      <x:c r="AC125" s="59"/>
      <x:c r="AD125" s="59"/>
      <x:c r="AE125" s="59"/>
      <x:c r="AF125" s="59"/>
      <x:c r="AG125" s="59"/>
      <x:c r="AH125" s="59"/>
      <x:c r="AI125" s="59"/>
      <x:c r="AJ125" s="59"/>
      <x:c r="AK125" s="59"/>
      <x:c r="AL125" s="59"/>
      <x:c r="AM125" s="59"/>
      <x:c r="AN125" s="59"/>
    </x:row>
    <x:row r="126">
      <x:c r="A126" s="59"/>
      <x:c r="B126" s="59"/>
      <x:c r="C126" s="59"/>
      <x:c r="D126" s="59"/>
      <x:c r="E126" s="59"/>
      <x:c r="F126" s="59"/>
      <x:c r="G126" s="59"/>
      <x:c r="H126" s="59"/>
      <x:c r="I126" s="59"/>
      <x:c r="J126" s="59"/>
      <x:c r="K126" s="59"/>
      <x:c r="L126" s="59"/>
      <x:c r="M126" s="59"/>
      <x:c r="N126" s="59"/>
      <x:c r="O126" s="59"/>
      <x:c r="P126" s="59"/>
      <x:c r="Q126" s="59"/>
      <x:c r="R126" s="59"/>
      <x:c r="S126" s="59"/>
      <x:c r="T126" s="59"/>
      <x:c r="U126" s="59"/>
      <x:c r="V126" s="59"/>
      <x:c r="W126" s="59"/>
      <x:c r="X126" s="59"/>
      <x:c r="Y126" s="59"/>
      <x:c r="Z126" s="59"/>
      <x:c r="AA126" s="59"/>
      <x:c r="AB126" s="59"/>
      <x:c r="AC126" s="59"/>
      <x:c r="AD126" s="59"/>
      <x:c r="AE126" s="59"/>
      <x:c r="AF126" s="59"/>
      <x:c r="AG126" s="59"/>
      <x:c r="AH126" s="59"/>
      <x:c r="AI126" s="59"/>
      <x:c r="AJ126" s="59"/>
      <x:c r="AK126" s="59"/>
      <x:c r="AL126" s="59"/>
      <x:c r="AM126" s="59"/>
      <x:c r="AN126" s="59"/>
    </x:row>
    <x:row r="127">
      <x:c r="A127" s="59"/>
      <x:c r="B127" s="59"/>
      <x:c r="C127" s="59"/>
      <x:c r="D127" s="59"/>
      <x:c r="E127" s="59"/>
      <x:c r="F127" s="59"/>
      <x:c r="G127" s="59"/>
      <x:c r="H127" s="59"/>
      <x:c r="I127" s="59"/>
      <x:c r="J127" s="59"/>
      <x:c r="K127" s="59"/>
      <x:c r="L127" s="59"/>
      <x:c r="M127" s="59"/>
      <x:c r="N127" s="59"/>
      <x:c r="O127" s="59"/>
      <x:c r="P127" s="59"/>
      <x:c r="Q127" s="59"/>
      <x:c r="R127" s="59"/>
      <x:c r="S127" s="59"/>
      <x:c r="T127" s="59"/>
      <x:c r="U127" s="59"/>
      <x:c r="V127" s="59"/>
      <x:c r="W127" s="59"/>
      <x:c r="X127" s="59"/>
      <x:c r="Y127" s="59"/>
      <x:c r="Z127" s="59"/>
      <x:c r="AA127" s="59"/>
      <x:c r="AB127" s="59"/>
      <x:c r="AC127" s="59"/>
      <x:c r="AD127" s="59"/>
      <x:c r="AE127" s="59"/>
      <x:c r="AF127" s="59"/>
      <x:c r="AG127" s="59"/>
      <x:c r="AH127" s="59"/>
      <x:c r="AI127" s="59"/>
      <x:c r="AJ127" s="59"/>
      <x:c r="AK127" s="59"/>
      <x:c r="AL127" s="59"/>
      <x:c r="AM127" s="59"/>
      <x:c r="AN127" s="59"/>
    </x:row>
    <x:row r="128">
      <x:c r="A128" s="59"/>
      <x:c r="B128" s="59"/>
      <x:c r="C128" s="59"/>
      <x:c r="D128" s="59"/>
      <x:c r="E128" s="59"/>
      <x:c r="F128" s="59"/>
      <x:c r="G128" s="59"/>
      <x:c r="H128" s="59"/>
      <x:c r="I128" s="59"/>
      <x:c r="J128" s="59"/>
      <x:c r="K128" s="59"/>
      <x:c r="L128" s="59"/>
      <x:c r="M128" s="59"/>
      <x:c r="N128" s="59"/>
      <x:c r="O128" s="59"/>
      <x:c r="P128" s="59"/>
      <x:c r="Q128" s="59"/>
      <x:c r="R128" s="59"/>
      <x:c r="S128" s="59"/>
      <x:c r="T128" s="59"/>
      <x:c r="U128" s="59"/>
      <x:c r="V128" s="59"/>
      <x:c r="W128" s="59"/>
      <x:c r="X128" s="59"/>
      <x:c r="Y128" s="59"/>
      <x:c r="Z128" s="59"/>
      <x:c r="AA128" s="59"/>
      <x:c r="AB128" s="59"/>
      <x:c r="AC128" s="59"/>
      <x:c r="AD128" s="59"/>
      <x:c r="AE128" s="59"/>
      <x:c r="AF128" s="59"/>
      <x:c r="AG128" s="59"/>
      <x:c r="AH128" s="59"/>
      <x:c r="AI128" s="59"/>
      <x:c r="AJ128" s="59"/>
      <x:c r="AK128" s="59"/>
      <x:c r="AL128" s="59"/>
      <x:c r="AM128" s="59"/>
      <x:c r="AN128" s="59"/>
    </x:row>
    <x:row r="129">
      <x:c r="A129" s="59"/>
      <x:c r="B129" s="59"/>
      <x:c r="C129" s="59"/>
      <x:c r="D129" s="59"/>
      <x:c r="E129" s="59"/>
      <x:c r="F129" s="59"/>
      <x:c r="G129" s="59"/>
      <x:c r="H129" s="59"/>
      <x:c r="I129" s="59"/>
      <x:c r="J129" s="59"/>
      <x:c r="K129" s="59"/>
      <x:c r="L129" s="59"/>
      <x:c r="M129" s="59"/>
      <x:c r="N129" s="59"/>
      <x:c r="O129" s="59"/>
      <x:c r="P129" s="59"/>
      <x:c r="Q129" s="59"/>
      <x:c r="R129" s="59"/>
      <x:c r="S129" s="59"/>
      <x:c r="T129" s="59"/>
      <x:c r="U129" s="59"/>
      <x:c r="V129" s="59"/>
      <x:c r="W129" s="59"/>
      <x:c r="X129" s="59"/>
      <x:c r="Y129" s="59"/>
      <x:c r="Z129" s="59"/>
      <x:c r="AA129" s="59"/>
      <x:c r="AB129" s="59"/>
      <x:c r="AC129" s="59"/>
      <x:c r="AD129" s="59"/>
      <x:c r="AE129" s="59"/>
      <x:c r="AF129" s="59"/>
      <x:c r="AG129" s="59"/>
      <x:c r="AH129" s="59"/>
      <x:c r="AI129" s="59"/>
      <x:c r="AJ129" s="59"/>
      <x:c r="AK129" s="59"/>
      <x:c r="AL129" s="59"/>
      <x:c r="AM129" s="59"/>
      <x:c r="AN129" s="59"/>
    </x:row>
    <x:row r="130">
      <x:c r="A130" s="59"/>
      <x:c r="B130" s="59"/>
      <x:c r="C130" s="59"/>
      <x:c r="D130" s="59"/>
      <x:c r="E130" s="59"/>
      <x:c r="F130" s="59"/>
      <x:c r="G130" s="59"/>
      <x:c r="H130" s="59"/>
      <x:c r="I130" s="59"/>
      <x:c r="J130" s="59"/>
      <x:c r="K130" s="59"/>
      <x:c r="L130" s="59"/>
      <x:c r="M130" s="59"/>
      <x:c r="N130" s="59"/>
      <x:c r="O130" s="59"/>
      <x:c r="P130" s="59"/>
      <x:c r="Q130" s="59"/>
      <x:c r="R130" s="59"/>
      <x:c r="S130" s="59"/>
      <x:c r="T130" s="59"/>
      <x:c r="U130" s="59"/>
      <x:c r="V130" s="59"/>
      <x:c r="W130" s="59"/>
      <x:c r="X130" s="59"/>
      <x:c r="Y130" s="59"/>
      <x:c r="Z130" s="59"/>
      <x:c r="AA130" s="59"/>
      <x:c r="AB130" s="59"/>
      <x:c r="AC130" s="59"/>
      <x:c r="AD130" s="59"/>
      <x:c r="AE130" s="59"/>
      <x:c r="AF130" s="59"/>
      <x:c r="AG130" s="59"/>
      <x:c r="AH130" s="59"/>
      <x:c r="AI130" s="59"/>
      <x:c r="AJ130" s="59"/>
      <x:c r="AK130" s="59"/>
      <x:c r="AL130" s="59"/>
      <x:c r="AM130" s="59"/>
      <x:c r="AN130" s="59"/>
    </x:row>
    <x:row r="131">
      <x:c r="A131" s="59"/>
      <x:c r="B131" s="59"/>
      <x:c r="C131" s="59"/>
      <x:c r="D131" s="59"/>
      <x:c r="E131" s="59"/>
      <x:c r="F131" s="59"/>
      <x:c r="G131" s="59"/>
      <x:c r="H131" s="59"/>
      <x:c r="I131" s="59"/>
      <x:c r="J131" s="59"/>
      <x:c r="K131" s="59"/>
      <x:c r="L131" s="59"/>
      <x:c r="M131" s="59"/>
      <x:c r="N131" s="59"/>
      <x:c r="O131" s="59"/>
      <x:c r="P131" s="59"/>
      <x:c r="Q131" s="59"/>
      <x:c r="R131" s="59"/>
      <x:c r="S131" s="59"/>
      <x:c r="T131" s="59"/>
      <x:c r="U131" s="59"/>
      <x:c r="V131" s="59"/>
      <x:c r="W131" s="59"/>
      <x:c r="X131" s="59"/>
      <x:c r="Y131" s="59"/>
      <x:c r="Z131" s="59"/>
      <x:c r="AA131" s="59"/>
      <x:c r="AB131" s="59"/>
      <x:c r="AC131" s="59"/>
      <x:c r="AD131" s="59"/>
      <x:c r="AE131" s="59"/>
      <x:c r="AF131" s="59"/>
      <x:c r="AG131" s="59"/>
      <x:c r="AH131" s="59"/>
      <x:c r="AI131" s="59"/>
      <x:c r="AJ131" s="59"/>
      <x:c r="AK131" s="59"/>
      <x:c r="AL131" s="59"/>
      <x:c r="AM131" s="59"/>
      <x:c r="AN131" s="59"/>
    </x:row>
    <x:row r="132">
      <x:c r="A132" s="59"/>
      <x:c r="B132" s="59"/>
      <x:c r="C132" s="59"/>
      <x:c r="D132" s="59"/>
      <x:c r="E132" s="59"/>
      <x:c r="F132" s="59"/>
      <x:c r="G132" s="59"/>
      <x:c r="H132" s="59"/>
      <x:c r="I132" s="59"/>
      <x:c r="J132" s="59"/>
      <x:c r="K132" s="59"/>
      <x:c r="L132" s="59"/>
      <x:c r="M132" s="59"/>
      <x:c r="N132" s="59"/>
      <x:c r="O132" s="59"/>
      <x:c r="P132" s="59"/>
      <x:c r="Q132" s="59"/>
      <x:c r="R132" s="59"/>
      <x:c r="S132" s="59"/>
      <x:c r="T132" s="59"/>
      <x:c r="U132" s="59"/>
      <x:c r="V132" s="59"/>
      <x:c r="W132" s="59"/>
      <x:c r="X132" s="59"/>
      <x:c r="Y132" s="59"/>
      <x:c r="Z132" s="59"/>
      <x:c r="AA132" s="59"/>
      <x:c r="AB132" s="59"/>
      <x:c r="AC132" s="59"/>
      <x:c r="AD132" s="59"/>
      <x:c r="AE132" s="59"/>
      <x:c r="AF132" s="59"/>
      <x:c r="AG132" s="59"/>
      <x:c r="AH132" s="59"/>
      <x:c r="AI132" s="59"/>
      <x:c r="AJ132" s="59"/>
      <x:c r="AK132" s="59"/>
      <x:c r="AL132" s="59"/>
      <x:c r="AM132" s="59"/>
      <x:c r="AN132" s="59"/>
    </x:row>
    <x:row r="133">
      <x:c r="A133" s="59"/>
      <x:c r="B133" s="59"/>
      <x:c r="C133" s="59"/>
      <x:c r="D133" s="59"/>
      <x:c r="E133" s="59"/>
      <x:c r="F133" s="59"/>
      <x:c r="G133" s="59"/>
      <x:c r="H133" s="59"/>
      <x:c r="I133" s="59"/>
      <x:c r="J133" s="59"/>
      <x:c r="K133" s="59"/>
      <x:c r="L133" s="59"/>
      <x:c r="M133" s="59"/>
      <x:c r="N133" s="59"/>
      <x:c r="O133" s="59"/>
      <x:c r="P133" s="59"/>
      <x:c r="Q133" s="59"/>
      <x:c r="R133" s="59"/>
      <x:c r="S133" s="59"/>
      <x:c r="T133" s="59"/>
      <x:c r="U133" s="59"/>
      <x:c r="V133" s="59"/>
      <x:c r="W133" s="59"/>
      <x:c r="X133" s="59"/>
      <x:c r="Y133" s="59"/>
      <x:c r="Z133" s="59"/>
      <x:c r="AA133" s="59"/>
      <x:c r="AB133" s="59"/>
      <x:c r="AC133" s="59"/>
      <x:c r="AD133" s="59"/>
      <x:c r="AE133" s="59"/>
      <x:c r="AF133" s="59"/>
      <x:c r="AG133" s="59"/>
      <x:c r="AH133" s="59"/>
      <x:c r="AI133" s="59"/>
      <x:c r="AJ133" s="59"/>
      <x:c r="AK133" s="59"/>
      <x:c r="AL133" s="59"/>
      <x:c r="AM133" s="59"/>
      <x:c r="AN133" s="59"/>
    </x:row>
    <x:row r="134">
      <x:c r="A134" s="59"/>
      <x:c r="B134" s="59"/>
      <x:c r="C134" s="59"/>
      <x:c r="D134" s="59"/>
      <x:c r="E134" s="59"/>
      <x:c r="F134" s="59"/>
      <x:c r="G134" s="59"/>
      <x:c r="H134" s="59"/>
      <x:c r="I134" s="59"/>
      <x:c r="J134" s="59"/>
      <x:c r="K134" s="59"/>
      <x:c r="L134" s="59"/>
      <x:c r="M134" s="59"/>
      <x:c r="N134" s="59"/>
      <x:c r="O134" s="59"/>
      <x:c r="P134" s="59"/>
      <x:c r="Q134" s="59"/>
      <x:c r="R134" s="59"/>
      <x:c r="S134" s="59"/>
      <x:c r="T134" s="59"/>
      <x:c r="U134" s="59"/>
      <x:c r="V134" s="59"/>
      <x:c r="W134" s="59"/>
      <x:c r="X134" s="59"/>
      <x:c r="Y134" s="59"/>
      <x:c r="Z134" s="59"/>
      <x:c r="AA134" s="59"/>
      <x:c r="AB134" s="59"/>
      <x:c r="AC134" s="59"/>
      <x:c r="AD134" s="59"/>
      <x:c r="AE134" s="59"/>
      <x:c r="AF134" s="59"/>
      <x:c r="AG134" s="59"/>
      <x:c r="AH134" s="59"/>
      <x:c r="AI134" s="59"/>
      <x:c r="AJ134" s="59"/>
      <x:c r="AK134" s="59"/>
      <x:c r="AL134" s="59"/>
      <x:c r="AM134" s="59"/>
      <x:c r="AN134" s="59"/>
    </x:row>
    <x:row r="135">
      <x:c r="A135" s="59"/>
      <x:c r="B135" s="59"/>
      <x:c r="C135" s="59"/>
      <x:c r="D135" s="59"/>
      <x:c r="E135" s="59"/>
      <x:c r="F135" s="59"/>
      <x:c r="G135" s="59"/>
      <x:c r="H135" s="59"/>
      <x:c r="I135" s="59"/>
      <x:c r="J135" s="59"/>
      <x:c r="K135" s="59"/>
      <x:c r="L135" s="59"/>
      <x:c r="M135" s="59"/>
      <x:c r="N135" s="59"/>
      <x:c r="O135" s="59"/>
      <x:c r="P135" s="59"/>
      <x:c r="Q135" s="59"/>
      <x:c r="R135" s="59"/>
      <x:c r="S135" s="59"/>
      <x:c r="T135" s="59"/>
      <x:c r="U135" s="59"/>
      <x:c r="V135" s="59"/>
      <x:c r="W135" s="59"/>
      <x:c r="X135" s="59"/>
      <x:c r="Y135" s="59"/>
      <x:c r="Z135" s="59"/>
      <x:c r="AA135" s="59"/>
      <x:c r="AB135" s="59"/>
      <x:c r="AC135" s="59"/>
      <x:c r="AD135" s="59"/>
      <x:c r="AE135" s="59"/>
      <x:c r="AF135" s="59"/>
      <x:c r="AG135" s="59"/>
      <x:c r="AH135" s="59"/>
      <x:c r="AI135" s="59"/>
      <x:c r="AJ135" s="59"/>
      <x:c r="AK135" s="59"/>
      <x:c r="AL135" s="59"/>
      <x:c r="AM135" s="59"/>
      <x:c r="AN135" s="59"/>
    </x:row>
    <x:row r="136">
      <x:c r="A136" s="59"/>
      <x:c r="B136" s="59"/>
      <x:c r="C136" s="59"/>
      <x:c r="D136" s="59"/>
      <x:c r="E136" s="59"/>
      <x:c r="F136" s="59"/>
      <x:c r="G136" s="59"/>
      <x:c r="H136" s="59"/>
      <x:c r="I136" s="59"/>
      <x:c r="J136" s="59"/>
      <x:c r="K136" s="59"/>
      <x:c r="L136" s="59"/>
      <x:c r="M136" s="59"/>
      <x:c r="N136" s="59"/>
      <x:c r="O136" s="59"/>
      <x:c r="P136" s="59"/>
      <x:c r="Q136" s="59"/>
      <x:c r="R136" s="59"/>
      <x:c r="S136" s="59"/>
      <x:c r="T136" s="59"/>
      <x:c r="U136" s="59"/>
      <x:c r="V136" s="59"/>
      <x:c r="W136" s="59"/>
      <x:c r="X136" s="59"/>
      <x:c r="Y136" s="59"/>
      <x:c r="Z136" s="59"/>
      <x:c r="AA136" s="59"/>
      <x:c r="AB136" s="59"/>
      <x:c r="AC136" s="59"/>
      <x:c r="AD136" s="59"/>
      <x:c r="AE136" s="59"/>
      <x:c r="AF136" s="59"/>
      <x:c r="AG136" s="59"/>
      <x:c r="AH136" s="59"/>
      <x:c r="AI136" s="59"/>
      <x:c r="AJ136" s="59"/>
      <x:c r="AK136" s="59"/>
      <x:c r="AL136" s="59"/>
      <x:c r="AM136" s="59"/>
      <x:c r="AN136" s="59"/>
    </x:row>
    <x:row r="137">
      <x:c r="A137" s="59"/>
      <x:c r="B137" s="59"/>
      <x:c r="C137" s="59"/>
      <x:c r="D137" s="59"/>
      <x:c r="E137" s="59"/>
      <x:c r="F137" s="59"/>
      <x:c r="G137" s="59"/>
      <x:c r="H137" s="59"/>
      <x:c r="I137" s="59"/>
      <x:c r="J137" s="59"/>
      <x:c r="K137" s="59"/>
      <x:c r="L137" s="59"/>
      <x:c r="M137" s="59"/>
      <x:c r="N137" s="59"/>
      <x:c r="O137" s="59"/>
      <x:c r="P137" s="59"/>
      <x:c r="Q137" s="59"/>
      <x:c r="R137" s="59"/>
      <x:c r="S137" s="59"/>
      <x:c r="T137" s="59"/>
      <x:c r="U137" s="59"/>
      <x:c r="V137" s="59"/>
      <x:c r="W137" s="59"/>
      <x:c r="X137" s="59"/>
      <x:c r="Y137" s="59"/>
      <x:c r="Z137" s="59"/>
      <x:c r="AA137" s="59"/>
      <x:c r="AB137" s="59"/>
      <x:c r="AC137" s="59"/>
      <x:c r="AD137" s="59"/>
      <x:c r="AE137" s="59"/>
      <x:c r="AF137" s="59"/>
      <x:c r="AG137" s="59"/>
      <x:c r="AH137" s="59"/>
      <x:c r="AI137" s="59"/>
      <x:c r="AJ137" s="59"/>
      <x:c r="AK137" s="59"/>
      <x:c r="AL137" s="59"/>
      <x:c r="AM137" s="59"/>
      <x:c r="AN137" s="59"/>
    </x:row>
    <x:row r="138">
      <x:c r="A138" s="59"/>
      <x:c r="B138" s="59"/>
      <x:c r="C138" s="59"/>
      <x:c r="D138" s="59"/>
      <x:c r="E138" s="59"/>
      <x:c r="F138" s="59"/>
      <x:c r="G138" s="59"/>
      <x:c r="H138" s="59"/>
      <x:c r="I138" s="59"/>
      <x:c r="J138" s="59"/>
      <x:c r="K138" s="59"/>
      <x:c r="L138" s="59"/>
      <x:c r="M138" s="59"/>
      <x:c r="N138" s="59"/>
      <x:c r="O138" s="59"/>
      <x:c r="P138" s="59"/>
      <x:c r="Q138" s="59"/>
      <x:c r="R138" s="59"/>
      <x:c r="S138" s="59"/>
      <x:c r="T138" s="59"/>
      <x:c r="U138" s="59"/>
      <x:c r="V138" s="59"/>
      <x:c r="W138" s="59"/>
      <x:c r="X138" s="59"/>
      <x:c r="Y138" s="59"/>
      <x:c r="Z138" s="59"/>
      <x:c r="AA138" s="59"/>
      <x:c r="AB138" s="59"/>
      <x:c r="AC138" s="59"/>
      <x:c r="AD138" s="59"/>
      <x:c r="AE138" s="59"/>
      <x:c r="AF138" s="59"/>
      <x:c r="AG138" s="59"/>
      <x:c r="AH138" s="59"/>
      <x:c r="AI138" s="59"/>
      <x:c r="AJ138" s="59"/>
      <x:c r="AK138" s="59"/>
      <x:c r="AL138" s="59"/>
      <x:c r="AM138" s="59"/>
      <x:c r="AN138" s="59"/>
    </x:row>
    <x:row r="139">
      <x:c r="A139" s="59"/>
      <x:c r="B139" s="59"/>
      <x:c r="C139" s="59"/>
      <x:c r="D139" s="59"/>
      <x:c r="E139" s="59"/>
      <x:c r="F139" s="59"/>
      <x:c r="G139" s="59"/>
      <x:c r="H139" s="59"/>
      <x:c r="I139" s="59"/>
      <x:c r="J139" s="59"/>
      <x:c r="K139" s="59"/>
      <x:c r="L139" s="59"/>
      <x:c r="M139" s="59"/>
      <x:c r="N139" s="59"/>
      <x:c r="O139" s="59"/>
      <x:c r="P139" s="59"/>
      <x:c r="Q139" s="59"/>
      <x:c r="R139" s="59"/>
      <x:c r="S139" s="59"/>
      <x:c r="T139" s="59"/>
      <x:c r="U139" s="59"/>
      <x:c r="V139" s="59"/>
      <x:c r="W139" s="59"/>
      <x:c r="X139" s="59"/>
      <x:c r="Y139" s="59"/>
      <x:c r="Z139" s="59"/>
      <x:c r="AA139" s="59"/>
      <x:c r="AB139" s="59"/>
      <x:c r="AC139" s="59"/>
      <x:c r="AD139" s="59"/>
      <x:c r="AE139" s="59"/>
      <x:c r="AF139" s="59"/>
      <x:c r="AG139" s="59"/>
      <x:c r="AH139" s="59"/>
      <x:c r="AI139" s="59"/>
      <x:c r="AJ139" s="59"/>
      <x:c r="AK139" s="59"/>
      <x:c r="AL139" s="59"/>
      <x:c r="AM139" s="59"/>
      <x:c r="AN139" s="59"/>
    </x:row>
    <x:row r="140">
      <x:c r="A140" s="59"/>
      <x:c r="B140" s="59"/>
      <x:c r="C140" s="59"/>
      <x:c r="D140" s="59"/>
      <x:c r="E140" s="59"/>
      <x:c r="F140" s="59"/>
      <x:c r="G140" s="59"/>
      <x:c r="H140" s="59"/>
      <x:c r="I140" s="59"/>
      <x:c r="J140" s="59"/>
      <x:c r="K140" s="59"/>
      <x:c r="L140" s="59"/>
      <x:c r="M140" s="59"/>
      <x:c r="N140" s="59"/>
      <x:c r="O140" s="59"/>
      <x:c r="P140" s="59"/>
      <x:c r="Q140" s="59"/>
      <x:c r="R140" s="59"/>
      <x:c r="S140" s="59"/>
      <x:c r="T140" s="59"/>
      <x:c r="U140" s="59"/>
      <x:c r="V140" s="59"/>
      <x:c r="W140" s="59"/>
      <x:c r="X140" s="59"/>
      <x:c r="Y140" s="59"/>
      <x:c r="Z140" s="59"/>
      <x:c r="AA140" s="59"/>
      <x:c r="AB140" s="59"/>
      <x:c r="AC140" s="59"/>
      <x:c r="AD140" s="59"/>
      <x:c r="AE140" s="59"/>
      <x:c r="AF140" s="59"/>
      <x:c r="AG140" s="59"/>
      <x:c r="AH140" s="59"/>
      <x:c r="AI140" s="59"/>
      <x:c r="AJ140" s="59"/>
      <x:c r="AK140" s="59"/>
      <x:c r="AL140" s="59"/>
      <x:c r="AM140" s="59"/>
      <x:c r="AN140" s="59"/>
    </x:row>
    <x:row r="141">
      <x:c r="A141" s="59"/>
      <x:c r="B141" s="59"/>
      <x:c r="C141" s="59"/>
      <x:c r="D141" s="59"/>
      <x:c r="E141" s="59"/>
      <x:c r="F141" s="59"/>
      <x:c r="G141" s="59"/>
      <x:c r="H141" s="59"/>
      <x:c r="I141" s="59"/>
      <x:c r="J141" s="59"/>
      <x:c r="K141" s="59"/>
      <x:c r="L141" s="59"/>
      <x:c r="M141" s="59"/>
      <x:c r="N141" s="59"/>
      <x:c r="O141" s="59"/>
      <x:c r="P141" s="59"/>
      <x:c r="Q141" s="59"/>
      <x:c r="R141" s="59"/>
      <x:c r="S141" s="59"/>
      <x:c r="T141" s="59"/>
      <x:c r="U141" s="59"/>
      <x:c r="V141" s="59"/>
      <x:c r="W141" s="59"/>
      <x:c r="X141" s="59"/>
      <x:c r="Y141" s="59"/>
      <x:c r="Z141" s="59"/>
      <x:c r="AA141" s="59"/>
      <x:c r="AB141" s="59"/>
      <x:c r="AC141" s="59"/>
      <x:c r="AD141" s="59"/>
      <x:c r="AE141" s="59"/>
      <x:c r="AF141" s="59"/>
      <x:c r="AG141" s="59"/>
      <x:c r="AH141" s="59"/>
      <x:c r="AI141" s="59"/>
      <x:c r="AJ141" s="59"/>
      <x:c r="AK141" s="59"/>
      <x:c r="AL141" s="59"/>
      <x:c r="AM141" s="59"/>
      <x:c r="AN141" s="59"/>
    </x:row>
    <x:row r="142">
      <x:c r="A142" s="59"/>
      <x:c r="B142" s="59"/>
      <x:c r="C142" s="59"/>
      <x:c r="D142" s="59"/>
      <x:c r="E142" s="59"/>
      <x:c r="F142" s="59"/>
      <x:c r="G142" s="59"/>
      <x:c r="H142" s="59"/>
      <x:c r="I142" s="59"/>
      <x:c r="J142" s="59"/>
      <x:c r="K142" s="59"/>
      <x:c r="L142" s="59"/>
      <x:c r="M142" s="59"/>
      <x:c r="N142" s="59"/>
      <x:c r="O142" s="59"/>
      <x:c r="P142" s="59"/>
      <x:c r="Q142" s="59"/>
      <x:c r="R142" s="59"/>
      <x:c r="S142" s="59"/>
      <x:c r="T142" s="59"/>
      <x:c r="U142" s="59"/>
      <x:c r="V142" s="59"/>
      <x:c r="W142" s="59"/>
      <x:c r="X142" s="59"/>
      <x:c r="Y142" s="59"/>
      <x:c r="Z142" s="59"/>
      <x:c r="AA142" s="59"/>
      <x:c r="AB142" s="59"/>
      <x:c r="AC142" s="59"/>
      <x:c r="AD142" s="59"/>
      <x:c r="AE142" s="59"/>
      <x:c r="AF142" s="59"/>
      <x:c r="AG142" s="59"/>
      <x:c r="AH142" s="59"/>
      <x:c r="AI142" s="59"/>
      <x:c r="AJ142" s="59"/>
      <x:c r="AK142" s="59"/>
      <x:c r="AL142" s="59"/>
      <x:c r="AM142" s="59"/>
      <x:c r="AN142" s="59"/>
    </x:row>
    <x:row r="143">
      <x:c r="A143" s="59"/>
      <x:c r="B143" s="59"/>
      <x:c r="C143" s="59"/>
      <x:c r="D143" s="59"/>
      <x:c r="E143" s="59"/>
      <x:c r="F143" s="59"/>
      <x:c r="G143" s="59"/>
      <x:c r="H143" s="59"/>
      <x:c r="I143" s="59"/>
      <x:c r="J143" s="59"/>
      <x:c r="K143" s="59"/>
      <x:c r="L143" s="59"/>
      <x:c r="M143" s="59"/>
      <x:c r="N143" s="59"/>
      <x:c r="O143" s="59"/>
      <x:c r="P143" s="59"/>
      <x:c r="Q143" s="59"/>
      <x:c r="R143" s="59"/>
      <x:c r="S143" s="59"/>
      <x:c r="T143" s="59"/>
      <x:c r="U143" s="59"/>
      <x:c r="V143" s="59"/>
      <x:c r="W143" s="59"/>
      <x:c r="X143" s="59"/>
      <x:c r="Y143" s="59"/>
      <x:c r="Z143" s="59"/>
      <x:c r="AA143" s="59"/>
      <x:c r="AB143" s="59"/>
      <x:c r="AC143" s="59"/>
      <x:c r="AD143" s="59"/>
      <x:c r="AE143" s="59"/>
      <x:c r="AF143" s="59"/>
      <x:c r="AG143" s="59"/>
      <x:c r="AH143" s="59"/>
      <x:c r="AI143" s="59"/>
      <x:c r="AJ143" s="59"/>
      <x:c r="AK143" s="59"/>
      <x:c r="AL143" s="59"/>
      <x:c r="AM143" s="59"/>
      <x:c r="AN143" s="59"/>
    </x:row>
    <x:row r="144">
      <x:c r="A144" s="59"/>
      <x:c r="B144" s="59"/>
      <x:c r="C144" s="59"/>
      <x:c r="D144" s="59"/>
      <x:c r="E144" s="59"/>
      <x:c r="F144" s="59"/>
      <x:c r="G144" s="59"/>
      <x:c r="H144" s="59"/>
      <x:c r="I144" s="59"/>
      <x:c r="J144" s="59"/>
      <x:c r="K144" s="59"/>
      <x:c r="L144" s="59"/>
      <x:c r="M144" s="59"/>
      <x:c r="N144" s="59"/>
      <x:c r="O144" s="59"/>
      <x:c r="P144" s="59"/>
      <x:c r="Q144" s="59"/>
      <x:c r="R144" s="59"/>
      <x:c r="S144" s="59"/>
      <x:c r="T144" s="59"/>
      <x:c r="U144" s="59"/>
      <x:c r="V144" s="59"/>
      <x:c r="W144" s="59"/>
      <x:c r="X144" s="59"/>
      <x:c r="Y144" s="59"/>
      <x:c r="Z144" s="59"/>
      <x:c r="AA144" s="59"/>
      <x:c r="AB144" s="59"/>
      <x:c r="AC144" s="59"/>
      <x:c r="AD144" s="59"/>
      <x:c r="AE144" s="59"/>
      <x:c r="AF144" s="59"/>
      <x:c r="AG144" s="59"/>
      <x:c r="AH144" s="59"/>
      <x:c r="AI144" s="59"/>
      <x:c r="AJ144" s="59"/>
      <x:c r="AK144" s="59"/>
      <x:c r="AL144" s="59"/>
      <x:c r="AM144" s="59"/>
      <x:c r="AN144" s="59"/>
    </x:row>
    <x:row r="145">
      <x:c r="A145" s="59"/>
      <x:c r="B145" s="59"/>
      <x:c r="C145" s="59"/>
      <x:c r="D145" s="59"/>
      <x:c r="E145" s="59"/>
      <x:c r="F145" s="59"/>
      <x:c r="G145" s="59"/>
      <x:c r="H145" s="59"/>
      <x:c r="I145" s="59"/>
      <x:c r="J145" s="59"/>
      <x:c r="K145" s="59"/>
      <x:c r="L145" s="59"/>
      <x:c r="M145" s="59"/>
      <x:c r="N145" s="59"/>
      <x:c r="O145" s="59"/>
      <x:c r="P145" s="59"/>
      <x:c r="Q145" s="59"/>
      <x:c r="R145" s="59"/>
      <x:c r="S145" s="59"/>
      <x:c r="T145" s="59"/>
      <x:c r="U145" s="59"/>
      <x:c r="V145" s="59"/>
      <x:c r="W145" s="59"/>
      <x:c r="X145" s="59"/>
      <x:c r="Y145" s="59"/>
      <x:c r="Z145" s="59"/>
      <x:c r="AA145" s="59"/>
      <x:c r="AB145" s="59"/>
      <x:c r="AC145" s="59"/>
      <x:c r="AD145" s="59"/>
      <x:c r="AE145" s="59"/>
      <x:c r="AF145" s="59"/>
      <x:c r="AG145" s="59"/>
      <x:c r="AH145" s="59"/>
      <x:c r="AI145" s="59"/>
      <x:c r="AJ145" s="59"/>
      <x:c r="AK145" s="59"/>
      <x:c r="AL145" s="59"/>
      <x:c r="AM145" s="59"/>
      <x:c r="AN145" s="59"/>
    </x:row>
    <x:row r="146">
      <x:c r="A146" s="59"/>
      <x:c r="B146" s="59"/>
      <x:c r="C146" s="59"/>
      <x:c r="D146" s="59"/>
      <x:c r="E146" s="59"/>
      <x:c r="F146" s="59"/>
      <x:c r="G146" s="59"/>
      <x:c r="H146" s="59"/>
      <x:c r="I146" s="59"/>
      <x:c r="J146" s="59"/>
      <x:c r="K146" s="59"/>
      <x:c r="L146" s="59"/>
      <x:c r="M146" s="59"/>
      <x:c r="N146" s="59"/>
      <x:c r="O146" s="59"/>
      <x:c r="P146" s="59"/>
      <x:c r="Q146" s="59"/>
      <x:c r="R146" s="59"/>
      <x:c r="S146" s="59"/>
      <x:c r="T146" s="59"/>
      <x:c r="U146" s="59"/>
      <x:c r="V146" s="59"/>
      <x:c r="W146" s="59"/>
      <x:c r="X146" s="59"/>
      <x:c r="Y146" s="59"/>
      <x:c r="Z146" s="59"/>
      <x:c r="AA146" s="59"/>
      <x:c r="AB146" s="59"/>
      <x:c r="AC146" s="59"/>
      <x:c r="AD146" s="59"/>
      <x:c r="AE146" s="59"/>
      <x:c r="AF146" s="59"/>
      <x:c r="AG146" s="59"/>
      <x:c r="AH146" s="59"/>
      <x:c r="AI146" s="59"/>
      <x:c r="AJ146" s="59"/>
      <x:c r="AK146" s="59"/>
      <x:c r="AL146" s="59"/>
      <x:c r="AM146" s="59"/>
      <x:c r="AN146" s="59"/>
    </x:row>
    <x:row r="147">
      <x:c r="A147" s="59"/>
      <x:c r="B147" s="59"/>
      <x:c r="C147" s="59"/>
      <x:c r="D147" s="59"/>
      <x:c r="E147" s="59"/>
      <x:c r="F147" s="59"/>
      <x:c r="G147" s="59"/>
      <x:c r="H147" s="59"/>
      <x:c r="I147" s="59"/>
      <x:c r="J147" s="59"/>
      <x:c r="K147" s="59"/>
      <x:c r="L147" s="59"/>
      <x:c r="M147" s="59"/>
      <x:c r="N147" s="59"/>
      <x:c r="O147" s="59"/>
      <x:c r="P147" s="59"/>
      <x:c r="Q147" s="59"/>
      <x:c r="R147" s="59"/>
      <x:c r="S147" s="59"/>
      <x:c r="T147" s="59"/>
      <x:c r="U147" s="59"/>
      <x:c r="V147" s="59"/>
      <x:c r="W147" s="59"/>
      <x:c r="X147" s="59"/>
      <x:c r="Y147" s="59"/>
      <x:c r="Z147" s="59"/>
      <x:c r="AA147" s="59"/>
      <x:c r="AB147" s="59"/>
      <x:c r="AC147" s="59"/>
      <x:c r="AD147" s="59"/>
      <x:c r="AE147" s="59"/>
      <x:c r="AF147" s="59"/>
      <x:c r="AG147" s="59"/>
      <x:c r="AH147" s="59"/>
      <x:c r="AI147" s="59"/>
      <x:c r="AJ147" s="59"/>
      <x:c r="AK147" s="59"/>
      <x:c r="AL147" s="59"/>
      <x:c r="AM147" s="59"/>
      <x:c r="AN147" s="59"/>
    </x:row>
    <x:row r="148">
      <x:c r="A148" s="59"/>
      <x:c r="B148" s="59"/>
      <x:c r="C148" s="59"/>
      <x:c r="D148" s="59"/>
      <x:c r="E148" s="59"/>
      <x:c r="F148" s="59"/>
      <x:c r="G148" s="59"/>
      <x:c r="H148" s="59"/>
      <x:c r="I148" s="59"/>
      <x:c r="J148" s="59"/>
      <x:c r="K148" s="59"/>
      <x:c r="L148" s="59"/>
      <x:c r="M148" s="59"/>
      <x:c r="N148" s="59"/>
      <x:c r="O148" s="59"/>
      <x:c r="P148" s="59"/>
      <x:c r="Q148" s="59"/>
      <x:c r="R148" s="59"/>
      <x:c r="S148" s="59"/>
      <x:c r="T148" s="59"/>
      <x:c r="U148" s="59"/>
      <x:c r="V148" s="59"/>
      <x:c r="W148" s="59"/>
      <x:c r="X148" s="59"/>
      <x:c r="Y148" s="59"/>
      <x:c r="Z148" s="59"/>
      <x:c r="AA148" s="59"/>
      <x:c r="AB148" s="59"/>
      <x:c r="AC148" s="59"/>
      <x:c r="AD148" s="59"/>
      <x:c r="AE148" s="59"/>
      <x:c r="AF148" s="59"/>
      <x:c r="AG148" s="59"/>
      <x:c r="AH148" s="59"/>
      <x:c r="AI148" s="59"/>
      <x:c r="AJ148" s="59"/>
      <x:c r="AK148" s="59"/>
      <x:c r="AL148" s="59"/>
      <x:c r="AM148" s="59"/>
      <x:c r="AN148" s="59"/>
    </x:row>
    <x:row r="149">
      <x:c r="A149" s="59"/>
      <x:c r="B149" s="59"/>
      <x:c r="C149" s="59"/>
      <x:c r="D149" s="59"/>
      <x:c r="E149" s="59"/>
      <x:c r="F149" s="59"/>
      <x:c r="G149" s="59"/>
      <x:c r="H149" s="59"/>
      <x:c r="I149" s="59"/>
      <x:c r="J149" s="59"/>
      <x:c r="K149" s="59"/>
      <x:c r="L149" s="59"/>
      <x:c r="M149" s="59"/>
      <x:c r="N149" s="59"/>
      <x:c r="O149" s="59"/>
      <x:c r="P149" s="59"/>
      <x:c r="Q149" s="59"/>
      <x:c r="R149" s="59"/>
      <x:c r="S149" s="59"/>
      <x:c r="T149" s="59"/>
      <x:c r="U149" s="59"/>
      <x:c r="V149" s="59"/>
      <x:c r="W149" s="59"/>
      <x:c r="X149" s="59"/>
      <x:c r="Y149" s="59"/>
      <x:c r="Z149" s="59"/>
      <x:c r="AA149" s="59"/>
      <x:c r="AB149" s="59"/>
      <x:c r="AC149" s="59"/>
      <x:c r="AD149" s="59"/>
      <x:c r="AE149" s="59"/>
      <x:c r="AF149" s="59"/>
      <x:c r="AG149" s="59"/>
      <x:c r="AH149" s="59"/>
      <x:c r="AI149" s="59"/>
      <x:c r="AJ149" s="59"/>
      <x:c r="AK149" s="59"/>
      <x:c r="AL149" s="59"/>
      <x:c r="AM149" s="59"/>
      <x:c r="AN149" s="59"/>
    </x:row>
    <x:row r="150">
      <x:c r="A150" s="59"/>
      <x:c r="B150" s="59"/>
      <x:c r="C150" s="59"/>
      <x:c r="D150" s="59"/>
      <x:c r="E150" s="59"/>
      <x:c r="F150" s="59"/>
      <x:c r="G150" s="59"/>
      <x:c r="H150" s="59"/>
      <x:c r="I150" s="59"/>
      <x:c r="J150" s="59"/>
      <x:c r="K150" s="59"/>
      <x:c r="L150" s="59"/>
      <x:c r="M150" s="59"/>
      <x:c r="N150" s="59"/>
      <x:c r="O150" s="59"/>
      <x:c r="P150" s="59"/>
      <x:c r="Q150" s="59"/>
      <x:c r="R150" s="59"/>
      <x:c r="S150" s="59"/>
      <x:c r="T150" s="59"/>
      <x:c r="U150" s="59"/>
      <x:c r="V150" s="59"/>
      <x:c r="W150" s="59"/>
      <x:c r="X150" s="59"/>
      <x:c r="Y150" s="59"/>
      <x:c r="Z150" s="59"/>
      <x:c r="AA150" s="59"/>
      <x:c r="AB150" s="59"/>
      <x:c r="AC150" s="59"/>
      <x:c r="AD150" s="59"/>
      <x:c r="AE150" s="59"/>
      <x:c r="AF150" s="59"/>
      <x:c r="AG150" s="59"/>
      <x:c r="AH150" s="59"/>
      <x:c r="AI150" s="59"/>
      <x:c r="AJ150" s="59"/>
      <x:c r="AK150" s="59"/>
      <x:c r="AL150" s="59"/>
      <x:c r="AM150" s="59"/>
      <x:c r="AN150" s="59"/>
    </x:row>
    <x:row r="151">
      <x:c r="A151" s="59"/>
      <x:c r="B151" s="59"/>
      <x:c r="C151" s="59"/>
      <x:c r="D151" s="59"/>
      <x:c r="E151" s="59"/>
      <x:c r="F151" s="59"/>
      <x:c r="G151" s="59"/>
      <x:c r="H151" s="59"/>
      <x:c r="I151" s="59"/>
      <x:c r="J151" s="59"/>
      <x:c r="K151" s="59"/>
      <x:c r="L151" s="59"/>
      <x:c r="M151" s="59"/>
      <x:c r="N151" s="59"/>
      <x:c r="O151" s="59"/>
      <x:c r="P151" s="59"/>
      <x:c r="Q151" s="59"/>
      <x:c r="R151" s="59"/>
      <x:c r="S151" s="59"/>
      <x:c r="T151" s="59"/>
      <x:c r="U151" s="59"/>
      <x:c r="V151" s="59"/>
      <x:c r="W151" s="59"/>
      <x:c r="X151" s="59"/>
      <x:c r="Y151" s="59"/>
      <x:c r="Z151" s="59"/>
      <x:c r="AA151" s="59"/>
      <x:c r="AB151" s="59"/>
      <x:c r="AC151" s="59"/>
      <x:c r="AD151" s="59"/>
      <x:c r="AE151" s="59"/>
      <x:c r="AF151" s="59"/>
      <x:c r="AG151" s="59"/>
      <x:c r="AH151" s="59"/>
      <x:c r="AI151" s="59"/>
      <x:c r="AJ151" s="59"/>
      <x:c r="AK151" s="59"/>
      <x:c r="AL151" s="59"/>
      <x:c r="AM151" s="59"/>
      <x:c r="AN151" s="59"/>
    </x:row>
    <x:row r="152">
      <x:c r="A152" s="59"/>
      <x:c r="B152" s="59"/>
      <x:c r="C152" s="59"/>
      <x:c r="D152" s="59"/>
      <x:c r="E152" s="59"/>
      <x:c r="F152" s="59"/>
      <x:c r="G152" s="59"/>
      <x:c r="H152" s="59"/>
      <x:c r="I152" s="59"/>
      <x:c r="J152" s="59"/>
      <x:c r="K152" s="59"/>
      <x:c r="L152" s="59"/>
      <x:c r="M152" s="59"/>
      <x:c r="N152" s="59"/>
      <x:c r="O152" s="59"/>
      <x:c r="P152" s="59"/>
      <x:c r="Q152" s="59"/>
      <x:c r="R152" s="59"/>
      <x:c r="S152" s="59"/>
      <x:c r="T152" s="59"/>
      <x:c r="U152" s="59"/>
      <x:c r="V152" s="59"/>
      <x:c r="W152" s="59"/>
      <x:c r="X152" s="59"/>
      <x:c r="Y152" s="59"/>
      <x:c r="Z152" s="59"/>
      <x:c r="AA152" s="59"/>
      <x:c r="AB152" s="59"/>
      <x:c r="AC152" s="59"/>
      <x:c r="AD152" s="59"/>
      <x:c r="AE152" s="59"/>
      <x:c r="AF152" s="59"/>
      <x:c r="AG152" s="59"/>
      <x:c r="AH152" s="59"/>
      <x:c r="AI152" s="59"/>
      <x:c r="AJ152" s="59"/>
      <x:c r="AK152" s="59"/>
      <x:c r="AL152" s="59"/>
      <x:c r="AM152" s="59"/>
      <x:c r="AN152" s="59"/>
    </x:row>
    <x:row r="153">
      <x:c r="A153" s="59"/>
      <x:c r="B153" s="59"/>
      <x:c r="C153" s="59"/>
      <x:c r="D153" s="59"/>
      <x:c r="E153" s="59"/>
      <x:c r="F153" s="59"/>
      <x:c r="G153" s="59"/>
      <x:c r="H153" s="59"/>
      <x:c r="I153" s="59"/>
      <x:c r="J153" s="59"/>
      <x:c r="K153" s="59"/>
      <x:c r="L153" s="59"/>
      <x:c r="M153" s="59"/>
      <x:c r="N153" s="59"/>
      <x:c r="O153" s="59"/>
      <x:c r="P153" s="59"/>
      <x:c r="Q153" s="59"/>
      <x:c r="R153" s="59"/>
      <x:c r="S153" s="59"/>
      <x:c r="T153" s="59"/>
      <x:c r="U153" s="59"/>
      <x:c r="V153" s="59"/>
      <x:c r="W153" s="59"/>
      <x:c r="X153" s="59"/>
      <x:c r="Y153" s="59"/>
      <x:c r="Z153" s="59"/>
      <x:c r="AA153" s="59"/>
      <x:c r="AB153" s="59"/>
      <x:c r="AC153" s="59"/>
      <x:c r="AD153" s="59"/>
      <x:c r="AE153" s="59"/>
      <x:c r="AF153" s="59"/>
      <x:c r="AG153" s="59"/>
      <x:c r="AH153" s="59"/>
      <x:c r="AI153" s="59"/>
      <x:c r="AJ153" s="59"/>
      <x:c r="AK153" s="59"/>
      <x:c r="AL153" s="59"/>
      <x:c r="AM153" s="59"/>
      <x:c r="AN153" s="59"/>
    </x:row>
    <x:row r="154">
      <x:c r="A154" s="59"/>
      <x:c r="B154" s="59"/>
      <x:c r="C154" s="59"/>
      <x:c r="D154" s="59"/>
      <x:c r="E154" s="59"/>
      <x:c r="F154" s="59"/>
      <x:c r="G154" s="59"/>
      <x:c r="H154" s="59"/>
      <x:c r="I154" s="59"/>
      <x:c r="J154" s="59"/>
      <x:c r="K154" s="59"/>
      <x:c r="L154" s="59"/>
      <x:c r="M154" s="59"/>
      <x:c r="N154" s="59"/>
      <x:c r="O154" s="59"/>
      <x:c r="P154" s="59"/>
      <x:c r="Q154" s="59"/>
      <x:c r="R154" s="59"/>
      <x:c r="S154" s="59"/>
      <x:c r="T154" s="59"/>
      <x:c r="U154" s="59"/>
      <x:c r="V154" s="59"/>
      <x:c r="W154" s="59"/>
      <x:c r="X154" s="59"/>
      <x:c r="Y154" s="59"/>
      <x:c r="Z154" s="59"/>
      <x:c r="AA154" s="59"/>
      <x:c r="AB154" s="59"/>
      <x:c r="AC154" s="59"/>
      <x:c r="AD154" s="59"/>
      <x:c r="AE154" s="59"/>
      <x:c r="AF154" s="59"/>
      <x:c r="AG154" s="59"/>
      <x:c r="AH154" s="59"/>
      <x:c r="AI154" s="59"/>
      <x:c r="AJ154" s="59"/>
      <x:c r="AK154" s="59"/>
      <x:c r="AL154" s="59"/>
      <x:c r="AM154" s="59"/>
      <x:c r="AN154" s="59"/>
    </x:row>
    <x:row r="155">
      <x:c r="A155" s="59"/>
      <x:c r="B155" s="59"/>
      <x:c r="C155" s="59"/>
      <x:c r="D155" s="59"/>
      <x:c r="E155" s="59"/>
      <x:c r="F155" s="59"/>
      <x:c r="G155" s="59"/>
      <x:c r="H155" s="59"/>
      <x:c r="I155" s="59"/>
      <x:c r="J155" s="59"/>
      <x:c r="K155" s="59"/>
      <x:c r="L155" s="59"/>
      <x:c r="M155" s="59"/>
      <x:c r="N155" s="59"/>
      <x:c r="O155" s="59"/>
      <x:c r="P155" s="59"/>
      <x:c r="Q155" s="59"/>
      <x:c r="R155" s="59"/>
      <x:c r="S155" s="59"/>
      <x:c r="T155" s="59"/>
      <x:c r="U155" s="59"/>
      <x:c r="V155" s="59"/>
      <x:c r="W155" s="59"/>
      <x:c r="X155" s="59"/>
      <x:c r="Y155" s="59"/>
      <x:c r="Z155" s="59"/>
      <x:c r="AA155" s="59"/>
      <x:c r="AB155" s="59"/>
      <x:c r="AC155" s="59"/>
      <x:c r="AD155" s="59"/>
      <x:c r="AE155" s="59"/>
      <x:c r="AF155" s="59"/>
      <x:c r="AG155" s="59"/>
      <x:c r="AH155" s="59"/>
      <x:c r="AI155" s="59"/>
      <x:c r="AJ155" s="59"/>
      <x:c r="AK155" s="59"/>
      <x:c r="AL155" s="59"/>
      <x:c r="AM155" s="59"/>
      <x:c r="AN155" s="59"/>
    </x:row>
    <x:row r="156">
      <x:c r="A156" s="59"/>
      <x:c r="B156" s="59"/>
      <x:c r="C156" s="59"/>
      <x:c r="D156" s="59"/>
      <x:c r="E156" s="59"/>
      <x:c r="F156" s="59"/>
      <x:c r="G156" s="59"/>
      <x:c r="H156" s="59"/>
      <x:c r="I156" s="59"/>
      <x:c r="J156" s="59"/>
      <x:c r="K156" s="59"/>
      <x:c r="L156" s="59"/>
      <x:c r="M156" s="59"/>
      <x:c r="N156" s="59"/>
      <x:c r="O156" s="59"/>
      <x:c r="P156" s="59"/>
      <x:c r="Q156" s="59"/>
      <x:c r="R156" s="59"/>
      <x:c r="S156" s="59"/>
      <x:c r="T156" s="59"/>
      <x:c r="U156" s="59"/>
      <x:c r="V156" s="59"/>
      <x:c r="W156" s="59"/>
      <x:c r="X156" s="59"/>
      <x:c r="Y156" s="59"/>
      <x:c r="Z156" s="59"/>
      <x:c r="AA156" s="59"/>
      <x:c r="AB156" s="59"/>
      <x:c r="AC156" s="59"/>
      <x:c r="AD156" s="59"/>
      <x:c r="AE156" s="59"/>
      <x:c r="AF156" s="59"/>
      <x:c r="AG156" s="59"/>
      <x:c r="AH156" s="59"/>
      <x:c r="AI156" s="59"/>
      <x:c r="AJ156" s="59"/>
      <x:c r="AK156" s="59"/>
      <x:c r="AL156" s="59"/>
      <x:c r="AM156" s="59"/>
      <x:c r="AN156" s="59"/>
    </x:row>
    <x:row r="157">
      <x:c r="A157" s="59"/>
      <x:c r="B157" s="59"/>
      <x:c r="C157" s="59"/>
      <x:c r="D157" s="59"/>
      <x:c r="E157" s="59"/>
      <x:c r="F157" s="59"/>
      <x:c r="G157" s="59"/>
      <x:c r="H157" s="59"/>
      <x:c r="I157" s="59"/>
      <x:c r="J157" s="59"/>
      <x:c r="K157" s="59"/>
      <x:c r="L157" s="59"/>
      <x:c r="M157" s="59"/>
      <x:c r="N157" s="59"/>
      <x:c r="O157" s="59"/>
      <x:c r="P157" s="59"/>
      <x:c r="Q157" s="59"/>
      <x:c r="R157" s="59"/>
      <x:c r="S157" s="59"/>
      <x:c r="T157" s="59"/>
      <x:c r="U157" s="59"/>
      <x:c r="V157" s="59"/>
      <x:c r="W157" s="59"/>
      <x:c r="X157" s="59"/>
      <x:c r="Y157" s="59"/>
      <x:c r="Z157" s="59"/>
      <x:c r="AA157" s="59"/>
      <x:c r="AB157" s="59"/>
      <x:c r="AC157" s="59"/>
      <x:c r="AD157" s="59"/>
      <x:c r="AE157" s="59"/>
      <x:c r="AF157" s="59"/>
      <x:c r="AG157" s="59"/>
      <x:c r="AH157" s="59"/>
      <x:c r="AI157" s="59"/>
      <x:c r="AJ157" s="59"/>
      <x:c r="AK157" s="59"/>
      <x:c r="AL157" s="59"/>
      <x:c r="AM157" s="59"/>
      <x:c r="AN157" s="59"/>
    </x:row>
    <x:row r="158">
      <x:c r="A158" s="59"/>
      <x:c r="B158" s="59"/>
      <x:c r="C158" s="59"/>
      <x:c r="D158" s="59"/>
      <x:c r="E158" s="59"/>
      <x:c r="F158" s="59"/>
      <x:c r="G158" s="59"/>
      <x:c r="H158" s="59"/>
      <x:c r="I158" s="59"/>
      <x:c r="J158" s="59"/>
      <x:c r="K158" s="59"/>
      <x:c r="L158" s="59"/>
      <x:c r="M158" s="59"/>
      <x:c r="N158" s="59"/>
      <x:c r="O158" s="59"/>
      <x:c r="P158" s="59"/>
      <x:c r="Q158" s="59"/>
      <x:c r="R158" s="59"/>
      <x:c r="S158" s="59"/>
      <x:c r="T158" s="59"/>
      <x:c r="U158" s="59"/>
      <x:c r="V158" s="59"/>
      <x:c r="W158" s="59"/>
      <x:c r="X158" s="59"/>
      <x:c r="Y158" s="59"/>
      <x:c r="Z158" s="59"/>
      <x:c r="AA158" s="59"/>
      <x:c r="AB158" s="59"/>
      <x:c r="AC158" s="59"/>
      <x:c r="AD158" s="59"/>
      <x:c r="AE158" s="59"/>
      <x:c r="AF158" s="59"/>
      <x:c r="AG158" s="59"/>
      <x:c r="AH158" s="59"/>
      <x:c r="AI158" s="59"/>
      <x:c r="AJ158" s="59"/>
      <x:c r="AK158" s="59"/>
      <x:c r="AL158" s="59"/>
      <x:c r="AM158" s="59"/>
      <x:c r="AN158" s="59"/>
    </x:row>
    <x:row r="159">
      <x:c r="A159" s="59"/>
      <x:c r="B159" s="59"/>
      <x:c r="C159" s="59"/>
      <x:c r="D159" s="59"/>
      <x:c r="E159" s="59"/>
      <x:c r="F159" s="59"/>
      <x:c r="G159" s="59"/>
      <x:c r="H159" s="59"/>
      <x:c r="I159" s="59"/>
      <x:c r="J159" s="59"/>
      <x:c r="K159" s="59"/>
      <x:c r="L159" s="59"/>
      <x:c r="M159" s="59"/>
      <x:c r="N159" s="59"/>
      <x:c r="O159" s="59"/>
      <x:c r="P159" s="59"/>
      <x:c r="Q159" s="59"/>
      <x:c r="R159" s="59"/>
      <x:c r="S159" s="59"/>
      <x:c r="T159" s="59"/>
      <x:c r="U159" s="59"/>
      <x:c r="V159" s="59"/>
      <x:c r="W159" s="59"/>
      <x:c r="X159" s="59"/>
      <x:c r="Y159" s="59"/>
      <x:c r="Z159" s="59"/>
      <x:c r="AA159" s="59"/>
      <x:c r="AB159" s="59"/>
      <x:c r="AC159" s="59"/>
      <x:c r="AD159" s="59"/>
      <x:c r="AE159" s="59"/>
      <x:c r="AF159" s="59"/>
      <x:c r="AG159" s="59"/>
      <x:c r="AH159" s="59"/>
      <x:c r="AI159" s="59"/>
      <x:c r="AJ159" s="59"/>
      <x:c r="AK159" s="59"/>
      <x:c r="AL159" s="59"/>
      <x:c r="AM159" s="59"/>
      <x:c r="AN159" s="59"/>
    </x:row>
    <x:row r="160">
      <x:c r="A160" s="59"/>
      <x:c r="B160" s="59"/>
      <x:c r="C160" s="59"/>
      <x:c r="D160" s="59"/>
      <x:c r="E160" s="59"/>
      <x:c r="F160" s="59"/>
      <x:c r="G160" s="59"/>
      <x:c r="H160" s="59"/>
      <x:c r="I160" s="59"/>
      <x:c r="J160" s="59"/>
      <x:c r="K160" s="59"/>
      <x:c r="L160" s="59"/>
      <x:c r="M160" s="59"/>
      <x:c r="N160" s="59"/>
      <x:c r="O160" s="59"/>
      <x:c r="P160" s="59"/>
      <x:c r="Q160" s="59"/>
      <x:c r="R160" s="59"/>
      <x:c r="S160" s="59"/>
      <x:c r="T160" s="59"/>
      <x:c r="U160" s="59"/>
      <x:c r="V160" s="59"/>
      <x:c r="W160" s="59"/>
      <x:c r="X160" s="59"/>
      <x:c r="Y160" s="59"/>
      <x:c r="Z160" s="59"/>
      <x:c r="AA160" s="59"/>
      <x:c r="AB160" s="59"/>
      <x:c r="AC160" s="59"/>
      <x:c r="AD160" s="59"/>
      <x:c r="AE160" s="59"/>
      <x:c r="AF160" s="59"/>
      <x:c r="AG160" s="59"/>
      <x:c r="AH160" s="59"/>
      <x:c r="AI160" s="59"/>
      <x:c r="AJ160" s="59"/>
      <x:c r="AK160" s="59"/>
      <x:c r="AL160" s="59"/>
      <x:c r="AM160" s="59"/>
      <x:c r="AN160" s="59"/>
    </x:row>
    <x:row r="161">
      <x:c r="A161" s="59"/>
      <x:c r="B161" s="59"/>
      <x:c r="C161" s="59"/>
      <x:c r="D161" s="59"/>
      <x:c r="E161" s="59"/>
      <x:c r="F161" s="59"/>
      <x:c r="G161" s="59"/>
      <x:c r="H161" s="59"/>
      <x:c r="I161" s="59"/>
      <x:c r="J161" s="59"/>
      <x:c r="K161" s="59"/>
      <x:c r="L161" s="59"/>
      <x:c r="M161" s="59"/>
      <x:c r="N161" s="59"/>
      <x:c r="O161" s="59"/>
      <x:c r="P161" s="59"/>
      <x:c r="Q161" s="59"/>
      <x:c r="R161" s="59"/>
      <x:c r="S161" s="59"/>
      <x:c r="T161" s="59"/>
      <x:c r="U161" s="59"/>
      <x:c r="V161" s="59"/>
      <x:c r="W161" s="59"/>
      <x:c r="X161" s="59"/>
      <x:c r="Y161" s="59"/>
      <x:c r="Z161" s="59"/>
      <x:c r="AA161" s="59"/>
      <x:c r="AB161" s="59"/>
      <x:c r="AC161" s="59"/>
      <x:c r="AD161" s="59"/>
      <x:c r="AE161" s="59"/>
      <x:c r="AF161" s="59"/>
      <x:c r="AG161" s="59"/>
      <x:c r="AH161" s="59"/>
      <x:c r="AI161" s="59"/>
      <x:c r="AJ161" s="59"/>
      <x:c r="AK161" s="59"/>
      <x:c r="AL161" s="59"/>
      <x:c r="AM161" s="59"/>
      <x:c r="AN161" s="59"/>
    </x:row>
    <x:row r="162">
      <x:c r="A162" s="59"/>
      <x:c r="B162" s="59"/>
      <x:c r="C162" s="59"/>
      <x:c r="D162" s="59"/>
      <x:c r="E162" s="59"/>
      <x:c r="F162" s="59"/>
      <x:c r="G162" s="59"/>
      <x:c r="H162" s="59"/>
      <x:c r="I162" s="59"/>
      <x:c r="J162" s="59"/>
      <x:c r="K162" s="59"/>
      <x:c r="L162" s="59"/>
      <x:c r="M162" s="59"/>
      <x:c r="N162" s="59"/>
      <x:c r="O162" s="59"/>
      <x:c r="P162" s="59"/>
      <x:c r="Q162" s="59"/>
      <x:c r="R162" s="59"/>
      <x:c r="S162" s="59"/>
      <x:c r="T162" s="59"/>
      <x:c r="U162" s="59"/>
      <x:c r="V162" s="59"/>
      <x:c r="W162" s="59"/>
      <x:c r="X162" s="59"/>
      <x:c r="Y162" s="59"/>
      <x:c r="Z162" s="59"/>
      <x:c r="AA162" s="59"/>
      <x:c r="AB162" s="59"/>
      <x:c r="AC162" s="59"/>
      <x:c r="AD162" s="59"/>
      <x:c r="AE162" s="59"/>
      <x:c r="AF162" s="59"/>
      <x:c r="AG162" s="59"/>
      <x:c r="AH162" s="59"/>
      <x:c r="AI162" s="59"/>
      <x:c r="AJ162" s="59"/>
      <x:c r="AK162" s="59"/>
      <x:c r="AL162" s="59"/>
      <x:c r="AM162" s="59"/>
      <x:c r="AN162" s="59"/>
    </x:row>
    <x:row r="163">
      <x:c r="A163" s="59"/>
      <x:c r="B163" s="59"/>
      <x:c r="C163" s="59"/>
      <x:c r="D163" s="59"/>
      <x:c r="E163" s="59"/>
      <x:c r="F163" s="59"/>
      <x:c r="G163" s="59"/>
      <x:c r="H163" s="59"/>
      <x:c r="I163" s="59"/>
      <x:c r="J163" s="59"/>
      <x:c r="K163" s="59"/>
      <x:c r="L163" s="59"/>
      <x:c r="M163" s="59"/>
      <x:c r="N163" s="59"/>
      <x:c r="O163" s="59"/>
      <x:c r="P163" s="59"/>
      <x:c r="Q163" s="59"/>
      <x:c r="R163" s="59"/>
      <x:c r="S163" s="59"/>
      <x:c r="T163" s="59"/>
      <x:c r="U163" s="59"/>
      <x:c r="V163" s="59"/>
      <x:c r="W163" s="59"/>
      <x:c r="X163" s="59"/>
      <x:c r="Y163" s="59"/>
      <x:c r="Z163" s="59"/>
      <x:c r="AA163" s="59"/>
      <x:c r="AB163" s="59"/>
      <x:c r="AC163" s="59"/>
      <x:c r="AD163" s="59"/>
      <x:c r="AE163" s="59"/>
      <x:c r="AF163" s="59"/>
      <x:c r="AG163" s="59"/>
      <x:c r="AH163" s="59"/>
      <x:c r="AI163" s="59"/>
      <x:c r="AJ163" s="59"/>
      <x:c r="AK163" s="59"/>
      <x:c r="AL163" s="59"/>
      <x:c r="AM163" s="59"/>
      <x:c r="AN163" s="59"/>
    </x:row>
    <x:row r="164">
      <x:c r="A164" s="59"/>
      <x:c r="B164" s="59"/>
      <x:c r="C164" s="59"/>
      <x:c r="D164" s="59"/>
      <x:c r="E164" s="59"/>
      <x:c r="F164" s="59"/>
      <x:c r="G164" s="59"/>
      <x:c r="H164" s="59"/>
      <x:c r="I164" s="59"/>
      <x:c r="J164" s="59"/>
      <x:c r="K164" s="59"/>
      <x:c r="L164" s="59"/>
      <x:c r="M164" s="59"/>
      <x:c r="N164" s="59"/>
      <x:c r="O164" s="59"/>
      <x:c r="P164" s="59"/>
      <x:c r="Q164" s="59"/>
      <x:c r="R164" s="59"/>
      <x:c r="S164" s="59"/>
      <x:c r="T164" s="59"/>
      <x:c r="U164" s="59"/>
      <x:c r="V164" s="59"/>
      <x:c r="W164" s="59"/>
      <x:c r="X164" s="59"/>
      <x:c r="Y164" s="59"/>
      <x:c r="Z164" s="59"/>
      <x:c r="AA164" s="59"/>
      <x:c r="AB164" s="59"/>
      <x:c r="AC164" s="59"/>
      <x:c r="AD164" s="59"/>
      <x:c r="AE164" s="59"/>
      <x:c r="AF164" s="59"/>
      <x:c r="AG164" s="59"/>
      <x:c r="AH164" s="59"/>
      <x:c r="AI164" s="59"/>
      <x:c r="AJ164" s="59"/>
      <x:c r="AK164" s="59"/>
      <x:c r="AL164" s="59"/>
      <x:c r="AM164" s="59"/>
      <x:c r="AN164" s="59"/>
    </x:row>
    <x:row r="165">
      <x:c r="A165" s="59"/>
      <x:c r="B165" s="59"/>
      <x:c r="C165" s="59"/>
      <x:c r="D165" s="59"/>
      <x:c r="E165" s="59"/>
      <x:c r="F165" s="59"/>
      <x:c r="G165" s="59"/>
      <x:c r="H165" s="59"/>
      <x:c r="I165" s="59"/>
      <x:c r="J165" s="59"/>
      <x:c r="K165" s="59"/>
      <x:c r="L165" s="59"/>
      <x:c r="M165" s="59"/>
      <x:c r="N165" s="59"/>
      <x:c r="O165" s="59"/>
      <x:c r="P165" s="59"/>
      <x:c r="Q165" s="59"/>
      <x:c r="R165" s="59"/>
      <x:c r="S165" s="59"/>
      <x:c r="T165" s="59"/>
      <x:c r="U165" s="59"/>
      <x:c r="V165" s="59"/>
      <x:c r="W165" s="59"/>
      <x:c r="X165" s="59"/>
      <x:c r="Y165" s="59"/>
      <x:c r="Z165" s="59"/>
      <x:c r="AA165" s="59"/>
      <x:c r="AB165" s="59"/>
      <x:c r="AC165" s="59"/>
      <x:c r="AD165" s="59"/>
      <x:c r="AE165" s="59"/>
      <x:c r="AF165" s="59"/>
      <x:c r="AG165" s="59"/>
      <x:c r="AH165" s="59"/>
      <x:c r="AI165" s="59"/>
      <x:c r="AJ165" s="59"/>
      <x:c r="AK165" s="59"/>
      <x:c r="AL165" s="59"/>
      <x:c r="AM165" s="59"/>
      <x:c r="AN165" s="59"/>
    </x:row>
    <x:row r="166">
      <x:c r="A166" s="59"/>
      <x:c r="B166" s="59"/>
      <x:c r="C166" s="59"/>
      <x:c r="D166" s="59"/>
      <x:c r="E166" s="59"/>
      <x:c r="F166" s="59"/>
      <x:c r="G166" s="59"/>
      <x:c r="H166" s="59"/>
      <x:c r="I166" s="59"/>
      <x:c r="J166" s="59"/>
      <x:c r="K166" s="59"/>
      <x:c r="L166" s="59"/>
      <x:c r="M166" s="59"/>
      <x:c r="N166" s="59"/>
      <x:c r="O166" s="59"/>
      <x:c r="P166" s="59"/>
      <x:c r="Q166" s="59"/>
      <x:c r="R166" s="59"/>
      <x:c r="S166" s="59"/>
      <x:c r="T166" s="59"/>
      <x:c r="U166" s="59"/>
      <x:c r="V166" s="59"/>
      <x:c r="W166" s="59"/>
      <x:c r="X166" s="59"/>
      <x:c r="Y166" s="59"/>
      <x:c r="Z166" s="59"/>
      <x:c r="AA166" s="59"/>
      <x:c r="AB166" s="59"/>
      <x:c r="AC166" s="59"/>
      <x:c r="AD166" s="59"/>
      <x:c r="AE166" s="59"/>
      <x:c r="AF166" s="59"/>
      <x:c r="AG166" s="59"/>
      <x:c r="AH166" s="59"/>
      <x:c r="AI166" s="59"/>
      <x:c r="AJ166" s="59"/>
      <x:c r="AK166" s="59"/>
      <x:c r="AL166" s="59"/>
      <x:c r="AM166" s="59"/>
      <x:c r="AN166" s="59"/>
    </x:row>
    <x:row r="167">
      <x:c r="A167" s="59"/>
      <x:c r="B167" s="59"/>
      <x:c r="C167" s="59"/>
      <x:c r="D167" s="59"/>
      <x:c r="E167" s="59"/>
      <x:c r="F167" s="59"/>
      <x:c r="G167" s="59"/>
      <x:c r="H167" s="59"/>
      <x:c r="I167" s="59"/>
      <x:c r="J167" s="59"/>
      <x:c r="K167" s="59"/>
      <x:c r="L167" s="59"/>
      <x:c r="M167" s="59"/>
      <x:c r="N167" s="59"/>
      <x:c r="O167" s="59"/>
      <x:c r="P167" s="59"/>
      <x:c r="Q167" s="59"/>
      <x:c r="R167" s="59"/>
      <x:c r="S167" s="59"/>
      <x:c r="T167" s="59"/>
      <x:c r="U167" s="59"/>
      <x:c r="V167" s="59"/>
      <x:c r="W167" s="59"/>
      <x:c r="X167" s="59"/>
      <x:c r="Y167" s="59"/>
      <x:c r="Z167" s="59"/>
      <x:c r="AA167" s="59"/>
      <x:c r="AB167" s="59"/>
      <x:c r="AC167" s="59"/>
      <x:c r="AD167" s="59"/>
      <x:c r="AE167" s="59"/>
      <x:c r="AF167" s="59"/>
      <x:c r="AG167" s="59"/>
      <x:c r="AH167" s="59"/>
      <x:c r="AI167" s="59"/>
      <x:c r="AJ167" s="59"/>
      <x:c r="AK167" s="59"/>
      <x:c r="AL167" s="59"/>
      <x:c r="AM167" s="59"/>
      <x:c r="AN167" s="59"/>
    </x:row>
    <x:row r="168">
      <x:c r="A168" s="59"/>
      <x:c r="B168" s="59"/>
      <x:c r="C168" s="59"/>
      <x:c r="D168" s="59"/>
      <x:c r="E168" s="59"/>
      <x:c r="F168" s="59"/>
      <x:c r="G168" s="59"/>
      <x:c r="H168" s="59"/>
      <x:c r="I168" s="59"/>
      <x:c r="J168" s="59"/>
      <x:c r="K168" s="59"/>
      <x:c r="L168" s="59"/>
      <x:c r="M168" s="59"/>
      <x:c r="N168" s="59"/>
      <x:c r="O168" s="59"/>
      <x:c r="P168" s="59"/>
      <x:c r="Q168" s="59"/>
      <x:c r="R168" s="59"/>
      <x:c r="S168" s="59"/>
      <x:c r="T168" s="59"/>
      <x:c r="U168" s="59"/>
      <x:c r="V168" s="59"/>
      <x:c r="W168" s="59"/>
      <x:c r="X168" s="59"/>
      <x:c r="Y168" s="59"/>
      <x:c r="Z168" s="59"/>
      <x:c r="AA168" s="59"/>
      <x:c r="AB168" s="59"/>
      <x:c r="AC168" s="59"/>
      <x:c r="AD168" s="59"/>
      <x:c r="AE168" s="59"/>
      <x:c r="AF168" s="59"/>
      <x:c r="AG168" s="59"/>
      <x:c r="AH168" s="59"/>
      <x:c r="AI168" s="59"/>
      <x:c r="AJ168" s="59"/>
      <x:c r="AK168" s="59"/>
      <x:c r="AL168" s="59"/>
      <x:c r="AM168" s="59"/>
      <x:c r="AN168" s="59"/>
    </x:row>
    <x:row r="169">
      <x:c r="A169" s="59"/>
      <x:c r="B169" s="59"/>
      <x:c r="C169" s="59"/>
      <x:c r="D169" s="59"/>
      <x:c r="E169" s="59"/>
      <x:c r="F169" s="59"/>
      <x:c r="G169" s="59"/>
      <x:c r="H169" s="59"/>
      <x:c r="I169" s="59"/>
      <x:c r="J169" s="59"/>
      <x:c r="K169" s="59"/>
      <x:c r="L169" s="59"/>
      <x:c r="M169" s="59"/>
      <x:c r="N169" s="59"/>
      <x:c r="O169" s="59"/>
      <x:c r="P169" s="59"/>
      <x:c r="Q169" s="59"/>
      <x:c r="R169" s="59"/>
      <x:c r="S169" s="59"/>
      <x:c r="T169" s="59"/>
      <x:c r="U169" s="59"/>
      <x:c r="V169" s="59"/>
      <x:c r="W169" s="59"/>
      <x:c r="X169" s="59"/>
      <x:c r="Y169" s="59"/>
      <x:c r="Z169" s="59"/>
      <x:c r="AA169" s="59"/>
      <x:c r="AB169" s="59"/>
      <x:c r="AC169" s="59"/>
      <x:c r="AD169" s="59"/>
      <x:c r="AE169" s="59"/>
      <x:c r="AF169" s="59"/>
      <x:c r="AG169" s="59"/>
      <x:c r="AH169" s="59"/>
      <x:c r="AI169" s="59"/>
      <x:c r="AJ169" s="59"/>
      <x:c r="AK169" s="59"/>
      <x:c r="AL169" s="59"/>
      <x:c r="AM169" s="59"/>
      <x:c r="AN169" s="59"/>
    </x:row>
    <x:row r="170">
      <x:c r="A170" s="59"/>
      <x:c r="B170" s="59"/>
      <x:c r="C170" s="59"/>
      <x:c r="D170" s="59"/>
      <x:c r="E170" s="59"/>
      <x:c r="F170" s="59"/>
      <x:c r="G170" s="59"/>
      <x:c r="H170" s="59"/>
      <x:c r="I170" s="59"/>
      <x:c r="J170" s="59"/>
      <x:c r="K170" s="59"/>
      <x:c r="L170" s="59"/>
      <x:c r="M170" s="59"/>
      <x:c r="N170" s="59"/>
      <x:c r="O170" s="59"/>
      <x:c r="P170" s="59"/>
      <x:c r="Q170" s="59"/>
      <x:c r="R170" s="59"/>
      <x:c r="S170" s="59"/>
      <x:c r="T170" s="59"/>
      <x:c r="U170" s="59"/>
      <x:c r="V170" s="59"/>
      <x:c r="W170" s="59"/>
      <x:c r="X170" s="59"/>
      <x:c r="Y170" s="59"/>
      <x:c r="Z170" s="59"/>
      <x:c r="AA170" s="59"/>
      <x:c r="AB170" s="59"/>
      <x:c r="AC170" s="59"/>
      <x:c r="AD170" s="59"/>
      <x:c r="AE170" s="59"/>
      <x:c r="AF170" s="59"/>
      <x:c r="AG170" s="59"/>
      <x:c r="AH170" s="59"/>
      <x:c r="AI170" s="59"/>
      <x:c r="AJ170" s="59"/>
      <x:c r="AK170" s="59"/>
      <x:c r="AL170" s="59"/>
      <x:c r="AM170" s="59"/>
      <x:c r="AN170" s="59"/>
    </x:row>
    <x:row r="171">
      <x:c r="A171" s="59"/>
      <x:c r="B171" s="59"/>
      <x:c r="C171" s="59"/>
      <x:c r="D171" s="59"/>
      <x:c r="E171" s="59"/>
      <x:c r="F171" s="59"/>
      <x:c r="G171" s="59"/>
      <x:c r="H171" s="59"/>
      <x:c r="I171" s="59"/>
      <x:c r="J171" s="59"/>
      <x:c r="K171" s="59"/>
      <x:c r="L171" s="59"/>
      <x:c r="M171" s="59"/>
      <x:c r="N171" s="59"/>
      <x:c r="O171" s="59"/>
      <x:c r="P171" s="59"/>
      <x:c r="Q171" s="59"/>
      <x:c r="R171" s="59"/>
      <x:c r="S171" s="59"/>
      <x:c r="T171" s="59"/>
      <x:c r="U171" s="59"/>
      <x:c r="V171" s="59"/>
      <x:c r="W171" s="59"/>
      <x:c r="X171" s="59"/>
      <x:c r="Y171" s="59"/>
      <x:c r="Z171" s="59"/>
      <x:c r="AA171" s="59"/>
      <x:c r="AB171" s="59"/>
      <x:c r="AC171" s="59"/>
      <x:c r="AD171" s="59"/>
      <x:c r="AE171" s="59"/>
      <x:c r="AF171" s="59"/>
      <x:c r="AG171" s="59"/>
      <x:c r="AH171" s="59"/>
      <x:c r="AI171" s="59"/>
      <x:c r="AJ171" s="59"/>
      <x:c r="AK171" s="59"/>
      <x:c r="AL171" s="59"/>
      <x:c r="AM171" s="59"/>
      <x:c r="AN171" s="59"/>
    </x:row>
    <x:row r="172">
      <x:c r="A172" s="59"/>
      <x:c r="B172" s="59"/>
      <x:c r="C172" s="59"/>
      <x:c r="D172" s="59"/>
      <x:c r="E172" s="59"/>
      <x:c r="F172" s="59"/>
      <x:c r="G172" s="59"/>
      <x:c r="H172" s="59"/>
      <x:c r="I172" s="59"/>
      <x:c r="J172" s="59"/>
      <x:c r="K172" s="59"/>
      <x:c r="L172" s="59"/>
      <x:c r="M172" s="59"/>
      <x:c r="N172" s="59"/>
      <x:c r="O172" s="59"/>
      <x:c r="P172" s="59"/>
      <x:c r="Q172" s="59"/>
      <x:c r="R172" s="59"/>
      <x:c r="S172" s="59"/>
      <x:c r="T172" s="59"/>
      <x:c r="U172" s="59"/>
      <x:c r="V172" s="59"/>
      <x:c r="W172" s="59"/>
      <x:c r="X172" s="59"/>
      <x:c r="Y172" s="59"/>
      <x:c r="Z172" s="59"/>
      <x:c r="AA172" s="59"/>
      <x:c r="AB172" s="59"/>
      <x:c r="AC172" s="59"/>
      <x:c r="AD172" s="59"/>
      <x:c r="AE172" s="59"/>
      <x:c r="AF172" s="59"/>
      <x:c r="AG172" s="59"/>
      <x:c r="AH172" s="59"/>
      <x:c r="AI172" s="59"/>
      <x:c r="AJ172" s="59"/>
      <x:c r="AK172" s="59"/>
      <x:c r="AL172" s="59"/>
      <x:c r="AM172" s="59"/>
      <x:c r="AN172" s="59"/>
    </x:row>
    <x:row r="173">
      <x:c r="A173" s="59"/>
      <x:c r="B173" s="59"/>
      <x:c r="C173" s="59"/>
      <x:c r="D173" s="59"/>
      <x:c r="E173" s="59"/>
      <x:c r="F173" s="59"/>
      <x:c r="G173" s="59"/>
      <x:c r="H173" s="59"/>
      <x:c r="I173" s="59"/>
      <x:c r="J173" s="59"/>
      <x:c r="K173" s="59"/>
      <x:c r="L173" s="59"/>
      <x:c r="M173" s="59"/>
      <x:c r="N173" s="59"/>
      <x:c r="O173" s="59"/>
      <x:c r="P173" s="59"/>
      <x:c r="Q173" s="59"/>
      <x:c r="R173" s="59"/>
      <x:c r="S173" s="59"/>
      <x:c r="T173" s="59"/>
      <x:c r="U173" s="59"/>
      <x:c r="V173" s="59"/>
      <x:c r="W173" s="59"/>
      <x:c r="X173" s="59"/>
      <x:c r="Y173" s="59"/>
      <x:c r="Z173" s="59"/>
      <x:c r="AA173" s="59"/>
      <x:c r="AB173" s="59"/>
      <x:c r="AC173" s="59"/>
      <x:c r="AD173" s="59"/>
      <x:c r="AE173" s="59"/>
      <x:c r="AF173" s="59"/>
      <x:c r="AG173" s="59"/>
      <x:c r="AH173" s="59"/>
      <x:c r="AI173" s="59"/>
      <x:c r="AJ173" s="59"/>
      <x:c r="AK173" s="59"/>
      <x:c r="AL173" s="59"/>
      <x:c r="AM173" s="59"/>
      <x:c r="AN173" s="59"/>
    </x:row>
    <x:row r="174">
      <x:c r="A174" s="59"/>
      <x:c r="B174" s="59"/>
      <x:c r="C174" s="59"/>
      <x:c r="D174" s="59"/>
      <x:c r="E174" s="59"/>
      <x:c r="F174" s="59"/>
      <x:c r="G174" s="59"/>
      <x:c r="H174" s="59"/>
      <x:c r="I174" s="59"/>
      <x:c r="J174" s="59"/>
      <x:c r="K174" s="59"/>
      <x:c r="L174" s="59"/>
      <x:c r="M174" s="59"/>
      <x:c r="N174" s="59"/>
      <x:c r="O174" s="59"/>
      <x:c r="P174" s="59"/>
      <x:c r="Q174" s="59"/>
      <x:c r="R174" s="59"/>
      <x:c r="S174" s="59"/>
      <x:c r="T174" s="59"/>
      <x:c r="U174" s="59"/>
      <x:c r="V174" s="59"/>
      <x:c r="W174" s="59"/>
      <x:c r="X174" s="59"/>
      <x:c r="Y174" s="59"/>
      <x:c r="Z174" s="59"/>
      <x:c r="AA174" s="59"/>
      <x:c r="AB174" s="59"/>
      <x:c r="AC174" s="59"/>
      <x:c r="AD174" s="59"/>
      <x:c r="AE174" s="59"/>
      <x:c r="AF174" s="59"/>
      <x:c r="AG174" s="59"/>
      <x:c r="AH174" s="59"/>
      <x:c r="AI174" s="59"/>
      <x:c r="AJ174" s="59"/>
      <x:c r="AK174" s="59"/>
      <x:c r="AL174" s="59"/>
      <x:c r="AM174" s="59"/>
      <x:c r="AN174" s="59"/>
    </x:row>
    <x:row r="175">
      <x:c r="A175" s="59"/>
      <x:c r="B175" s="59"/>
      <x:c r="C175" s="59"/>
      <x:c r="D175" s="59"/>
      <x:c r="E175" s="59"/>
      <x:c r="F175" s="59"/>
      <x:c r="G175" s="59"/>
      <x:c r="H175" s="59"/>
      <x:c r="I175" s="59"/>
      <x:c r="J175" s="59"/>
      <x:c r="K175" s="59"/>
      <x:c r="L175" s="59"/>
      <x:c r="M175" s="59"/>
      <x:c r="N175" s="59"/>
      <x:c r="O175" s="59"/>
      <x:c r="P175" s="59"/>
      <x:c r="Q175" s="59"/>
      <x:c r="R175" s="59"/>
      <x:c r="S175" s="59"/>
      <x:c r="T175" s="59"/>
      <x:c r="U175" s="59"/>
      <x:c r="V175" s="59"/>
      <x:c r="W175" s="59"/>
      <x:c r="X175" s="59"/>
      <x:c r="Y175" s="59"/>
      <x:c r="Z175" s="59"/>
      <x:c r="AA175" s="59"/>
      <x:c r="AB175" s="59"/>
      <x:c r="AC175" s="59"/>
      <x:c r="AD175" s="59"/>
      <x:c r="AE175" s="59"/>
      <x:c r="AF175" s="59"/>
      <x:c r="AG175" s="59"/>
      <x:c r="AH175" s="59"/>
      <x:c r="AI175" s="59"/>
      <x:c r="AJ175" s="59"/>
      <x:c r="AK175" s="59"/>
      <x:c r="AL175" s="59"/>
      <x:c r="AM175" s="59"/>
      <x:c r="AN175" s="59"/>
    </x:row>
    <x:row r="176">
      <x:c r="A176" s="59"/>
      <x:c r="B176" s="59"/>
      <x:c r="C176" s="59"/>
      <x:c r="D176" s="59"/>
      <x:c r="E176" s="59"/>
      <x:c r="F176" s="59"/>
      <x:c r="G176" s="59"/>
      <x:c r="H176" s="59"/>
      <x:c r="I176" s="59"/>
      <x:c r="J176" s="59"/>
      <x:c r="K176" s="59"/>
      <x:c r="L176" s="59"/>
      <x:c r="M176" s="59"/>
      <x:c r="N176" s="59"/>
      <x:c r="O176" s="59"/>
      <x:c r="P176" s="59"/>
      <x:c r="Q176" s="59"/>
      <x:c r="R176" s="59"/>
      <x:c r="S176" s="59"/>
      <x:c r="T176" s="59"/>
      <x:c r="U176" s="59"/>
      <x:c r="V176" s="59"/>
      <x:c r="W176" s="59"/>
      <x:c r="X176" s="59"/>
      <x:c r="Y176" s="59"/>
      <x:c r="Z176" s="59"/>
      <x:c r="AA176" s="59"/>
      <x:c r="AB176" s="59"/>
      <x:c r="AC176" s="59"/>
      <x:c r="AD176" s="59"/>
      <x:c r="AE176" s="59"/>
      <x:c r="AF176" s="59"/>
      <x:c r="AG176" s="59"/>
      <x:c r="AH176" s="59"/>
      <x:c r="AI176" s="59"/>
      <x:c r="AJ176" s="59"/>
      <x:c r="AK176" s="59"/>
      <x:c r="AL176" s="59"/>
      <x:c r="AM176" s="59"/>
      <x:c r="AN176" s="59"/>
    </x:row>
    <x:row r="177">
      <x:c r="A177" s="59"/>
      <x:c r="B177" s="59"/>
      <x:c r="C177" s="59"/>
      <x:c r="D177" s="59"/>
      <x:c r="E177" s="59"/>
      <x:c r="F177" s="59"/>
      <x:c r="G177" s="59"/>
      <x:c r="H177" s="59"/>
      <x:c r="I177" s="59"/>
      <x:c r="J177" s="59"/>
      <x:c r="K177" s="59"/>
      <x:c r="L177" s="59"/>
      <x:c r="M177" s="59"/>
      <x:c r="N177" s="59"/>
      <x:c r="O177" s="59"/>
      <x:c r="P177" s="59"/>
      <x:c r="Q177" s="59"/>
      <x:c r="R177" s="59"/>
      <x:c r="S177" s="59"/>
      <x:c r="T177" s="59"/>
      <x:c r="U177" s="59"/>
      <x:c r="V177" s="59"/>
      <x:c r="W177" s="59"/>
      <x:c r="X177" s="59"/>
      <x:c r="Y177" s="59"/>
      <x:c r="Z177" s="59"/>
      <x:c r="AA177" s="59"/>
      <x:c r="AB177" s="59"/>
      <x:c r="AC177" s="59"/>
      <x:c r="AD177" s="59"/>
      <x:c r="AE177" s="59"/>
      <x:c r="AF177" s="59"/>
      <x:c r="AG177" s="59"/>
      <x:c r="AH177" s="59"/>
      <x:c r="AI177" s="59"/>
      <x:c r="AJ177" s="59"/>
      <x:c r="AK177" s="59"/>
      <x:c r="AL177" s="59"/>
      <x:c r="AM177" s="59"/>
      <x:c r="AN177" s="59"/>
    </x:row>
    <x:row r="178">
      <x:c r="A178" s="59"/>
      <x:c r="B178" s="59"/>
      <x:c r="C178" s="59"/>
      <x:c r="D178" s="59"/>
      <x:c r="E178" s="59"/>
      <x:c r="F178" s="59"/>
      <x:c r="G178" s="59"/>
      <x:c r="H178" s="59"/>
      <x:c r="I178" s="59"/>
      <x:c r="J178" s="59"/>
      <x:c r="K178" s="59"/>
      <x:c r="L178" s="59"/>
      <x:c r="M178" s="59"/>
      <x:c r="N178" s="59"/>
      <x:c r="O178" s="59"/>
      <x:c r="P178" s="59"/>
      <x:c r="Q178" s="59"/>
      <x:c r="R178" s="59"/>
      <x:c r="S178" s="59"/>
      <x:c r="T178" s="59"/>
      <x:c r="U178" s="59"/>
      <x:c r="V178" s="59"/>
      <x:c r="W178" s="59"/>
      <x:c r="X178" s="59"/>
      <x:c r="Y178" s="59"/>
      <x:c r="Z178" s="59"/>
      <x:c r="AA178" s="59"/>
      <x:c r="AB178" s="59"/>
      <x:c r="AC178" s="59"/>
      <x:c r="AD178" s="59"/>
      <x:c r="AE178" s="59"/>
      <x:c r="AF178" s="59"/>
      <x:c r="AG178" s="59"/>
      <x:c r="AH178" s="59"/>
      <x:c r="AI178" s="59"/>
      <x:c r="AJ178" s="59"/>
      <x:c r="AK178" s="59"/>
      <x:c r="AL178" s="59"/>
      <x:c r="AM178" s="59"/>
      <x:c r="AN178" s="59"/>
    </x:row>
    <x:row r="179">
      <x:c r="A179" s="59"/>
      <x:c r="B179" s="59"/>
      <x:c r="C179" s="59"/>
      <x:c r="D179" s="59"/>
      <x:c r="E179" s="59"/>
      <x:c r="F179" s="59"/>
      <x:c r="G179" s="59"/>
      <x:c r="H179" s="59"/>
      <x:c r="I179" s="59"/>
      <x:c r="J179" s="59"/>
      <x:c r="K179" s="59"/>
      <x:c r="L179" s="59"/>
      <x:c r="M179" s="59"/>
      <x:c r="N179" s="59"/>
      <x:c r="O179" s="59"/>
      <x:c r="P179" s="59"/>
      <x:c r="Q179" s="59"/>
      <x:c r="R179" s="59"/>
      <x:c r="S179" s="59"/>
      <x:c r="T179" s="59"/>
      <x:c r="U179" s="59"/>
      <x:c r="V179" s="59"/>
      <x:c r="W179" s="59"/>
      <x:c r="X179" s="59"/>
      <x:c r="Y179" s="59"/>
      <x:c r="Z179" s="59"/>
      <x:c r="AA179" s="59"/>
      <x:c r="AB179" s="59"/>
      <x:c r="AC179" s="59"/>
      <x:c r="AD179" s="59"/>
      <x:c r="AE179" s="59"/>
      <x:c r="AF179" s="59"/>
      <x:c r="AG179" s="59"/>
      <x:c r="AH179" s="59"/>
      <x:c r="AI179" s="59"/>
      <x:c r="AJ179" s="59"/>
      <x:c r="AK179" s="59"/>
      <x:c r="AL179" s="59"/>
      <x:c r="AM179" s="59"/>
      <x:c r="AN179" s="59"/>
    </x:row>
    <x:row r="180">
      <x:c r="A180" s="59"/>
      <x:c r="B180" s="59"/>
      <x:c r="C180" s="59"/>
      <x:c r="D180" s="59"/>
      <x:c r="E180" s="59"/>
      <x:c r="F180" s="59"/>
      <x:c r="G180" s="59"/>
      <x:c r="H180" s="59"/>
      <x:c r="I180" s="59"/>
      <x:c r="J180" s="59"/>
      <x:c r="K180" s="59"/>
      <x:c r="L180" s="59"/>
      <x:c r="M180" s="59"/>
      <x:c r="N180" s="59"/>
      <x:c r="O180" s="59"/>
      <x:c r="P180" s="59"/>
      <x:c r="Q180" s="59"/>
      <x:c r="R180" s="59"/>
      <x:c r="S180" s="59"/>
      <x:c r="T180" s="59"/>
      <x:c r="U180" s="59"/>
      <x:c r="V180" s="59"/>
      <x:c r="W180" s="59"/>
      <x:c r="X180" s="59"/>
      <x:c r="Y180" s="59"/>
      <x:c r="Z180" s="59"/>
      <x:c r="AA180" s="59"/>
      <x:c r="AB180" s="59"/>
      <x:c r="AC180" s="59"/>
      <x:c r="AD180" s="59"/>
      <x:c r="AE180" s="59"/>
      <x:c r="AF180" s="59"/>
      <x:c r="AG180" s="59"/>
      <x:c r="AH180" s="59"/>
      <x:c r="AI180" s="59"/>
      <x:c r="AJ180" s="59"/>
      <x:c r="AK180" s="59"/>
      <x:c r="AL180" s="59"/>
      <x:c r="AM180" s="59"/>
      <x:c r="AN180" s="59"/>
    </x:row>
    <x:row r="181">
      <x:c r="A181" s="59"/>
      <x:c r="B181" s="59"/>
      <x:c r="C181" s="59"/>
      <x:c r="D181" s="59"/>
      <x:c r="E181" s="59"/>
      <x:c r="F181" s="59"/>
      <x:c r="G181" s="59"/>
      <x:c r="H181" s="59"/>
      <x:c r="I181" s="59"/>
      <x:c r="J181" s="59"/>
      <x:c r="K181" s="59"/>
      <x:c r="L181" s="59"/>
      <x:c r="M181" s="59"/>
      <x:c r="N181" s="59"/>
      <x:c r="O181" s="59"/>
      <x:c r="P181" s="59"/>
      <x:c r="Q181" s="59"/>
      <x:c r="R181" s="59"/>
      <x:c r="S181" s="59"/>
      <x:c r="T181" s="59"/>
      <x:c r="U181" s="59"/>
      <x:c r="V181" s="59"/>
      <x:c r="W181" s="59"/>
      <x:c r="X181" s="59"/>
      <x:c r="Y181" s="59"/>
      <x:c r="Z181" s="59"/>
      <x:c r="AA181" s="59"/>
      <x:c r="AB181" s="59"/>
      <x:c r="AC181" s="59"/>
      <x:c r="AD181" s="59"/>
      <x:c r="AE181" s="59"/>
      <x:c r="AF181" s="59"/>
      <x:c r="AG181" s="59"/>
      <x:c r="AH181" s="59"/>
      <x:c r="AI181" s="59"/>
      <x:c r="AJ181" s="59"/>
      <x:c r="AK181" s="59"/>
      <x:c r="AL181" s="59"/>
      <x:c r="AM181" s="59"/>
      <x:c r="AN181" s="59"/>
    </x:row>
    <x:row r="182">
      <x:c r="A182" s="59"/>
      <x:c r="B182" s="59"/>
      <x:c r="C182" s="59"/>
      <x:c r="D182" s="59"/>
      <x:c r="E182" s="59"/>
      <x:c r="F182" s="59"/>
      <x:c r="G182" s="59"/>
      <x:c r="H182" s="59"/>
      <x:c r="I182" s="59"/>
      <x:c r="J182" s="59"/>
      <x:c r="K182" s="59"/>
      <x:c r="L182" s="59"/>
      <x:c r="M182" s="59"/>
      <x:c r="N182" s="59"/>
      <x:c r="O182" s="59"/>
      <x:c r="P182" s="59"/>
      <x:c r="Q182" s="59"/>
      <x:c r="R182" s="59"/>
      <x:c r="S182" s="59"/>
      <x:c r="T182" s="59"/>
      <x:c r="U182" s="59"/>
      <x:c r="V182" s="59"/>
      <x:c r="W182" s="59"/>
      <x:c r="X182" s="59"/>
      <x:c r="Y182" s="59"/>
      <x:c r="Z182" s="59"/>
      <x:c r="AA182" s="59"/>
      <x:c r="AB182" s="59"/>
      <x:c r="AC182" s="59"/>
      <x:c r="AD182" s="59"/>
      <x:c r="AE182" s="59"/>
      <x:c r="AF182" s="59"/>
      <x:c r="AG182" s="59"/>
      <x:c r="AH182" s="59"/>
      <x:c r="AI182" s="59"/>
      <x:c r="AJ182" s="59"/>
      <x:c r="AK182" s="59"/>
      <x:c r="AL182" s="59"/>
      <x:c r="AM182" s="59"/>
      <x:c r="AN182" s="59"/>
    </x:row>
    <x:row r="183">
      <x:c r="A183" s="59"/>
      <x:c r="B183" s="59"/>
      <x:c r="C183" s="59"/>
      <x:c r="D183" s="59"/>
      <x:c r="E183" s="59"/>
      <x:c r="F183" s="59"/>
      <x:c r="G183" s="59"/>
      <x:c r="H183" s="59"/>
      <x:c r="I183" s="59"/>
      <x:c r="J183" s="59"/>
      <x:c r="K183" s="59"/>
      <x:c r="L183" s="59"/>
      <x:c r="M183" s="59"/>
      <x:c r="N183" s="59"/>
      <x:c r="O183" s="59"/>
      <x:c r="P183" s="59"/>
      <x:c r="Q183" s="59"/>
      <x:c r="R183" s="59"/>
      <x:c r="S183" s="59"/>
      <x:c r="T183" s="59"/>
      <x:c r="U183" s="59"/>
      <x:c r="V183" s="59"/>
      <x:c r="W183" s="59"/>
      <x:c r="X183" s="59"/>
      <x:c r="Y183" s="59"/>
      <x:c r="Z183" s="59"/>
      <x:c r="AA183" s="59"/>
      <x:c r="AB183" s="59"/>
      <x:c r="AC183" s="59"/>
      <x:c r="AD183" s="59"/>
      <x:c r="AE183" s="59"/>
      <x:c r="AF183" s="59"/>
      <x:c r="AG183" s="59"/>
      <x:c r="AH183" s="59"/>
      <x:c r="AI183" s="59"/>
      <x:c r="AJ183" s="59"/>
      <x:c r="AK183" s="59"/>
      <x:c r="AL183" s="59"/>
      <x:c r="AM183" s="59"/>
      <x:c r="AN183" s="59"/>
    </x:row>
    <x:row r="184">
      <x:c r="A184" s="59"/>
      <x:c r="B184" s="59"/>
      <x:c r="C184" s="59"/>
      <x:c r="D184" s="59"/>
      <x:c r="E184" s="59"/>
      <x:c r="F184" s="59"/>
      <x:c r="G184" s="59"/>
      <x:c r="H184" s="59"/>
      <x:c r="I184" s="59"/>
      <x:c r="J184" s="59"/>
      <x:c r="K184" s="59"/>
      <x:c r="L184" s="59"/>
      <x:c r="M184" s="59"/>
      <x:c r="N184" s="59"/>
      <x:c r="O184" s="59"/>
      <x:c r="P184" s="59"/>
      <x:c r="Q184" s="59"/>
      <x:c r="R184" s="59"/>
      <x:c r="S184" s="59"/>
      <x:c r="T184" s="59"/>
      <x:c r="U184" s="59"/>
      <x:c r="V184" s="59"/>
      <x:c r="W184" s="59"/>
      <x:c r="X184" s="59"/>
      <x:c r="Y184" s="59"/>
      <x:c r="Z184" s="59"/>
      <x:c r="AA184" s="59"/>
      <x:c r="AB184" s="59"/>
      <x:c r="AC184" s="59"/>
      <x:c r="AD184" s="59"/>
      <x:c r="AE184" s="59"/>
      <x:c r="AF184" s="59"/>
      <x:c r="AG184" s="59"/>
      <x:c r="AH184" s="59"/>
      <x:c r="AI184" s="59"/>
      <x:c r="AJ184" s="59"/>
      <x:c r="AK184" s="59"/>
      <x:c r="AL184" s="59"/>
      <x:c r="AM184" s="59"/>
      <x:c r="AN184" s="59"/>
    </x:row>
    <x:row r="185">
      <x:c r="A185" s="59"/>
      <x:c r="B185" s="59"/>
      <x:c r="C185" s="59"/>
      <x:c r="D185" s="59"/>
      <x:c r="E185" s="59"/>
      <x:c r="F185" s="59"/>
      <x:c r="G185" s="59"/>
      <x:c r="H185" s="59"/>
      <x:c r="I185" s="59"/>
      <x:c r="J185" s="59"/>
      <x:c r="K185" s="59"/>
      <x:c r="L185" s="59"/>
      <x:c r="M185" s="59"/>
      <x:c r="N185" s="59"/>
      <x:c r="O185" s="59"/>
      <x:c r="P185" s="59"/>
      <x:c r="Q185" s="59"/>
      <x:c r="R185" s="59"/>
      <x:c r="S185" s="59"/>
      <x:c r="T185" s="59"/>
      <x:c r="U185" s="59"/>
      <x:c r="V185" s="59"/>
      <x:c r="W185" s="59"/>
      <x:c r="X185" s="59"/>
      <x:c r="Y185" s="59"/>
      <x:c r="Z185" s="59"/>
      <x:c r="AA185" s="59"/>
      <x:c r="AB185" s="59"/>
      <x:c r="AC185" s="59"/>
      <x:c r="AD185" s="59"/>
      <x:c r="AE185" s="59"/>
      <x:c r="AF185" s="59"/>
      <x:c r="AG185" s="59"/>
      <x:c r="AH185" s="59"/>
      <x:c r="AI185" s="59"/>
      <x:c r="AJ185" s="59"/>
      <x:c r="AK185" s="59"/>
      <x:c r="AL185" s="59"/>
      <x:c r="AM185" s="59"/>
      <x:c r="AN185" s="59"/>
    </x:row>
    <x:row r="186">
      <x:c r="A186" s="59"/>
      <x:c r="B186" s="59"/>
      <x:c r="C186" s="59"/>
      <x:c r="D186" s="59"/>
      <x:c r="E186" s="59"/>
      <x:c r="F186" s="59"/>
      <x:c r="G186" s="59"/>
      <x:c r="H186" s="59"/>
      <x:c r="I186" s="59"/>
      <x:c r="J186" s="59"/>
      <x:c r="K186" s="59"/>
      <x:c r="L186" s="59"/>
      <x:c r="M186" s="59"/>
      <x:c r="N186" s="59"/>
      <x:c r="O186" s="59"/>
      <x:c r="P186" s="59"/>
      <x:c r="Q186" s="59"/>
      <x:c r="R186" s="59"/>
      <x:c r="S186" s="59"/>
      <x:c r="T186" s="59"/>
      <x:c r="U186" s="59"/>
      <x:c r="V186" s="59"/>
      <x:c r="W186" s="59"/>
      <x:c r="X186" s="59"/>
      <x:c r="Y186" s="59"/>
      <x:c r="Z186" s="59"/>
      <x:c r="AA186" s="59"/>
      <x:c r="AB186" s="59"/>
      <x:c r="AC186" s="59"/>
      <x:c r="AD186" s="59"/>
      <x:c r="AE186" s="59"/>
      <x:c r="AF186" s="59"/>
      <x:c r="AG186" s="59"/>
      <x:c r="AH186" s="59"/>
      <x:c r="AI186" s="59"/>
      <x:c r="AJ186" s="59"/>
      <x:c r="AK186" s="59"/>
      <x:c r="AL186" s="59"/>
      <x:c r="AM186" s="59"/>
      <x:c r="AN186" s="59"/>
    </x:row>
    <x:row r="187">
      <x:c r="A187" s="59"/>
      <x:c r="B187" s="59"/>
      <x:c r="C187" s="59"/>
      <x:c r="D187" s="59"/>
      <x:c r="E187" s="59"/>
      <x:c r="F187" s="59"/>
      <x:c r="G187" s="59"/>
      <x:c r="H187" s="59"/>
      <x:c r="I187" s="59"/>
      <x:c r="J187" s="59"/>
      <x:c r="K187" s="59"/>
      <x:c r="L187" s="59"/>
      <x:c r="M187" s="59"/>
      <x:c r="N187" s="59"/>
      <x:c r="O187" s="59"/>
      <x:c r="P187" s="59"/>
      <x:c r="Q187" s="59"/>
      <x:c r="R187" s="59"/>
      <x:c r="S187" s="59"/>
      <x:c r="T187" s="59"/>
      <x:c r="U187" s="59"/>
      <x:c r="V187" s="59"/>
      <x:c r="W187" s="59"/>
      <x:c r="X187" s="59"/>
      <x:c r="Y187" s="59"/>
      <x:c r="Z187" s="59"/>
      <x:c r="AA187" s="59"/>
      <x:c r="AB187" s="59"/>
      <x:c r="AC187" s="59"/>
      <x:c r="AD187" s="59"/>
      <x:c r="AE187" s="59"/>
      <x:c r="AF187" s="59"/>
      <x:c r="AG187" s="59"/>
      <x:c r="AH187" s="59"/>
      <x:c r="AI187" s="59"/>
      <x:c r="AJ187" s="59"/>
      <x:c r="AK187" s="59"/>
      <x:c r="AL187" s="59"/>
      <x:c r="AM187" s="59"/>
      <x:c r="AN187" s="59"/>
    </x:row>
    <x:row r="188">
      <x:c r="A188" s="59"/>
      <x:c r="B188" s="59"/>
      <x:c r="C188" s="59"/>
      <x:c r="D188" s="59"/>
      <x:c r="E188" s="59"/>
      <x:c r="F188" s="59"/>
      <x:c r="G188" s="59"/>
      <x:c r="H188" s="59"/>
      <x:c r="I188" s="59"/>
      <x:c r="J188" s="59"/>
      <x:c r="K188" s="59"/>
      <x:c r="L188" s="59"/>
      <x:c r="M188" s="59"/>
      <x:c r="N188" s="59"/>
      <x:c r="O188" s="59"/>
      <x:c r="P188" s="59"/>
      <x:c r="Q188" s="59"/>
      <x:c r="R188" s="59"/>
      <x:c r="S188" s="59"/>
      <x:c r="T188" s="59"/>
      <x:c r="U188" s="59"/>
      <x:c r="V188" s="59"/>
      <x:c r="W188" s="59"/>
      <x:c r="X188" s="59"/>
      <x:c r="Y188" s="59"/>
      <x:c r="Z188" s="59"/>
      <x:c r="AA188" s="59"/>
      <x:c r="AB188" s="59"/>
      <x:c r="AC188" s="59"/>
      <x:c r="AD188" s="59"/>
      <x:c r="AE188" s="59"/>
      <x:c r="AF188" s="59"/>
      <x:c r="AG188" s="59"/>
      <x:c r="AH188" s="59"/>
      <x:c r="AI188" s="59"/>
      <x:c r="AJ188" s="59"/>
      <x:c r="AK188" s="59"/>
      <x:c r="AL188" s="59"/>
      <x:c r="AM188" s="59"/>
      <x:c r="AN188" s="59"/>
    </x:row>
    <x:row r="189">
      <x:c r="A189" s="59"/>
      <x:c r="B189" s="59"/>
      <x:c r="C189" s="59"/>
      <x:c r="D189" s="59"/>
      <x:c r="E189" s="59"/>
      <x:c r="F189" s="59"/>
      <x:c r="G189" s="59"/>
      <x:c r="H189" s="59"/>
      <x:c r="I189" s="59"/>
      <x:c r="J189" s="59"/>
      <x:c r="K189" s="59"/>
      <x:c r="L189" s="59"/>
      <x:c r="M189" s="59"/>
      <x:c r="N189" s="59"/>
      <x:c r="O189" s="59"/>
      <x:c r="P189" s="59"/>
      <x:c r="Q189" s="59"/>
      <x:c r="R189" s="59"/>
      <x:c r="S189" s="59"/>
      <x:c r="T189" s="59"/>
      <x:c r="U189" s="59"/>
      <x:c r="V189" s="59"/>
      <x:c r="W189" s="59"/>
      <x:c r="X189" s="59"/>
      <x:c r="Y189" s="59"/>
      <x:c r="Z189" s="59"/>
      <x:c r="AA189" s="59"/>
      <x:c r="AB189" s="59"/>
      <x:c r="AC189" s="59"/>
      <x:c r="AD189" s="59"/>
      <x:c r="AE189" s="59"/>
      <x:c r="AF189" s="59"/>
      <x:c r="AG189" s="59"/>
      <x:c r="AH189" s="59"/>
      <x:c r="AI189" s="59"/>
      <x:c r="AJ189" s="59"/>
      <x:c r="AK189" s="59"/>
      <x:c r="AL189" s="59"/>
      <x:c r="AM189" s="59"/>
      <x:c r="AN189" s="59"/>
    </x:row>
    <x:row r="190">
      <x:c r="A190" s="59"/>
      <x:c r="B190" s="59"/>
      <x:c r="C190" s="59"/>
      <x:c r="D190" s="59"/>
      <x:c r="E190" s="59"/>
      <x:c r="F190" s="59"/>
      <x:c r="G190" s="59"/>
      <x:c r="H190" s="59"/>
      <x:c r="I190" s="59"/>
      <x:c r="J190" s="59"/>
      <x:c r="K190" s="59"/>
      <x:c r="L190" s="59"/>
      <x:c r="M190" s="59"/>
      <x:c r="N190" s="59"/>
      <x:c r="O190" s="59"/>
      <x:c r="P190" s="59"/>
      <x:c r="Q190" s="59"/>
      <x:c r="R190" s="59"/>
      <x:c r="S190" s="59"/>
      <x:c r="T190" s="59"/>
      <x:c r="U190" s="59"/>
      <x:c r="V190" s="59"/>
      <x:c r="W190" s="59"/>
      <x:c r="X190" s="59"/>
      <x:c r="Y190" s="59"/>
      <x:c r="Z190" s="59"/>
      <x:c r="AA190" s="59"/>
      <x:c r="AB190" s="59"/>
      <x:c r="AC190" s="59"/>
      <x:c r="AD190" s="59"/>
      <x:c r="AE190" s="59"/>
      <x:c r="AF190" s="59"/>
      <x:c r="AG190" s="59"/>
      <x:c r="AH190" s="59"/>
      <x:c r="AI190" s="59"/>
      <x:c r="AJ190" s="59"/>
      <x:c r="AK190" s="59"/>
      <x:c r="AL190" s="59"/>
      <x:c r="AM190" s="59"/>
      <x:c r="AN190" s="59"/>
    </x:row>
    <x:row r="191">
      <x:c r="A191" s="59"/>
      <x:c r="B191" s="59"/>
      <x:c r="C191" s="59"/>
      <x:c r="D191" s="59"/>
      <x:c r="E191" s="59"/>
      <x:c r="F191" s="59"/>
      <x:c r="G191" s="59"/>
      <x:c r="H191" s="59"/>
      <x:c r="I191" s="59"/>
      <x:c r="J191" s="59"/>
      <x:c r="K191" s="59"/>
      <x:c r="L191" s="59"/>
      <x:c r="M191" s="59"/>
      <x:c r="N191" s="59"/>
      <x:c r="O191" s="59"/>
      <x:c r="P191" s="59"/>
      <x:c r="Q191" s="59"/>
      <x:c r="R191" s="59"/>
      <x:c r="S191" s="59"/>
      <x:c r="T191" s="59"/>
      <x:c r="U191" s="59"/>
      <x:c r="V191" s="59"/>
      <x:c r="W191" s="59"/>
      <x:c r="X191" s="59"/>
      <x:c r="Y191" s="59"/>
      <x:c r="Z191" s="59"/>
      <x:c r="AA191" s="59"/>
      <x:c r="AB191" s="59"/>
      <x:c r="AC191" s="59"/>
      <x:c r="AD191" s="59"/>
      <x:c r="AE191" s="59"/>
      <x:c r="AF191" s="59"/>
      <x:c r="AG191" s="59"/>
      <x:c r="AH191" s="59"/>
      <x:c r="AI191" s="59"/>
      <x:c r="AJ191" s="59"/>
      <x:c r="AK191" s="59"/>
      <x:c r="AL191" s="59"/>
      <x:c r="AM191" s="59"/>
      <x:c r="AN191" s="59"/>
    </x:row>
    <x:row r="192">
      <x:c r="A192" s="59"/>
      <x:c r="B192" s="59"/>
      <x:c r="C192" s="59"/>
      <x:c r="D192" s="59"/>
      <x:c r="E192" s="59"/>
      <x:c r="F192" s="59"/>
      <x:c r="G192" s="59"/>
      <x:c r="H192" s="59"/>
      <x:c r="I192" s="59"/>
      <x:c r="J192" s="59"/>
      <x:c r="K192" s="59"/>
      <x:c r="L192" s="59"/>
      <x:c r="M192" s="59"/>
      <x:c r="N192" s="59"/>
      <x:c r="O192" s="59"/>
      <x:c r="P192" s="59"/>
      <x:c r="Q192" s="59"/>
      <x:c r="R192" s="59"/>
      <x:c r="S192" s="59"/>
      <x:c r="T192" s="59"/>
      <x:c r="U192" s="59"/>
      <x:c r="V192" s="59"/>
      <x:c r="W192" s="59"/>
      <x:c r="X192" s="59"/>
      <x:c r="Y192" s="59"/>
      <x:c r="Z192" s="59"/>
      <x:c r="AA192" s="59"/>
      <x:c r="AB192" s="59"/>
      <x:c r="AC192" s="59"/>
      <x:c r="AD192" s="59"/>
      <x:c r="AE192" s="59"/>
      <x:c r="AF192" s="59"/>
      <x:c r="AG192" s="59"/>
      <x:c r="AH192" s="59"/>
      <x:c r="AI192" s="59"/>
      <x:c r="AJ192" s="59"/>
      <x:c r="AK192" s="59"/>
      <x:c r="AL192" s="59"/>
      <x:c r="AM192" s="59"/>
      <x:c r="AN192" s="59"/>
    </x:row>
    <x:row r="193">
      <x:c r="A193" s="59"/>
      <x:c r="B193" s="59"/>
      <x:c r="C193" s="59"/>
      <x:c r="D193" s="59"/>
      <x:c r="E193" s="59"/>
      <x:c r="F193" s="59"/>
      <x:c r="G193" s="59"/>
      <x:c r="H193" s="59"/>
      <x:c r="I193" s="59"/>
      <x:c r="J193" s="59"/>
      <x:c r="K193" s="59"/>
      <x:c r="L193" s="59"/>
      <x:c r="M193" s="59"/>
      <x:c r="N193" s="59"/>
      <x:c r="O193" s="59"/>
      <x:c r="P193" s="59"/>
      <x:c r="Q193" s="59"/>
      <x:c r="R193" s="59"/>
      <x:c r="S193" s="59"/>
      <x:c r="T193" s="59"/>
      <x:c r="U193" s="59"/>
      <x:c r="V193" s="59"/>
      <x:c r="W193" s="59"/>
      <x:c r="X193" s="59"/>
      <x:c r="Y193" s="59"/>
      <x:c r="Z193" s="59"/>
      <x:c r="AA193" s="59"/>
      <x:c r="AB193" s="59"/>
      <x:c r="AC193" s="59"/>
      <x:c r="AD193" s="59"/>
      <x:c r="AE193" s="59"/>
      <x:c r="AF193" s="59"/>
      <x:c r="AG193" s="59"/>
      <x:c r="AH193" s="59"/>
      <x:c r="AI193" s="59"/>
      <x:c r="AJ193" s="59"/>
      <x:c r="AK193" s="59"/>
      <x:c r="AL193" s="59"/>
      <x:c r="AM193" s="59"/>
      <x:c r="AN193" s="59"/>
    </x:row>
    <x:row r="194">
      <x:c r="A194" s="59"/>
      <x:c r="B194" s="59"/>
      <x:c r="C194" s="59"/>
      <x:c r="D194" s="59"/>
      <x:c r="E194" s="59"/>
      <x:c r="F194" s="59"/>
      <x:c r="G194" s="59"/>
      <x:c r="H194" s="59"/>
      <x:c r="I194" s="59"/>
      <x:c r="J194" s="59"/>
      <x:c r="K194" s="59"/>
      <x:c r="L194" s="59"/>
      <x:c r="M194" s="59"/>
      <x:c r="N194" s="59"/>
      <x:c r="O194" s="59"/>
      <x:c r="P194" s="59"/>
      <x:c r="Q194" s="59"/>
      <x:c r="R194" s="59"/>
      <x:c r="S194" s="59"/>
      <x:c r="T194" s="59"/>
      <x:c r="U194" s="59"/>
      <x:c r="V194" s="59"/>
      <x:c r="W194" s="59"/>
      <x:c r="X194" s="59"/>
      <x:c r="Y194" s="59"/>
      <x:c r="Z194" s="59"/>
      <x:c r="AA194" s="59"/>
      <x:c r="AB194" s="59"/>
      <x:c r="AC194" s="59"/>
      <x:c r="AD194" s="59"/>
      <x:c r="AE194" s="59"/>
      <x:c r="AF194" s="59"/>
      <x:c r="AG194" s="59"/>
      <x:c r="AH194" s="59"/>
      <x:c r="AI194" s="59"/>
      <x:c r="AJ194" s="59"/>
      <x:c r="AK194" s="59"/>
      <x:c r="AL194" s="59"/>
      <x:c r="AM194" s="59"/>
      <x:c r="AN194" s="59"/>
    </x:row>
    <x:row r="195">
      <x:c r="A195" s="59"/>
      <x:c r="B195" s="59"/>
      <x:c r="C195" s="59"/>
      <x:c r="D195" s="59"/>
      <x:c r="E195" s="59"/>
      <x:c r="F195" s="59"/>
      <x:c r="G195" s="59"/>
      <x:c r="H195" s="59"/>
      <x:c r="I195" s="59"/>
      <x:c r="J195" s="59"/>
      <x:c r="K195" s="59"/>
      <x:c r="L195" s="59"/>
      <x:c r="M195" s="59"/>
      <x:c r="N195" s="59"/>
      <x:c r="O195" s="59"/>
      <x:c r="P195" s="59"/>
      <x:c r="Q195" s="59"/>
      <x:c r="R195" s="59"/>
      <x:c r="S195" s="59"/>
      <x:c r="T195" s="59"/>
      <x:c r="U195" s="59"/>
      <x:c r="V195" s="59"/>
      <x:c r="W195" s="59"/>
      <x:c r="X195" s="59"/>
      <x:c r="Y195" s="59"/>
      <x:c r="Z195" s="59"/>
      <x:c r="AA195" s="59"/>
      <x:c r="AB195" s="59"/>
      <x:c r="AC195" s="59"/>
      <x:c r="AD195" s="59"/>
      <x:c r="AE195" s="59"/>
      <x:c r="AF195" s="59"/>
      <x:c r="AG195" s="59"/>
      <x:c r="AH195" s="59"/>
      <x:c r="AI195" s="59"/>
      <x:c r="AJ195" s="59"/>
      <x:c r="AK195" s="59"/>
      <x:c r="AL195" s="59"/>
      <x:c r="AM195" s="59"/>
      <x:c r="AN195" s="59"/>
    </x:row>
    <x:row r="196">
      <x:c r="A196" s="59"/>
      <x:c r="B196" s="59"/>
      <x:c r="C196" s="59"/>
      <x:c r="D196" s="59"/>
      <x:c r="E196" s="59"/>
      <x:c r="F196" s="59"/>
      <x:c r="G196" s="59"/>
      <x:c r="H196" s="59"/>
      <x:c r="I196" s="59"/>
      <x:c r="J196" s="59"/>
      <x:c r="K196" s="59"/>
      <x:c r="L196" s="59"/>
      <x:c r="M196" s="59"/>
      <x:c r="N196" s="59"/>
      <x:c r="O196" s="59"/>
      <x:c r="P196" s="59"/>
      <x:c r="Q196" s="59"/>
      <x:c r="R196" s="59"/>
      <x:c r="S196" s="59"/>
      <x:c r="T196" s="59"/>
      <x:c r="U196" s="59"/>
      <x:c r="V196" s="59"/>
      <x:c r="W196" s="59"/>
      <x:c r="X196" s="59"/>
      <x:c r="Y196" s="59"/>
      <x:c r="Z196" s="59"/>
      <x:c r="AA196" s="59"/>
      <x:c r="AB196" s="59"/>
      <x:c r="AC196" s="59"/>
      <x:c r="AD196" s="59"/>
      <x:c r="AE196" s="59"/>
      <x:c r="AF196" s="59"/>
      <x:c r="AG196" s="59"/>
      <x:c r="AH196" s="59"/>
      <x:c r="AI196" s="59"/>
      <x:c r="AJ196" s="59"/>
      <x:c r="AK196" s="59"/>
      <x:c r="AL196" s="59"/>
      <x:c r="AM196" s="59"/>
      <x:c r="AN196" s="59"/>
    </x:row>
    <x:row r="197">
      <x:c r="A197" s="59"/>
      <x:c r="B197" s="59"/>
      <x:c r="C197" s="59"/>
      <x:c r="D197" s="59"/>
      <x:c r="E197" s="59"/>
      <x:c r="F197" s="59"/>
      <x:c r="G197" s="59"/>
      <x:c r="H197" s="59"/>
      <x:c r="I197" s="59"/>
      <x:c r="J197" s="59"/>
      <x:c r="K197" s="59"/>
      <x:c r="L197" s="59"/>
      <x:c r="M197" s="59"/>
      <x:c r="N197" s="59"/>
      <x:c r="O197" s="59"/>
      <x:c r="P197" s="59"/>
      <x:c r="Q197" s="59"/>
      <x:c r="R197" s="59"/>
      <x:c r="S197" s="59"/>
      <x:c r="T197" s="59"/>
      <x:c r="U197" s="59"/>
      <x:c r="V197" s="59"/>
      <x:c r="W197" s="59"/>
      <x:c r="X197" s="59"/>
      <x:c r="Y197" s="59"/>
      <x:c r="Z197" s="59"/>
      <x:c r="AA197" s="59"/>
      <x:c r="AB197" s="59"/>
      <x:c r="AC197" s="59"/>
      <x:c r="AD197" s="59"/>
      <x:c r="AE197" s="59"/>
      <x:c r="AF197" s="59"/>
      <x:c r="AG197" s="59"/>
      <x:c r="AH197" s="59"/>
      <x:c r="AI197" s="59"/>
      <x:c r="AJ197" s="59"/>
      <x:c r="AK197" s="59"/>
      <x:c r="AL197" s="59"/>
      <x:c r="AM197" s="59"/>
      <x:c r="AN197" s="59"/>
    </x:row>
    <x:row r="198">
      <x:c r="A198" s="59"/>
      <x:c r="B198" s="59"/>
      <x:c r="C198" s="59"/>
      <x:c r="D198" s="59"/>
      <x:c r="E198" s="59"/>
      <x:c r="F198" s="59"/>
      <x:c r="G198" s="59"/>
      <x:c r="H198" s="59"/>
      <x:c r="I198" s="59"/>
      <x:c r="J198" s="59"/>
      <x:c r="K198" s="59"/>
      <x:c r="L198" s="59"/>
      <x:c r="M198" s="59"/>
      <x:c r="N198" s="59"/>
      <x:c r="O198" s="59"/>
      <x:c r="P198" s="59"/>
      <x:c r="Q198" s="59"/>
      <x:c r="R198" s="59"/>
      <x:c r="S198" s="59"/>
      <x:c r="T198" s="59"/>
      <x:c r="U198" s="59"/>
      <x:c r="V198" s="59"/>
      <x:c r="W198" s="59"/>
      <x:c r="X198" s="59"/>
      <x:c r="Y198" s="59"/>
      <x:c r="Z198" s="59"/>
      <x:c r="AA198" s="59"/>
      <x:c r="AB198" s="59"/>
      <x:c r="AC198" s="59"/>
      <x:c r="AD198" s="59"/>
      <x:c r="AE198" s="59"/>
      <x:c r="AF198" s="59"/>
      <x:c r="AG198" s="59"/>
      <x:c r="AH198" s="59"/>
      <x:c r="AI198" s="59"/>
      <x:c r="AJ198" s="59"/>
      <x:c r="AK198" s="59"/>
      <x:c r="AL198" s="59"/>
      <x:c r="AM198" s="59"/>
      <x:c r="AN198" s="59"/>
    </x:row>
    <x:row r="199">
      <x:c r="A199" s="59"/>
      <x:c r="B199" s="59"/>
      <x:c r="C199" s="59"/>
      <x:c r="D199" s="59"/>
      <x:c r="E199" s="59"/>
      <x:c r="F199" s="59"/>
      <x:c r="G199" s="59"/>
      <x:c r="H199" s="59"/>
      <x:c r="I199" s="59"/>
      <x:c r="J199" s="59"/>
      <x:c r="K199" s="59"/>
      <x:c r="L199" s="59"/>
      <x:c r="M199" s="59"/>
      <x:c r="N199" s="59"/>
      <x:c r="O199" s="59"/>
      <x:c r="P199" s="59"/>
      <x:c r="Q199" s="59"/>
      <x:c r="R199" s="59"/>
      <x:c r="S199" s="59"/>
      <x:c r="T199" s="59"/>
      <x:c r="U199" s="59"/>
      <x:c r="V199" s="59"/>
      <x:c r="W199" s="59"/>
      <x:c r="X199" s="59"/>
      <x:c r="Y199" s="59"/>
      <x:c r="Z199" s="59"/>
      <x:c r="AA199" s="59"/>
      <x:c r="AB199" s="59"/>
      <x:c r="AC199" s="59"/>
      <x:c r="AD199" s="59"/>
      <x:c r="AE199" s="59"/>
      <x:c r="AF199" s="59"/>
      <x:c r="AG199" s="59"/>
      <x:c r="AH199" s="59"/>
      <x:c r="AI199" s="59"/>
      <x:c r="AJ199" s="59"/>
      <x:c r="AK199" s="59"/>
      <x:c r="AL199" s="59"/>
      <x:c r="AM199" s="59"/>
      <x:c r="AN199" s="59"/>
    </x:row>
    <x:row r="200">
      <x:c r="A200" s="59"/>
      <x:c r="B200" s="59"/>
      <x:c r="C200" s="59"/>
      <x:c r="D200" s="59"/>
      <x:c r="E200" s="59"/>
      <x:c r="F200" s="59"/>
      <x:c r="G200" s="59"/>
      <x:c r="H200" s="59"/>
      <x:c r="I200" s="59"/>
      <x:c r="J200" s="59"/>
      <x:c r="K200" s="59"/>
      <x:c r="L200" s="59"/>
      <x:c r="M200" s="59"/>
      <x:c r="N200" s="59"/>
      <x:c r="O200" s="59"/>
      <x:c r="P200" s="59"/>
      <x:c r="Q200" s="59"/>
      <x:c r="R200" s="59"/>
      <x:c r="S200" s="59"/>
      <x:c r="T200" s="59"/>
      <x:c r="U200" s="59"/>
      <x:c r="V200" s="59"/>
      <x:c r="W200" s="59"/>
      <x:c r="X200" s="59"/>
      <x:c r="Y200" s="59"/>
      <x:c r="Z200" s="59"/>
      <x:c r="AA200" s="59"/>
      <x:c r="AB200" s="59"/>
      <x:c r="AC200" s="59"/>
      <x:c r="AD200" s="59"/>
      <x:c r="AE200" s="59"/>
      <x:c r="AF200" s="59"/>
      <x:c r="AG200" s="59"/>
      <x:c r="AH200" s="59"/>
      <x:c r="AI200" s="59"/>
      <x:c r="AJ200" s="59"/>
      <x:c r="AK200" s="59"/>
      <x:c r="AL200" s="59"/>
      <x:c r="AM200" s="59"/>
      <x:c r="AN200" s="59"/>
    </x:row>
  </x:sheetData>
  <x:pageMargins left="0.7" right="0.7" top="0.75" bottom="0.75" header="0.3" footer="0.3"/>
  <x:tableParts count="1">
    <x:tablePart xmlns:r="http://schemas.openxmlformats.org/officeDocument/2006/relationships" r:id="R7f3b7b85b11c4b2c"/>
  </x:tableParts>
</x:worksheet>
</file>

<file path=xl/worksheets/sheet5.xml><?xml version="1.0" encoding="utf-8"?>
<x:worksheet xmlns:x="http://schemas.openxmlformats.org/spreadsheetml/2006/main">
  <x:sheetFormatPr defaultRowHeight="15"/>
  <x:cols>
    <x:col min="1" max="1" width="10" hidden="0" customWidth="1"/>
    <x:col min="2" max="2" width="22" hidden="0" customWidth="1"/>
    <x:col min="3" max="3" width="45" hidden="0" customWidth="1"/>
    <x:col min="4" max="4" width="45" hidden="0" customWidth="1"/>
    <x:col min="5" max="5" width="45" hidden="0" customWidth="1"/>
  </x:cols>
  <x:sheetData>
    <x:row r="1">
      <x:c r="A1" s="56" t="str">
        <x:v>Score</x:v>
      </x:c>
      <x:c r="B1" s="56" t="str">
        <x:v>CSA-Aligned Level</x:v>
      </x:c>
      <x:c r="C1" s="56" t="str">
        <x:v>Operating Definition</x:v>
      </x:c>
      <x:c r="D1" s="56" t="str">
        <x:v>Evidence Expectations</x:v>
      </x:c>
      <x:c r="E1" s="56" t="str">
        <x:v>Assessment Interpretation</x:v>
      </x:c>
      <x:c r="F1" s="59"/>
      <x:c r="G1" s="59"/>
      <x:c r="H1" s="59"/>
      <x:c r="I1" s="59"/>
      <x:c r="J1" s="59"/>
      <x:c r="K1" s="59"/>
      <x:c r="L1" s="59"/>
      <x:c r="M1" s="59"/>
      <x:c r="N1" s="59"/>
      <x:c r="O1" s="59"/>
      <x:c r="P1" s="59"/>
      <x:c r="Q1" s="59"/>
      <x:c r="R1" s="59"/>
      <x:c r="S1" s="59"/>
      <x:c r="T1" s="59"/>
      <x:c r="U1" s="59"/>
      <x:c r="V1" s="59"/>
      <x:c r="W1" s="59"/>
      <x:c r="X1" s="59"/>
      <x:c r="Y1" s="59"/>
      <x:c r="Z1" s="59"/>
      <x:c r="AA1" s="59"/>
      <x:c r="AB1" s="59"/>
      <x:c r="AC1" s="59"/>
      <x:c r="AD1" s="59"/>
      <x:c r="AE1" s="59"/>
      <x:c r="AF1" s="59"/>
      <x:c r="AG1" s="59"/>
      <x:c r="AH1" s="59"/>
      <x:c r="AI1" s="59"/>
      <x:c r="AJ1" s="59"/>
      <x:c r="AK1" s="59"/>
      <x:c r="AL1" s="59"/>
      <x:c r="AM1" s="59"/>
      <x:c r="AN1" s="59"/>
    </x:row>
    <x:row r="2">
      <x:c r="A2" s="21" t="n">
        <x:v>0</x:v>
      </x:c>
      <x:c r="B2" s="21" t="str">
        <x:v>Not assessed / no evidence</x:v>
      </x:c>
      <x:c r="C2" s="21" t="str">
        <x:v>No assessment performed or no control evidence exists. This is not a CSA AISMM level; it is an assessor placeholder.</x:v>
      </x:c>
      <x:c r="D2" s="21" t="str">
        <x:v>No evidence, or evidence is stale/unavailable.</x:v>
      </x:c>
      <x:c r="E2" s="21" t="str">
        <x:v>Not compliant and not maturity-creditable.</x:v>
      </x:c>
      <x:c r="F2" s="59"/>
      <x:c r="G2" s="59"/>
      <x:c r="H2" s="59"/>
      <x:c r="I2" s="59"/>
      <x:c r="J2" s="59"/>
      <x:c r="K2" s="59"/>
      <x:c r="L2" s="59"/>
      <x:c r="M2" s="59"/>
      <x:c r="N2" s="59"/>
      <x:c r="O2" s="59"/>
      <x:c r="P2" s="59"/>
      <x:c r="Q2" s="59"/>
      <x:c r="R2" s="59"/>
      <x:c r="S2" s="59"/>
      <x:c r="T2" s="59"/>
      <x:c r="U2" s="59"/>
      <x:c r="V2" s="59"/>
      <x:c r="W2" s="59"/>
      <x:c r="X2" s="59"/>
      <x:c r="Y2" s="59"/>
      <x:c r="Z2" s="59"/>
      <x:c r="AA2" s="59"/>
      <x:c r="AB2" s="59"/>
      <x:c r="AC2" s="59"/>
      <x:c r="AD2" s="59"/>
      <x:c r="AE2" s="59"/>
      <x:c r="AF2" s="59"/>
      <x:c r="AG2" s="59"/>
      <x:c r="AH2" s="59"/>
      <x:c r="AI2" s="59"/>
      <x:c r="AJ2" s="59"/>
      <x:c r="AK2" s="59"/>
      <x:c r="AL2" s="59"/>
      <x:c r="AM2" s="59"/>
      <x:c r="AN2" s="59"/>
    </x:row>
    <x:row r="3">
      <x:c r="A3" s="21" t="n">
        <x:v>1</x:v>
      </x:c>
      <x:c r="B3" s="21" t="str">
        <x:v>Initial</x:v>
      </x:c>
      <x:c r="C3" s="21" t="str">
        <x:v>Initial. Ad-hoc AI adoption with no coordinated security management. AI usage is user and developer-driven with self-selected tools, configurations, and providers. Reliance on defaults from AI providers and integrated technologies. No AI-specific security visibility, tooling, or differentiation between AI and other application types.</x:v>
      </x:c>
      <x:c r="D3" s="21" t="str">
        <x:v>Informal or ad hoc evidence; inconsistent ownership; mostly user/team-selected practices.</x:v>
      </x:c>
      <x:c r="E3" s="21" t="str">
        <x:v>Starting posture; usually not sufficient for mapped compliance unless supported by stronger evidence.</x:v>
      </x:c>
      <x:c r="F3" s="59"/>
      <x:c r="G3" s="59"/>
      <x:c r="H3" s="59"/>
      <x:c r="I3" s="59"/>
      <x:c r="J3" s="59"/>
      <x:c r="K3" s="59"/>
      <x:c r="L3" s="59"/>
      <x:c r="M3" s="59"/>
      <x:c r="N3" s="59"/>
      <x:c r="O3" s="59"/>
      <x:c r="P3" s="59"/>
      <x:c r="Q3" s="59"/>
      <x:c r="R3" s="59"/>
      <x:c r="S3" s="59"/>
      <x:c r="T3" s="59"/>
      <x:c r="U3" s="59"/>
      <x:c r="V3" s="59"/>
      <x:c r="W3" s="59"/>
      <x:c r="X3" s="59"/>
      <x:c r="Y3" s="59"/>
      <x:c r="Z3" s="59"/>
      <x:c r="AA3" s="59"/>
      <x:c r="AB3" s="59"/>
      <x:c r="AC3" s="59"/>
      <x:c r="AD3" s="59"/>
      <x:c r="AE3" s="59"/>
      <x:c r="AF3" s="59"/>
      <x:c r="AG3" s="59"/>
      <x:c r="AH3" s="59"/>
      <x:c r="AI3" s="59"/>
      <x:c r="AJ3" s="59"/>
      <x:c r="AK3" s="59"/>
      <x:c r="AL3" s="59"/>
      <x:c r="AM3" s="59"/>
      <x:c r="AN3" s="59"/>
    </x:row>
    <x:row r="4">
      <x:c r="A4" s="21" t="n">
        <x:v>2</x:v>
      </x:c>
      <x:c r="B4" s="21" t="str">
        <x:v>Repeatable</x:v>
      </x:c>
      <x:c r="C4" s="21" t="str">
        <x:v>Repeatable. Initial AI security policies and guidance established. Major AI providers and platforms approved with basic security requirements. Security engaged for AI projects but not consistently across the organization. AI usage and components documented for major deployments. Basic customization of AI provider security settings. Variability remains between projects but core processes are followed where established.</x:v>
      </x:c>
      <x:c r="D4" s="21" t="str">
        <x:v>Approved basic policies or guidance; major providers/platforms approved; sample project evidence.</x:v>
      </x:c>
      <x:c r="E4" s="21" t="str">
        <x:v>Can meet CSA level-2 objectives where specified; often still partial for NIST/ISO unless operating evidence is validated.</x:v>
      </x:c>
      <x:c r="F4" s="59"/>
      <x:c r="G4" s="59"/>
      <x:c r="H4" s="59"/>
      <x:c r="I4" s="59"/>
      <x:c r="J4" s="59"/>
      <x:c r="K4" s="59"/>
      <x:c r="L4" s="59"/>
      <x:c r="M4" s="59"/>
      <x:c r="N4" s="59"/>
      <x:c r="O4" s="59"/>
      <x:c r="P4" s="59"/>
      <x:c r="Q4" s="59"/>
      <x:c r="R4" s="59"/>
      <x:c r="S4" s="59"/>
      <x:c r="T4" s="59"/>
      <x:c r="U4" s="59"/>
      <x:c r="V4" s="59"/>
      <x:c r="W4" s="59"/>
      <x:c r="X4" s="59"/>
      <x:c r="Y4" s="59"/>
      <x:c r="Z4" s="59"/>
      <x:c r="AA4" s="59"/>
      <x:c r="AB4" s="59"/>
      <x:c r="AC4" s="59"/>
      <x:c r="AD4" s="59"/>
      <x:c r="AE4" s="59"/>
      <x:c r="AF4" s="59"/>
      <x:c r="AG4" s="59"/>
      <x:c r="AH4" s="59"/>
      <x:c r="AI4" s="59"/>
      <x:c r="AJ4" s="59"/>
      <x:c r="AK4" s="59"/>
      <x:c r="AL4" s="59"/>
      <x:c r="AM4" s="59"/>
      <x:c r="AN4" s="59"/>
    </x:row>
    <x:row r="5">
      <x:c r="A5" s="21" t="n">
        <x:v>3</x:v>
      </x:c>
      <x:c r="B5" s="21" t="str">
        <x:v>Defined</x:v>
      </x:c>
      <x:c r="C5" s="21" t="str">
        <x:v>Defined. Formal AI governance structure in place (AI Council, Center of Excellence, or equivalent). Documented policies using industry frameworks (e.g., AICM, AI-CAIQ, ISO 42001). Enterprise-managed AI development tools deployed. Registries established for approved providers, models, and AI deployments. Security consistently engaged in AI project design and review. AI-specific playbooks, training, and procedures documented. Initial guardrails and input/output monitoring for high-risk deployments.</x:v>
      </x:c>
      <x:c r="D5" s="21" t="str">
        <x:v>Formal governance, registries, documented procedures, training, risk review, and initial guardrails for higher-risk deployments.</x:v>
      </x:c>
      <x:c r="E5" s="21" t="str">
        <x:v>Baseline management-system-ready posture for many controls when evidence is validated and testing passes.</x:v>
      </x:c>
      <x:c r="F5" s="59"/>
      <x:c r="G5" s="59"/>
      <x:c r="H5" s="59"/>
      <x:c r="I5" s="59"/>
      <x:c r="J5" s="59"/>
      <x:c r="K5" s="59"/>
      <x:c r="L5" s="59"/>
      <x:c r="M5" s="59"/>
      <x:c r="N5" s="59"/>
      <x:c r="O5" s="59"/>
      <x:c r="P5" s="59"/>
      <x:c r="Q5" s="59"/>
      <x:c r="R5" s="59"/>
      <x:c r="S5" s="59"/>
      <x:c r="T5" s="59"/>
      <x:c r="U5" s="59"/>
      <x:c r="V5" s="59"/>
      <x:c r="W5" s="59"/>
      <x:c r="X5" s="59"/>
      <x:c r="Y5" s="59"/>
      <x:c r="Z5" s="59"/>
      <x:c r="AA5" s="59"/>
      <x:c r="AB5" s="59"/>
      <x:c r="AC5" s="59"/>
      <x:c r="AD5" s="59"/>
      <x:c r="AE5" s="59"/>
      <x:c r="AF5" s="59"/>
      <x:c r="AG5" s="59"/>
      <x:c r="AH5" s="59"/>
      <x:c r="AI5" s="59"/>
      <x:c r="AJ5" s="59"/>
      <x:c r="AK5" s="59"/>
      <x:c r="AL5" s="59"/>
      <x:c r="AM5" s="59"/>
      <x:c r="AN5" s="59"/>
    </x:row>
    <x:row r="6">
      <x:c r="A6" s="21" t="n">
        <x:v>4</x:v>
      </x:c>
      <x:c r="B6" s="21" t="str">
        <x:v>Capable</x:v>
      </x:c>
      <x:c r="C6" s="21" t="str">
        <x:v>Capable. Centralized AI security management with consistent enforcement across deployments. AI-specific security tooling deployed (guardrails, AI-SPM, prompt security). Integration with enterprise security platforms (SIEM, SOAR, compliance tools). Automated discovery and tracking of AI services and components. Security testing integrated into AI development pipelines. Compliance and risk assessments partially automated. Initial AI supply chain management (AI-BOM).</x:v>
      </x:c>
      <x:c r="D6" s="21" t="str">
        <x:v>Consistent enforcement, centralized tooling, automated discovery, pipeline-integrated security testing, and metrics.</x:v>
      </x:c>
      <x:c r="E6" s="21" t="str">
        <x:v>Strong audit-ready posture with measurable control operation.</x:v>
      </x:c>
      <x:c r="F6" s="59"/>
      <x:c r="G6" s="59"/>
      <x:c r="H6" s="59"/>
      <x:c r="I6" s="59"/>
      <x:c r="J6" s="59"/>
      <x:c r="K6" s="59"/>
      <x:c r="L6" s="59"/>
      <x:c r="M6" s="59"/>
      <x:c r="N6" s="59"/>
      <x:c r="O6" s="59"/>
      <x:c r="P6" s="59"/>
      <x:c r="Q6" s="59"/>
      <x:c r="R6" s="59"/>
      <x:c r="S6" s="59"/>
      <x:c r="T6" s="59"/>
      <x:c r="U6" s="59"/>
      <x:c r="V6" s="59"/>
      <x:c r="W6" s="59"/>
      <x:c r="X6" s="59"/>
      <x:c r="Y6" s="59"/>
      <x:c r="Z6" s="59"/>
      <x:c r="AA6" s="59"/>
      <x:c r="AB6" s="59"/>
      <x:c r="AC6" s="59"/>
      <x:c r="AD6" s="59"/>
      <x:c r="AE6" s="59"/>
      <x:c r="AF6" s="59"/>
      <x:c r="AG6" s="59"/>
      <x:c r="AH6" s="59"/>
      <x:c r="AI6" s="59"/>
      <x:c r="AJ6" s="59"/>
      <x:c r="AK6" s="59"/>
      <x:c r="AL6" s="59"/>
      <x:c r="AM6" s="59"/>
      <x:c r="AN6" s="59"/>
    </x:row>
    <x:row r="7">
      <x:c r="A7" s="21" t="n">
        <x:v>5</x:v>
      </x:c>
      <x:c r="B7" s="21" t="str">
        <x:v>Efficient</x:v>
      </x:c>
      <x:c r="C7" s="21" t="str">
        <x:v>Efficient. Comprehensive automation across AI security domains with continuous monitoring. Runtime security with behavioral analysis for AI systems. Full visibility into AI deployments, models, agents, and components across the enterprise. Automated compliance reporting and evidence collection. Proactive detection of emerging threats including agentic AI attacks. AI security dashboards provide real-time risk visibility. Continuous refinement of controls based on threat intelligence and incident learnings.</x:v>
      </x:c>
      <x:c r="D7" s="21" t="str">
        <x:v>Continuous monitoring, automated evidence collection, runtime security, real-time dashboards, and closed-loop improvement.</x:v>
      </x:c>
      <x:c r="E7" s="21" t="str">
        <x:v>Advanced continuous-assurance posture.</x:v>
      </x:c>
      <x:c r="F7" s="59"/>
      <x:c r="G7" s="59"/>
      <x:c r="H7" s="59"/>
      <x:c r="I7" s="59"/>
      <x:c r="J7" s="59"/>
      <x:c r="K7" s="59"/>
      <x:c r="L7" s="59"/>
      <x:c r="M7" s="59"/>
      <x:c r="N7" s="59"/>
      <x:c r="O7" s="59"/>
      <x:c r="P7" s="59"/>
      <x:c r="Q7" s="59"/>
      <x:c r="R7" s="59"/>
      <x:c r="S7" s="59"/>
      <x:c r="T7" s="59"/>
      <x:c r="U7" s="59"/>
      <x:c r="V7" s="59"/>
      <x:c r="W7" s="59"/>
      <x:c r="X7" s="59"/>
      <x:c r="Y7" s="59"/>
      <x:c r="Z7" s="59"/>
      <x:c r="AA7" s="59"/>
      <x:c r="AB7" s="59"/>
      <x:c r="AC7" s="59"/>
      <x:c r="AD7" s="59"/>
      <x:c r="AE7" s="59"/>
      <x:c r="AF7" s="59"/>
      <x:c r="AG7" s="59"/>
      <x:c r="AH7" s="59"/>
      <x:c r="AI7" s="59"/>
      <x:c r="AJ7" s="59"/>
      <x:c r="AK7" s="59"/>
      <x:c r="AL7" s="59"/>
      <x:c r="AM7" s="59"/>
      <x:c r="AN7" s="59"/>
    </x:row>
    <x:row r="8">
      <x:c r="A8" s="59"/>
      <x:c r="B8" s="59"/>
      <x:c r="C8" s="59"/>
      <x:c r="D8" s="59"/>
      <x:c r="E8" s="59"/>
      <x:c r="F8" s="59"/>
      <x:c r="G8" s="59"/>
      <x:c r="H8" s="59"/>
      <x:c r="I8" s="59"/>
      <x:c r="J8" s="59"/>
      <x:c r="K8" s="59"/>
      <x:c r="L8" s="59"/>
      <x:c r="M8" s="59"/>
      <x:c r="N8" s="59"/>
      <x:c r="O8" s="59"/>
      <x:c r="P8" s="59"/>
      <x:c r="Q8" s="59"/>
      <x:c r="R8" s="59"/>
      <x:c r="S8" s="59"/>
      <x:c r="T8" s="59"/>
      <x:c r="U8" s="59"/>
      <x:c r="V8" s="59"/>
      <x:c r="W8" s="59"/>
      <x:c r="X8" s="59"/>
      <x:c r="Y8" s="59"/>
      <x:c r="Z8" s="59"/>
      <x:c r="AA8" s="59"/>
      <x:c r="AB8" s="59"/>
      <x:c r="AC8" s="59"/>
      <x:c r="AD8" s="59"/>
      <x:c r="AE8" s="59"/>
      <x:c r="AF8" s="59"/>
      <x:c r="AG8" s="59"/>
      <x:c r="AH8" s="59"/>
      <x:c r="AI8" s="59"/>
      <x:c r="AJ8" s="59"/>
      <x:c r="AK8" s="59"/>
      <x:c r="AL8" s="59"/>
      <x:c r="AM8" s="59"/>
      <x:c r="AN8" s="59"/>
    </x:row>
    <x:row r="9">
      <x:c r="A9" s="59"/>
      <x:c r="B9" s="59"/>
      <x:c r="C9" s="59"/>
      <x:c r="D9" s="59"/>
      <x:c r="E9" s="59"/>
      <x:c r="F9" s="59"/>
      <x:c r="G9" s="59"/>
      <x:c r="H9" s="59"/>
      <x:c r="I9" s="59"/>
      <x:c r="J9" s="59"/>
      <x:c r="K9" s="59"/>
      <x:c r="L9" s="59"/>
      <x:c r="M9" s="59"/>
      <x:c r="N9" s="59"/>
      <x:c r="O9" s="59"/>
      <x:c r="P9" s="59"/>
      <x:c r="Q9" s="59"/>
      <x:c r="R9" s="59"/>
      <x:c r="S9" s="59"/>
      <x:c r="T9" s="59"/>
      <x:c r="U9" s="59"/>
      <x:c r="V9" s="59"/>
      <x:c r="W9" s="59"/>
      <x:c r="X9" s="59"/>
      <x:c r="Y9" s="59"/>
      <x:c r="Z9" s="59"/>
      <x:c r="AA9" s="59"/>
      <x:c r="AB9" s="59"/>
      <x:c r="AC9" s="59"/>
      <x:c r="AD9" s="59"/>
      <x:c r="AE9" s="59"/>
      <x:c r="AF9" s="59"/>
      <x:c r="AG9" s="59"/>
      <x:c r="AH9" s="59"/>
      <x:c r="AI9" s="59"/>
      <x:c r="AJ9" s="59"/>
      <x:c r="AK9" s="59"/>
      <x:c r="AL9" s="59"/>
      <x:c r="AM9" s="59"/>
      <x:c r="AN9" s="59"/>
    </x:row>
    <x:row r="10">
      <x:c r="A10" s="59"/>
      <x:c r="B10" s="59"/>
      <x:c r="C10" s="59"/>
      <x:c r="D10" s="59"/>
      <x:c r="E10" s="59"/>
      <x:c r="F10" s="59"/>
      <x:c r="G10" s="59"/>
      <x:c r="H10" s="59"/>
      <x:c r="I10" s="59"/>
      <x:c r="J10" s="59"/>
      <x:c r="K10" s="59"/>
      <x:c r="L10" s="59"/>
      <x:c r="M10" s="59"/>
      <x:c r="N10" s="59"/>
      <x:c r="O10" s="59"/>
      <x:c r="P10" s="59"/>
      <x:c r="Q10" s="59"/>
      <x:c r="R10" s="59"/>
      <x:c r="S10" s="59"/>
      <x:c r="T10" s="59"/>
      <x:c r="U10" s="59"/>
      <x:c r="V10" s="59"/>
      <x:c r="W10" s="59"/>
      <x:c r="X10" s="59"/>
      <x:c r="Y10" s="59"/>
      <x:c r="Z10" s="59"/>
      <x:c r="AA10" s="59"/>
      <x:c r="AB10" s="59"/>
      <x:c r="AC10" s="59"/>
      <x:c r="AD10" s="59"/>
      <x:c r="AE10" s="59"/>
      <x:c r="AF10" s="59"/>
      <x:c r="AG10" s="59"/>
      <x:c r="AH10" s="59"/>
      <x:c r="AI10" s="59"/>
      <x:c r="AJ10" s="59"/>
      <x:c r="AK10" s="59"/>
      <x:c r="AL10" s="59"/>
      <x:c r="AM10" s="59"/>
      <x:c r="AN10" s="59"/>
    </x:row>
    <x:row r="11">
      <x:c r="A11" s="59"/>
      <x:c r="B11" s="59"/>
      <x:c r="C11" s="59"/>
      <x:c r="D11" s="59"/>
      <x:c r="E11" s="59"/>
      <x:c r="F11" s="59"/>
      <x:c r="G11" s="59"/>
      <x:c r="H11" s="59"/>
      <x:c r="I11" s="59"/>
      <x:c r="J11" s="59"/>
      <x:c r="K11" s="59"/>
      <x:c r="L11" s="59"/>
      <x:c r="M11" s="59"/>
      <x:c r="N11" s="59"/>
      <x:c r="O11" s="59"/>
      <x:c r="P11" s="59"/>
      <x:c r="Q11" s="59"/>
      <x:c r="R11" s="59"/>
      <x:c r="S11" s="59"/>
      <x:c r="T11" s="59"/>
      <x:c r="U11" s="59"/>
      <x:c r="V11" s="59"/>
      <x:c r="W11" s="59"/>
      <x:c r="X11" s="59"/>
      <x:c r="Y11" s="59"/>
      <x:c r="Z11" s="59"/>
      <x:c r="AA11" s="59"/>
      <x:c r="AB11" s="59"/>
      <x:c r="AC11" s="59"/>
      <x:c r="AD11" s="59"/>
      <x:c r="AE11" s="59"/>
      <x:c r="AF11" s="59"/>
      <x:c r="AG11" s="59"/>
      <x:c r="AH11" s="59"/>
      <x:c r="AI11" s="59"/>
      <x:c r="AJ11" s="59"/>
      <x:c r="AK11" s="59"/>
      <x:c r="AL11" s="59"/>
      <x:c r="AM11" s="59"/>
      <x:c r="AN11" s="59"/>
    </x:row>
    <x:row r="12">
      <x:c r="A12" s="59"/>
      <x:c r="B12" s="59"/>
      <x:c r="C12" s="59"/>
      <x:c r="D12" s="59"/>
      <x:c r="E12" s="59"/>
      <x:c r="F12" s="59"/>
      <x:c r="G12" s="59"/>
      <x:c r="H12" s="59"/>
      <x:c r="I12" s="59"/>
      <x:c r="J12" s="59"/>
      <x:c r="K12" s="59"/>
      <x:c r="L12" s="59"/>
      <x:c r="M12" s="59"/>
      <x:c r="N12" s="59"/>
      <x:c r="O12" s="59"/>
      <x:c r="P12" s="59"/>
      <x:c r="Q12" s="59"/>
      <x:c r="R12" s="59"/>
      <x:c r="S12" s="59"/>
      <x:c r="T12" s="59"/>
      <x:c r="U12" s="59"/>
      <x:c r="V12" s="59"/>
      <x:c r="W12" s="59"/>
      <x:c r="X12" s="59"/>
      <x:c r="Y12" s="59"/>
      <x:c r="Z12" s="59"/>
      <x:c r="AA12" s="59"/>
      <x:c r="AB12" s="59"/>
      <x:c r="AC12" s="59"/>
      <x:c r="AD12" s="59"/>
      <x:c r="AE12" s="59"/>
      <x:c r="AF12" s="59"/>
      <x:c r="AG12" s="59"/>
      <x:c r="AH12" s="59"/>
      <x:c r="AI12" s="59"/>
      <x:c r="AJ12" s="59"/>
      <x:c r="AK12" s="59"/>
      <x:c r="AL12" s="59"/>
      <x:c r="AM12" s="59"/>
      <x:c r="AN12" s="59"/>
    </x:row>
    <x:row r="13">
      <x:c r="A13" s="59"/>
      <x:c r="B13" s="59"/>
      <x:c r="C13" s="59"/>
      <x:c r="D13" s="59"/>
      <x:c r="E13" s="59"/>
      <x:c r="F13" s="59"/>
      <x:c r="G13" s="59"/>
      <x:c r="H13" s="59"/>
      <x:c r="I13" s="59"/>
      <x:c r="J13" s="59"/>
      <x:c r="K13" s="59"/>
      <x:c r="L13" s="59"/>
      <x:c r="M13" s="59"/>
      <x:c r="N13" s="59"/>
      <x:c r="O13" s="59"/>
      <x:c r="P13" s="59"/>
      <x:c r="Q13" s="59"/>
      <x:c r="R13" s="59"/>
      <x:c r="S13" s="59"/>
      <x:c r="T13" s="59"/>
      <x:c r="U13" s="59"/>
      <x:c r="V13" s="59"/>
      <x:c r="W13" s="59"/>
      <x:c r="X13" s="59"/>
      <x:c r="Y13" s="59"/>
      <x:c r="Z13" s="59"/>
      <x:c r="AA13" s="59"/>
      <x:c r="AB13" s="59"/>
      <x:c r="AC13" s="59"/>
      <x:c r="AD13" s="59"/>
      <x:c r="AE13" s="59"/>
      <x:c r="AF13" s="59"/>
      <x:c r="AG13" s="59"/>
      <x:c r="AH13" s="59"/>
      <x:c r="AI13" s="59"/>
      <x:c r="AJ13" s="59"/>
      <x:c r="AK13" s="59"/>
      <x:c r="AL13" s="59"/>
      <x:c r="AM13" s="59"/>
      <x:c r="AN13" s="59"/>
    </x:row>
    <x:row r="14">
      <x:c r="A14" s="59"/>
      <x:c r="B14" s="59"/>
      <x:c r="C14" s="59"/>
      <x:c r="D14" s="59"/>
      <x:c r="E14" s="59"/>
      <x:c r="F14" s="59"/>
      <x:c r="G14" s="59"/>
      <x:c r="H14" s="59"/>
      <x:c r="I14" s="59"/>
      <x:c r="J14" s="59"/>
      <x:c r="K14" s="59"/>
      <x:c r="L14" s="59"/>
      <x:c r="M14" s="59"/>
      <x:c r="N14" s="59"/>
      <x:c r="O14" s="59"/>
      <x:c r="P14" s="59"/>
      <x:c r="Q14" s="59"/>
      <x:c r="R14" s="59"/>
      <x:c r="S14" s="59"/>
      <x:c r="T14" s="59"/>
      <x:c r="U14" s="59"/>
      <x:c r="V14" s="59"/>
      <x:c r="W14" s="59"/>
      <x:c r="X14" s="59"/>
      <x:c r="Y14" s="59"/>
      <x:c r="Z14" s="59"/>
      <x:c r="AA14" s="59"/>
      <x:c r="AB14" s="59"/>
      <x:c r="AC14" s="59"/>
      <x:c r="AD14" s="59"/>
      <x:c r="AE14" s="59"/>
      <x:c r="AF14" s="59"/>
      <x:c r="AG14" s="59"/>
      <x:c r="AH14" s="59"/>
      <x:c r="AI14" s="59"/>
      <x:c r="AJ14" s="59"/>
      <x:c r="AK14" s="59"/>
      <x:c r="AL14" s="59"/>
      <x:c r="AM14" s="59"/>
      <x:c r="AN14" s="59"/>
    </x:row>
    <x:row r="15">
      <x:c r="A15" s="59"/>
      <x:c r="B15" s="59"/>
      <x:c r="C15" s="59"/>
      <x:c r="D15" s="59"/>
      <x:c r="E15" s="59"/>
      <x:c r="F15" s="59"/>
      <x:c r="G15" s="59"/>
      <x:c r="H15" s="59"/>
      <x:c r="I15" s="59"/>
      <x:c r="J15" s="59"/>
      <x:c r="K15" s="59"/>
      <x:c r="L15" s="59"/>
      <x:c r="M15" s="59"/>
      <x:c r="N15" s="59"/>
      <x:c r="O15" s="59"/>
      <x:c r="P15" s="59"/>
      <x:c r="Q15" s="59"/>
      <x:c r="R15" s="59"/>
      <x:c r="S15" s="59"/>
      <x:c r="T15" s="59"/>
      <x:c r="U15" s="59"/>
      <x:c r="V15" s="59"/>
      <x:c r="W15" s="59"/>
      <x:c r="X15" s="59"/>
      <x:c r="Y15" s="59"/>
      <x:c r="Z15" s="59"/>
      <x:c r="AA15" s="59"/>
      <x:c r="AB15" s="59"/>
      <x:c r="AC15" s="59"/>
      <x:c r="AD15" s="59"/>
      <x:c r="AE15" s="59"/>
      <x:c r="AF15" s="59"/>
      <x:c r="AG15" s="59"/>
      <x:c r="AH15" s="59"/>
      <x:c r="AI15" s="59"/>
      <x:c r="AJ15" s="59"/>
      <x:c r="AK15" s="59"/>
      <x:c r="AL15" s="59"/>
      <x:c r="AM15" s="59"/>
      <x:c r="AN15" s="59"/>
    </x:row>
    <x:row r="16">
      <x:c r="A16" s="59"/>
      <x:c r="B16" s="59"/>
      <x:c r="C16" s="59"/>
      <x:c r="D16" s="59"/>
      <x:c r="E16" s="59"/>
      <x:c r="F16" s="59"/>
      <x:c r="G16" s="59"/>
      <x:c r="H16" s="59"/>
      <x:c r="I16" s="59"/>
      <x:c r="J16" s="59"/>
      <x:c r="K16" s="59"/>
      <x:c r="L16" s="59"/>
      <x:c r="M16" s="59"/>
      <x:c r="N16" s="59"/>
      <x:c r="O16" s="59"/>
      <x:c r="P16" s="59"/>
      <x:c r="Q16" s="59"/>
      <x:c r="R16" s="59"/>
      <x:c r="S16" s="59"/>
      <x:c r="T16" s="59"/>
      <x:c r="U16" s="59"/>
      <x:c r="V16" s="59"/>
      <x:c r="W16" s="59"/>
      <x:c r="X16" s="59"/>
      <x:c r="Y16" s="59"/>
      <x:c r="Z16" s="59"/>
      <x:c r="AA16" s="59"/>
      <x:c r="AB16" s="59"/>
      <x:c r="AC16" s="59"/>
      <x:c r="AD16" s="59"/>
      <x:c r="AE16" s="59"/>
      <x:c r="AF16" s="59"/>
      <x:c r="AG16" s="59"/>
      <x:c r="AH16" s="59"/>
      <x:c r="AI16" s="59"/>
      <x:c r="AJ16" s="59"/>
      <x:c r="AK16" s="59"/>
      <x:c r="AL16" s="59"/>
      <x:c r="AM16" s="59"/>
      <x:c r="AN16" s="59"/>
    </x:row>
    <x:row r="17">
      <x:c r="A17" s="59"/>
      <x:c r="B17" s="59"/>
      <x:c r="C17" s="59"/>
      <x:c r="D17" s="59"/>
      <x:c r="E17" s="59"/>
      <x:c r="F17" s="59"/>
      <x:c r="G17" s="59"/>
      <x:c r="H17" s="59"/>
      <x:c r="I17" s="59"/>
      <x:c r="J17" s="59"/>
      <x:c r="K17" s="59"/>
      <x:c r="L17" s="59"/>
      <x:c r="M17" s="59"/>
      <x:c r="N17" s="59"/>
      <x:c r="O17" s="59"/>
      <x:c r="P17" s="59"/>
      <x:c r="Q17" s="59"/>
      <x:c r="R17" s="59"/>
      <x:c r="S17" s="59"/>
      <x:c r="T17" s="59"/>
      <x:c r="U17" s="59"/>
      <x:c r="V17" s="59"/>
      <x:c r="W17" s="59"/>
      <x:c r="X17" s="59"/>
      <x:c r="Y17" s="59"/>
      <x:c r="Z17" s="59"/>
      <x:c r="AA17" s="59"/>
      <x:c r="AB17" s="59"/>
      <x:c r="AC17" s="59"/>
      <x:c r="AD17" s="59"/>
      <x:c r="AE17" s="59"/>
      <x:c r="AF17" s="59"/>
      <x:c r="AG17" s="59"/>
      <x:c r="AH17" s="59"/>
      <x:c r="AI17" s="59"/>
      <x:c r="AJ17" s="59"/>
      <x:c r="AK17" s="59"/>
      <x:c r="AL17" s="59"/>
      <x:c r="AM17" s="59"/>
      <x:c r="AN17" s="59"/>
    </x:row>
    <x:row r="18">
      <x:c r="A18" s="59"/>
      <x:c r="B18" s="59"/>
      <x:c r="C18" s="59"/>
      <x:c r="D18" s="59"/>
      <x:c r="E18" s="59"/>
      <x:c r="F18" s="59"/>
      <x:c r="G18" s="59"/>
      <x:c r="H18" s="59"/>
      <x:c r="I18" s="59"/>
      <x:c r="J18" s="59"/>
      <x:c r="K18" s="59"/>
      <x:c r="L18" s="59"/>
      <x:c r="M18" s="59"/>
      <x:c r="N18" s="59"/>
      <x:c r="O18" s="59"/>
      <x:c r="P18" s="59"/>
      <x:c r="Q18" s="59"/>
      <x:c r="R18" s="59"/>
      <x:c r="S18" s="59"/>
      <x:c r="T18" s="59"/>
      <x:c r="U18" s="59"/>
      <x:c r="V18" s="59"/>
      <x:c r="W18" s="59"/>
      <x:c r="X18" s="59"/>
      <x:c r="Y18" s="59"/>
      <x:c r="Z18" s="59"/>
      <x:c r="AA18" s="59"/>
      <x:c r="AB18" s="59"/>
      <x:c r="AC18" s="59"/>
      <x:c r="AD18" s="59"/>
      <x:c r="AE18" s="59"/>
      <x:c r="AF18" s="59"/>
      <x:c r="AG18" s="59"/>
      <x:c r="AH18" s="59"/>
      <x:c r="AI18" s="59"/>
      <x:c r="AJ18" s="59"/>
      <x:c r="AK18" s="59"/>
      <x:c r="AL18" s="59"/>
      <x:c r="AM18" s="59"/>
      <x:c r="AN18" s="59"/>
    </x:row>
    <x:row r="19">
      <x:c r="A19" s="59"/>
      <x:c r="B19" s="59"/>
      <x:c r="C19" s="59"/>
      <x:c r="D19" s="59"/>
      <x:c r="E19" s="59"/>
      <x:c r="F19" s="59"/>
      <x:c r="G19" s="59"/>
      <x:c r="H19" s="59"/>
      <x:c r="I19" s="59"/>
      <x:c r="J19" s="59"/>
      <x:c r="K19" s="59"/>
      <x:c r="L19" s="59"/>
      <x:c r="M19" s="59"/>
      <x:c r="N19" s="59"/>
      <x:c r="O19" s="59"/>
      <x:c r="P19" s="59"/>
      <x:c r="Q19" s="59"/>
      <x:c r="R19" s="59"/>
      <x:c r="S19" s="59"/>
      <x:c r="T19" s="59"/>
      <x:c r="U19" s="59"/>
      <x:c r="V19" s="59"/>
      <x:c r="W19" s="59"/>
      <x:c r="X19" s="59"/>
      <x:c r="Y19" s="59"/>
      <x:c r="Z19" s="59"/>
      <x:c r="AA19" s="59"/>
      <x:c r="AB19" s="59"/>
      <x:c r="AC19" s="59"/>
      <x:c r="AD19" s="59"/>
      <x:c r="AE19" s="59"/>
      <x:c r="AF19" s="59"/>
      <x:c r="AG19" s="59"/>
      <x:c r="AH19" s="59"/>
      <x:c r="AI19" s="59"/>
      <x:c r="AJ19" s="59"/>
      <x:c r="AK19" s="59"/>
      <x:c r="AL19" s="59"/>
      <x:c r="AM19" s="59"/>
      <x:c r="AN19" s="59"/>
    </x:row>
    <x:row r="20">
      <x:c r="A20" s="59"/>
      <x:c r="B20" s="59"/>
      <x:c r="C20" s="59"/>
      <x:c r="D20" s="59"/>
      <x:c r="E20" s="59"/>
      <x:c r="F20" s="59"/>
      <x:c r="G20" s="59"/>
      <x:c r="H20" s="59"/>
      <x:c r="I20" s="59"/>
      <x:c r="J20" s="59"/>
      <x:c r="K20" s="59"/>
      <x:c r="L20" s="59"/>
      <x:c r="M20" s="59"/>
      <x:c r="N20" s="59"/>
      <x:c r="O20" s="59"/>
      <x:c r="P20" s="59"/>
      <x:c r="Q20" s="59"/>
      <x:c r="R20" s="59"/>
      <x:c r="S20" s="59"/>
      <x:c r="T20" s="59"/>
      <x:c r="U20" s="59"/>
      <x:c r="V20" s="59"/>
      <x:c r="W20" s="59"/>
      <x:c r="X20" s="59"/>
      <x:c r="Y20" s="59"/>
      <x:c r="Z20" s="59"/>
      <x:c r="AA20" s="59"/>
      <x:c r="AB20" s="59"/>
      <x:c r="AC20" s="59"/>
      <x:c r="AD20" s="59"/>
      <x:c r="AE20" s="59"/>
      <x:c r="AF20" s="59"/>
      <x:c r="AG20" s="59"/>
      <x:c r="AH20" s="59"/>
      <x:c r="AI20" s="59"/>
      <x:c r="AJ20" s="59"/>
      <x:c r="AK20" s="59"/>
      <x:c r="AL20" s="59"/>
      <x:c r="AM20" s="59"/>
      <x:c r="AN20" s="59"/>
    </x:row>
    <x:row r="21">
      <x:c r="A21" s="59"/>
      <x:c r="B21" s="59"/>
      <x:c r="C21" s="59"/>
      <x:c r="D21" s="59"/>
      <x:c r="E21" s="59"/>
      <x:c r="F21" s="59"/>
      <x:c r="G21" s="59"/>
      <x:c r="H21" s="59"/>
      <x:c r="I21" s="59"/>
      <x:c r="J21" s="59"/>
      <x:c r="K21" s="59"/>
      <x:c r="L21" s="59"/>
      <x:c r="M21" s="59"/>
      <x:c r="N21" s="59"/>
      <x:c r="O21" s="59"/>
      <x:c r="P21" s="59"/>
      <x:c r="Q21" s="59"/>
      <x:c r="R21" s="59"/>
      <x:c r="S21" s="59"/>
      <x:c r="T21" s="59"/>
      <x:c r="U21" s="59"/>
      <x:c r="V21" s="59"/>
      <x:c r="W21" s="59"/>
      <x:c r="X21" s="59"/>
      <x:c r="Y21" s="59"/>
      <x:c r="Z21" s="59"/>
      <x:c r="AA21" s="59"/>
      <x:c r="AB21" s="59"/>
      <x:c r="AC21" s="59"/>
      <x:c r="AD21" s="59"/>
      <x:c r="AE21" s="59"/>
      <x:c r="AF21" s="59"/>
      <x:c r="AG21" s="59"/>
      <x:c r="AH21" s="59"/>
      <x:c r="AI21" s="59"/>
      <x:c r="AJ21" s="59"/>
      <x:c r="AK21" s="59"/>
      <x:c r="AL21" s="59"/>
      <x:c r="AM21" s="59"/>
      <x:c r="AN21" s="59"/>
    </x:row>
    <x:row r="22">
      <x:c r="A22" s="59"/>
      <x:c r="B22" s="59"/>
      <x:c r="C22" s="59"/>
      <x:c r="D22" s="59"/>
      <x:c r="E22" s="59"/>
      <x:c r="F22" s="59"/>
      <x:c r="G22" s="59"/>
      <x:c r="H22" s="59"/>
      <x:c r="I22" s="59"/>
      <x:c r="J22" s="59"/>
      <x:c r="K22" s="59"/>
      <x:c r="L22" s="59"/>
      <x:c r="M22" s="59"/>
      <x:c r="N22" s="59"/>
      <x:c r="O22" s="59"/>
      <x:c r="P22" s="59"/>
      <x:c r="Q22" s="59"/>
      <x:c r="R22" s="59"/>
      <x:c r="S22" s="59"/>
      <x:c r="T22" s="59"/>
      <x:c r="U22" s="59"/>
      <x:c r="V22" s="59"/>
      <x:c r="W22" s="59"/>
      <x:c r="X22" s="59"/>
      <x:c r="Y22" s="59"/>
      <x:c r="Z22" s="59"/>
      <x:c r="AA22" s="59"/>
      <x:c r="AB22" s="59"/>
      <x:c r="AC22" s="59"/>
      <x:c r="AD22" s="59"/>
      <x:c r="AE22" s="59"/>
      <x:c r="AF22" s="59"/>
      <x:c r="AG22" s="59"/>
      <x:c r="AH22" s="59"/>
      <x:c r="AI22" s="59"/>
      <x:c r="AJ22" s="59"/>
      <x:c r="AK22" s="59"/>
      <x:c r="AL22" s="59"/>
      <x:c r="AM22" s="59"/>
      <x:c r="AN22" s="59"/>
    </x:row>
    <x:row r="23">
      <x:c r="A23" s="59"/>
      <x:c r="B23" s="59"/>
      <x:c r="C23" s="59"/>
      <x:c r="D23" s="59"/>
      <x:c r="E23" s="59"/>
      <x:c r="F23" s="59"/>
      <x:c r="G23" s="59"/>
      <x:c r="H23" s="59"/>
      <x:c r="I23" s="59"/>
      <x:c r="J23" s="59"/>
      <x:c r="K23" s="59"/>
      <x:c r="L23" s="59"/>
      <x:c r="M23" s="59"/>
      <x:c r="N23" s="59"/>
      <x:c r="O23" s="59"/>
      <x:c r="P23" s="59"/>
      <x:c r="Q23" s="59"/>
      <x:c r="R23" s="59"/>
      <x:c r="S23" s="59"/>
      <x:c r="T23" s="59"/>
      <x:c r="U23" s="59"/>
      <x:c r="V23" s="59"/>
      <x:c r="W23" s="59"/>
      <x:c r="X23" s="59"/>
      <x:c r="Y23" s="59"/>
      <x:c r="Z23" s="59"/>
      <x:c r="AA23" s="59"/>
      <x:c r="AB23" s="59"/>
      <x:c r="AC23" s="59"/>
      <x:c r="AD23" s="59"/>
      <x:c r="AE23" s="59"/>
      <x:c r="AF23" s="59"/>
      <x:c r="AG23" s="59"/>
      <x:c r="AH23" s="59"/>
      <x:c r="AI23" s="59"/>
      <x:c r="AJ23" s="59"/>
      <x:c r="AK23" s="59"/>
      <x:c r="AL23" s="59"/>
      <x:c r="AM23" s="59"/>
      <x:c r="AN23" s="59"/>
    </x:row>
    <x:row r="24">
      <x:c r="A24" s="59"/>
      <x:c r="B24" s="59"/>
      <x:c r="C24" s="59"/>
      <x:c r="D24" s="59"/>
      <x:c r="E24" s="59"/>
      <x:c r="F24" s="59"/>
      <x:c r="G24" s="59"/>
      <x:c r="H24" s="59"/>
      <x:c r="I24" s="59"/>
      <x:c r="J24" s="59"/>
      <x:c r="K24" s="59"/>
      <x:c r="L24" s="59"/>
      <x:c r="M24" s="59"/>
      <x:c r="N24" s="59"/>
      <x:c r="O24" s="59"/>
      <x:c r="P24" s="59"/>
      <x:c r="Q24" s="59"/>
      <x:c r="R24" s="59"/>
      <x:c r="S24" s="59"/>
      <x:c r="T24" s="59"/>
      <x:c r="U24" s="59"/>
      <x:c r="V24" s="59"/>
      <x:c r="W24" s="59"/>
      <x:c r="X24" s="59"/>
      <x:c r="Y24" s="59"/>
      <x:c r="Z24" s="59"/>
      <x:c r="AA24" s="59"/>
      <x:c r="AB24" s="59"/>
      <x:c r="AC24" s="59"/>
      <x:c r="AD24" s="59"/>
      <x:c r="AE24" s="59"/>
      <x:c r="AF24" s="59"/>
      <x:c r="AG24" s="59"/>
      <x:c r="AH24" s="59"/>
      <x:c r="AI24" s="59"/>
      <x:c r="AJ24" s="59"/>
      <x:c r="AK24" s="59"/>
      <x:c r="AL24" s="59"/>
      <x:c r="AM24" s="59"/>
      <x:c r="AN24" s="59"/>
    </x:row>
    <x:row r="25">
      <x:c r="A25" s="59"/>
      <x:c r="B25" s="59"/>
      <x:c r="C25" s="59"/>
      <x:c r="D25" s="59"/>
      <x:c r="E25" s="59"/>
      <x:c r="F25" s="59"/>
      <x:c r="G25" s="59"/>
      <x:c r="H25" s="59"/>
      <x:c r="I25" s="59"/>
      <x:c r="J25" s="59"/>
      <x:c r="K25" s="59"/>
      <x:c r="L25" s="59"/>
      <x:c r="M25" s="59"/>
      <x:c r="N25" s="59"/>
      <x:c r="O25" s="59"/>
      <x:c r="P25" s="59"/>
      <x:c r="Q25" s="59"/>
      <x:c r="R25" s="59"/>
      <x:c r="S25" s="59"/>
      <x:c r="T25" s="59"/>
      <x:c r="U25" s="59"/>
      <x:c r="V25" s="59"/>
      <x:c r="W25" s="59"/>
      <x:c r="X25" s="59"/>
      <x:c r="Y25" s="59"/>
      <x:c r="Z25" s="59"/>
      <x:c r="AA25" s="59"/>
      <x:c r="AB25" s="59"/>
      <x:c r="AC25" s="59"/>
      <x:c r="AD25" s="59"/>
      <x:c r="AE25" s="59"/>
      <x:c r="AF25" s="59"/>
      <x:c r="AG25" s="59"/>
      <x:c r="AH25" s="59"/>
      <x:c r="AI25" s="59"/>
      <x:c r="AJ25" s="59"/>
      <x:c r="AK25" s="59"/>
      <x:c r="AL25" s="59"/>
      <x:c r="AM25" s="59"/>
      <x:c r="AN25" s="59"/>
    </x:row>
    <x:row r="26">
      <x:c r="A26" s="59"/>
      <x:c r="B26" s="59"/>
      <x:c r="C26" s="59"/>
      <x:c r="D26" s="59"/>
      <x:c r="E26" s="59"/>
      <x:c r="F26" s="59"/>
      <x:c r="G26" s="59"/>
      <x:c r="H26" s="59"/>
      <x:c r="I26" s="59"/>
      <x:c r="J26" s="59"/>
      <x:c r="K26" s="59"/>
      <x:c r="L26" s="59"/>
      <x:c r="M26" s="59"/>
      <x:c r="N26" s="59"/>
      <x:c r="O26" s="59"/>
      <x:c r="P26" s="59"/>
      <x:c r="Q26" s="59"/>
      <x:c r="R26" s="59"/>
      <x:c r="S26" s="59"/>
      <x:c r="T26" s="59"/>
      <x:c r="U26" s="59"/>
      <x:c r="V26" s="59"/>
      <x:c r="W26" s="59"/>
      <x:c r="X26" s="59"/>
      <x:c r="Y26" s="59"/>
      <x:c r="Z26" s="59"/>
      <x:c r="AA26" s="59"/>
      <x:c r="AB26" s="59"/>
      <x:c r="AC26" s="59"/>
      <x:c r="AD26" s="59"/>
      <x:c r="AE26" s="59"/>
      <x:c r="AF26" s="59"/>
      <x:c r="AG26" s="59"/>
      <x:c r="AH26" s="59"/>
      <x:c r="AI26" s="59"/>
      <x:c r="AJ26" s="59"/>
      <x:c r="AK26" s="59"/>
      <x:c r="AL26" s="59"/>
      <x:c r="AM26" s="59"/>
      <x:c r="AN26" s="59"/>
    </x:row>
    <x:row r="27">
      <x:c r="A27" s="59"/>
      <x:c r="B27" s="59"/>
      <x:c r="C27" s="59"/>
      <x:c r="D27" s="59"/>
      <x:c r="E27" s="59"/>
      <x:c r="F27" s="59"/>
      <x:c r="G27" s="59"/>
      <x:c r="H27" s="59"/>
      <x:c r="I27" s="59"/>
      <x:c r="J27" s="59"/>
      <x:c r="K27" s="59"/>
      <x:c r="L27" s="59"/>
      <x:c r="M27" s="59"/>
      <x:c r="N27" s="59"/>
      <x:c r="O27" s="59"/>
      <x:c r="P27" s="59"/>
      <x:c r="Q27" s="59"/>
      <x:c r="R27" s="59"/>
      <x:c r="S27" s="59"/>
      <x:c r="T27" s="59"/>
      <x:c r="U27" s="59"/>
      <x:c r="V27" s="59"/>
      <x:c r="W27" s="59"/>
      <x:c r="X27" s="59"/>
      <x:c r="Y27" s="59"/>
      <x:c r="Z27" s="59"/>
      <x:c r="AA27" s="59"/>
      <x:c r="AB27" s="59"/>
      <x:c r="AC27" s="59"/>
      <x:c r="AD27" s="59"/>
      <x:c r="AE27" s="59"/>
      <x:c r="AF27" s="59"/>
      <x:c r="AG27" s="59"/>
      <x:c r="AH27" s="59"/>
      <x:c r="AI27" s="59"/>
      <x:c r="AJ27" s="59"/>
      <x:c r="AK27" s="59"/>
      <x:c r="AL27" s="59"/>
      <x:c r="AM27" s="59"/>
      <x:c r="AN27" s="59"/>
    </x:row>
    <x:row r="28">
      <x:c r="A28" s="59"/>
      <x:c r="B28" s="59"/>
      <x:c r="C28" s="59"/>
      <x:c r="D28" s="59"/>
      <x:c r="E28" s="59"/>
      <x:c r="F28" s="59"/>
      <x:c r="G28" s="59"/>
      <x:c r="H28" s="59"/>
      <x:c r="I28" s="59"/>
      <x:c r="J28" s="59"/>
      <x:c r="K28" s="59"/>
      <x:c r="L28" s="59"/>
      <x:c r="M28" s="59"/>
      <x:c r="N28" s="59"/>
      <x:c r="O28" s="59"/>
      <x:c r="P28" s="59"/>
      <x:c r="Q28" s="59"/>
      <x:c r="R28" s="59"/>
      <x:c r="S28" s="59"/>
      <x:c r="T28" s="59"/>
      <x:c r="U28" s="59"/>
      <x:c r="V28" s="59"/>
      <x:c r="W28" s="59"/>
      <x:c r="X28" s="59"/>
      <x:c r="Y28" s="59"/>
      <x:c r="Z28" s="59"/>
      <x:c r="AA28" s="59"/>
      <x:c r="AB28" s="59"/>
      <x:c r="AC28" s="59"/>
      <x:c r="AD28" s="59"/>
      <x:c r="AE28" s="59"/>
      <x:c r="AF28" s="59"/>
      <x:c r="AG28" s="59"/>
      <x:c r="AH28" s="59"/>
      <x:c r="AI28" s="59"/>
      <x:c r="AJ28" s="59"/>
      <x:c r="AK28" s="59"/>
      <x:c r="AL28" s="59"/>
      <x:c r="AM28" s="59"/>
      <x:c r="AN28" s="59"/>
    </x:row>
    <x:row r="29">
      <x:c r="A29" s="59"/>
      <x:c r="B29" s="59"/>
      <x:c r="C29" s="59"/>
      <x:c r="D29" s="59"/>
      <x:c r="E29" s="59"/>
      <x:c r="F29" s="59"/>
      <x:c r="G29" s="59"/>
      <x:c r="H29" s="59"/>
      <x:c r="I29" s="59"/>
      <x:c r="J29" s="59"/>
      <x:c r="K29" s="59"/>
      <x:c r="L29" s="59"/>
      <x:c r="M29" s="59"/>
      <x:c r="N29" s="59"/>
      <x:c r="O29" s="59"/>
      <x:c r="P29" s="59"/>
      <x:c r="Q29" s="59"/>
      <x:c r="R29" s="59"/>
      <x:c r="S29" s="59"/>
      <x:c r="T29" s="59"/>
      <x:c r="U29" s="59"/>
      <x:c r="V29" s="59"/>
      <x:c r="W29" s="59"/>
      <x:c r="X29" s="59"/>
      <x:c r="Y29" s="59"/>
      <x:c r="Z29" s="59"/>
      <x:c r="AA29" s="59"/>
      <x:c r="AB29" s="59"/>
      <x:c r="AC29" s="59"/>
      <x:c r="AD29" s="59"/>
      <x:c r="AE29" s="59"/>
      <x:c r="AF29" s="59"/>
      <x:c r="AG29" s="59"/>
      <x:c r="AH29" s="59"/>
      <x:c r="AI29" s="59"/>
      <x:c r="AJ29" s="59"/>
      <x:c r="AK29" s="59"/>
      <x:c r="AL29" s="59"/>
      <x:c r="AM29" s="59"/>
      <x:c r="AN29" s="59"/>
    </x:row>
    <x:row r="30">
      <x:c r="A30" s="59"/>
      <x:c r="B30" s="59"/>
      <x:c r="C30" s="59"/>
      <x:c r="D30" s="59"/>
      <x:c r="E30" s="59"/>
      <x:c r="F30" s="59"/>
      <x:c r="G30" s="59"/>
      <x:c r="H30" s="59"/>
      <x:c r="I30" s="59"/>
      <x:c r="J30" s="59"/>
      <x:c r="K30" s="59"/>
      <x:c r="L30" s="59"/>
      <x:c r="M30" s="59"/>
      <x:c r="N30" s="59"/>
      <x:c r="O30" s="59"/>
      <x:c r="P30" s="59"/>
      <x:c r="Q30" s="59"/>
      <x:c r="R30" s="59"/>
      <x:c r="S30" s="59"/>
      <x:c r="T30" s="59"/>
      <x:c r="U30" s="59"/>
      <x:c r="V30" s="59"/>
      <x:c r="W30" s="59"/>
      <x:c r="X30" s="59"/>
      <x:c r="Y30" s="59"/>
      <x:c r="Z30" s="59"/>
      <x:c r="AA30" s="59"/>
      <x:c r="AB30" s="59"/>
      <x:c r="AC30" s="59"/>
      <x:c r="AD30" s="59"/>
      <x:c r="AE30" s="59"/>
      <x:c r="AF30" s="59"/>
      <x:c r="AG30" s="59"/>
      <x:c r="AH30" s="59"/>
      <x:c r="AI30" s="59"/>
      <x:c r="AJ30" s="59"/>
      <x:c r="AK30" s="59"/>
      <x:c r="AL30" s="59"/>
      <x:c r="AM30" s="59"/>
      <x:c r="AN30" s="59"/>
    </x:row>
    <x:row r="31">
      <x:c r="A31" s="59"/>
      <x:c r="B31" s="59"/>
      <x:c r="C31" s="59"/>
      <x:c r="D31" s="59"/>
      <x:c r="E31" s="59"/>
      <x:c r="F31" s="59"/>
      <x:c r="G31" s="59"/>
      <x:c r="H31" s="59"/>
      <x:c r="I31" s="59"/>
      <x:c r="J31" s="59"/>
      <x:c r="K31" s="59"/>
      <x:c r="L31" s="59"/>
      <x:c r="M31" s="59"/>
      <x:c r="N31" s="59"/>
      <x:c r="O31" s="59"/>
      <x:c r="P31" s="59"/>
      <x:c r="Q31" s="59"/>
      <x:c r="R31" s="59"/>
      <x:c r="S31" s="59"/>
      <x:c r="T31" s="59"/>
      <x:c r="U31" s="59"/>
      <x:c r="V31" s="59"/>
      <x:c r="W31" s="59"/>
      <x:c r="X31" s="59"/>
      <x:c r="Y31" s="59"/>
      <x:c r="Z31" s="59"/>
      <x:c r="AA31" s="59"/>
      <x:c r="AB31" s="59"/>
      <x:c r="AC31" s="59"/>
      <x:c r="AD31" s="59"/>
      <x:c r="AE31" s="59"/>
      <x:c r="AF31" s="59"/>
      <x:c r="AG31" s="59"/>
      <x:c r="AH31" s="59"/>
      <x:c r="AI31" s="59"/>
      <x:c r="AJ31" s="59"/>
      <x:c r="AK31" s="59"/>
      <x:c r="AL31" s="59"/>
      <x:c r="AM31" s="59"/>
      <x:c r="AN31" s="59"/>
    </x:row>
    <x:row r="32">
      <x:c r="A32" s="59"/>
      <x:c r="B32" s="59"/>
      <x:c r="C32" s="59"/>
      <x:c r="D32" s="59"/>
      <x:c r="E32" s="59"/>
      <x:c r="F32" s="59"/>
      <x:c r="G32" s="59"/>
      <x:c r="H32" s="59"/>
      <x:c r="I32" s="59"/>
      <x:c r="J32" s="59"/>
      <x:c r="K32" s="59"/>
      <x:c r="L32" s="59"/>
      <x:c r="M32" s="59"/>
      <x:c r="N32" s="59"/>
      <x:c r="O32" s="59"/>
      <x:c r="P32" s="59"/>
      <x:c r="Q32" s="59"/>
      <x:c r="R32" s="59"/>
      <x:c r="S32" s="59"/>
      <x:c r="T32" s="59"/>
      <x:c r="U32" s="59"/>
      <x:c r="V32" s="59"/>
      <x:c r="W32" s="59"/>
      <x:c r="X32" s="59"/>
      <x:c r="Y32" s="59"/>
      <x:c r="Z32" s="59"/>
      <x:c r="AA32" s="59"/>
      <x:c r="AB32" s="59"/>
      <x:c r="AC32" s="59"/>
      <x:c r="AD32" s="59"/>
      <x:c r="AE32" s="59"/>
      <x:c r="AF32" s="59"/>
      <x:c r="AG32" s="59"/>
      <x:c r="AH32" s="59"/>
      <x:c r="AI32" s="59"/>
      <x:c r="AJ32" s="59"/>
      <x:c r="AK32" s="59"/>
      <x:c r="AL32" s="59"/>
      <x:c r="AM32" s="59"/>
      <x:c r="AN32" s="59"/>
    </x:row>
    <x:row r="33">
      <x:c r="A33" s="59"/>
      <x:c r="B33" s="59"/>
      <x:c r="C33" s="59"/>
      <x:c r="D33" s="59"/>
      <x:c r="E33" s="59"/>
      <x:c r="F33" s="59"/>
      <x:c r="G33" s="59"/>
      <x:c r="H33" s="59"/>
      <x:c r="I33" s="59"/>
      <x:c r="J33" s="59"/>
      <x:c r="K33" s="59"/>
      <x:c r="L33" s="59"/>
      <x:c r="M33" s="59"/>
      <x:c r="N33" s="59"/>
      <x:c r="O33" s="59"/>
      <x:c r="P33" s="59"/>
      <x:c r="Q33" s="59"/>
      <x:c r="R33" s="59"/>
      <x:c r="S33" s="59"/>
      <x:c r="T33" s="59"/>
      <x:c r="U33" s="59"/>
      <x:c r="V33" s="59"/>
      <x:c r="W33" s="59"/>
      <x:c r="X33" s="59"/>
      <x:c r="Y33" s="59"/>
      <x:c r="Z33" s="59"/>
      <x:c r="AA33" s="59"/>
      <x:c r="AB33" s="59"/>
      <x:c r="AC33" s="59"/>
      <x:c r="AD33" s="59"/>
      <x:c r="AE33" s="59"/>
      <x:c r="AF33" s="59"/>
      <x:c r="AG33" s="59"/>
      <x:c r="AH33" s="59"/>
      <x:c r="AI33" s="59"/>
      <x:c r="AJ33" s="59"/>
      <x:c r="AK33" s="59"/>
      <x:c r="AL33" s="59"/>
      <x:c r="AM33" s="59"/>
      <x:c r="AN33" s="59"/>
    </x:row>
    <x:row r="34">
      <x:c r="A34" s="59"/>
      <x:c r="B34" s="59"/>
      <x:c r="C34" s="59"/>
      <x:c r="D34" s="59"/>
      <x:c r="E34" s="59"/>
      <x:c r="F34" s="59"/>
      <x:c r="G34" s="59"/>
      <x:c r="H34" s="59"/>
      <x:c r="I34" s="59"/>
      <x:c r="J34" s="59"/>
      <x:c r="K34" s="59"/>
      <x:c r="L34" s="59"/>
      <x:c r="M34" s="59"/>
      <x:c r="N34" s="59"/>
      <x:c r="O34" s="59"/>
      <x:c r="P34" s="59"/>
      <x:c r="Q34" s="59"/>
      <x:c r="R34" s="59"/>
      <x:c r="S34" s="59"/>
      <x:c r="T34" s="59"/>
      <x:c r="U34" s="59"/>
      <x:c r="V34" s="59"/>
      <x:c r="W34" s="59"/>
      <x:c r="X34" s="59"/>
      <x:c r="Y34" s="59"/>
      <x:c r="Z34" s="59"/>
      <x:c r="AA34" s="59"/>
      <x:c r="AB34" s="59"/>
      <x:c r="AC34" s="59"/>
      <x:c r="AD34" s="59"/>
      <x:c r="AE34" s="59"/>
      <x:c r="AF34" s="59"/>
      <x:c r="AG34" s="59"/>
      <x:c r="AH34" s="59"/>
      <x:c r="AI34" s="59"/>
      <x:c r="AJ34" s="59"/>
      <x:c r="AK34" s="59"/>
      <x:c r="AL34" s="59"/>
      <x:c r="AM34" s="59"/>
      <x:c r="AN34" s="59"/>
    </x:row>
    <x:row r="35">
      <x:c r="A35" s="59"/>
      <x:c r="B35" s="59"/>
      <x:c r="C35" s="59"/>
      <x:c r="D35" s="59"/>
      <x:c r="E35" s="59"/>
      <x:c r="F35" s="59"/>
      <x:c r="G35" s="59"/>
      <x:c r="H35" s="59"/>
      <x:c r="I35" s="59"/>
      <x:c r="J35" s="59"/>
      <x:c r="K35" s="59"/>
      <x:c r="L35" s="59"/>
      <x:c r="M35" s="59"/>
      <x:c r="N35" s="59"/>
      <x:c r="O35" s="59"/>
      <x:c r="P35" s="59"/>
      <x:c r="Q35" s="59"/>
      <x:c r="R35" s="59"/>
      <x:c r="S35" s="59"/>
      <x:c r="T35" s="59"/>
      <x:c r="U35" s="59"/>
      <x:c r="V35" s="59"/>
      <x:c r="W35" s="59"/>
      <x:c r="X35" s="59"/>
      <x:c r="Y35" s="59"/>
      <x:c r="Z35" s="59"/>
      <x:c r="AA35" s="59"/>
      <x:c r="AB35" s="59"/>
      <x:c r="AC35" s="59"/>
      <x:c r="AD35" s="59"/>
      <x:c r="AE35" s="59"/>
      <x:c r="AF35" s="59"/>
      <x:c r="AG35" s="59"/>
      <x:c r="AH35" s="59"/>
      <x:c r="AI35" s="59"/>
      <x:c r="AJ35" s="59"/>
      <x:c r="AK35" s="59"/>
      <x:c r="AL35" s="59"/>
      <x:c r="AM35" s="59"/>
      <x:c r="AN35" s="59"/>
    </x:row>
    <x:row r="36">
      <x:c r="A36" s="59"/>
      <x:c r="B36" s="59"/>
      <x:c r="C36" s="59"/>
      <x:c r="D36" s="59"/>
      <x:c r="E36" s="59"/>
      <x:c r="F36" s="59"/>
      <x:c r="G36" s="59"/>
      <x:c r="H36" s="59"/>
      <x:c r="I36" s="59"/>
      <x:c r="J36" s="59"/>
      <x:c r="K36" s="59"/>
      <x:c r="L36" s="59"/>
      <x:c r="M36" s="59"/>
      <x:c r="N36" s="59"/>
      <x:c r="O36" s="59"/>
      <x:c r="P36" s="59"/>
      <x:c r="Q36" s="59"/>
      <x:c r="R36" s="59"/>
      <x:c r="S36" s="59"/>
      <x:c r="T36" s="59"/>
      <x:c r="U36" s="59"/>
      <x:c r="V36" s="59"/>
      <x:c r="W36" s="59"/>
      <x:c r="X36" s="59"/>
      <x:c r="Y36" s="59"/>
      <x:c r="Z36" s="59"/>
      <x:c r="AA36" s="59"/>
      <x:c r="AB36" s="59"/>
      <x:c r="AC36" s="59"/>
      <x:c r="AD36" s="59"/>
      <x:c r="AE36" s="59"/>
      <x:c r="AF36" s="59"/>
      <x:c r="AG36" s="59"/>
      <x:c r="AH36" s="59"/>
      <x:c r="AI36" s="59"/>
      <x:c r="AJ36" s="59"/>
      <x:c r="AK36" s="59"/>
      <x:c r="AL36" s="59"/>
      <x:c r="AM36" s="59"/>
      <x:c r="AN36" s="59"/>
    </x:row>
    <x:row r="37">
      <x:c r="A37" s="59"/>
      <x:c r="B37" s="59"/>
      <x:c r="C37" s="59"/>
      <x:c r="D37" s="59"/>
      <x:c r="E37" s="59"/>
      <x:c r="F37" s="59"/>
      <x:c r="G37" s="59"/>
      <x:c r="H37" s="59"/>
      <x:c r="I37" s="59"/>
      <x:c r="J37" s="59"/>
      <x:c r="K37" s="59"/>
      <x:c r="L37" s="59"/>
      <x:c r="M37" s="59"/>
      <x:c r="N37" s="59"/>
      <x:c r="O37" s="59"/>
      <x:c r="P37" s="59"/>
      <x:c r="Q37" s="59"/>
      <x:c r="R37" s="59"/>
      <x:c r="S37" s="59"/>
      <x:c r="T37" s="59"/>
      <x:c r="U37" s="59"/>
      <x:c r="V37" s="59"/>
      <x:c r="W37" s="59"/>
      <x:c r="X37" s="59"/>
      <x:c r="Y37" s="59"/>
      <x:c r="Z37" s="59"/>
      <x:c r="AA37" s="59"/>
      <x:c r="AB37" s="59"/>
      <x:c r="AC37" s="59"/>
      <x:c r="AD37" s="59"/>
      <x:c r="AE37" s="59"/>
      <x:c r="AF37" s="59"/>
      <x:c r="AG37" s="59"/>
      <x:c r="AH37" s="59"/>
      <x:c r="AI37" s="59"/>
      <x:c r="AJ37" s="59"/>
      <x:c r="AK37" s="59"/>
      <x:c r="AL37" s="59"/>
      <x:c r="AM37" s="59"/>
      <x:c r="AN37" s="59"/>
    </x:row>
    <x:row r="38">
      <x:c r="A38" s="59"/>
      <x:c r="B38" s="59"/>
      <x:c r="C38" s="59"/>
      <x:c r="D38" s="59"/>
      <x:c r="E38" s="59"/>
      <x:c r="F38" s="59"/>
      <x:c r="G38" s="59"/>
      <x:c r="H38" s="59"/>
      <x:c r="I38" s="59"/>
      <x:c r="J38" s="59"/>
      <x:c r="K38" s="59"/>
      <x:c r="L38" s="59"/>
      <x:c r="M38" s="59"/>
      <x:c r="N38" s="59"/>
      <x:c r="O38" s="59"/>
      <x:c r="P38" s="59"/>
      <x:c r="Q38" s="59"/>
      <x:c r="R38" s="59"/>
      <x:c r="S38" s="59"/>
      <x:c r="T38" s="59"/>
      <x:c r="U38" s="59"/>
      <x:c r="V38" s="59"/>
      <x:c r="W38" s="59"/>
      <x:c r="X38" s="59"/>
      <x:c r="Y38" s="59"/>
      <x:c r="Z38" s="59"/>
      <x:c r="AA38" s="59"/>
      <x:c r="AB38" s="59"/>
      <x:c r="AC38" s="59"/>
      <x:c r="AD38" s="59"/>
      <x:c r="AE38" s="59"/>
      <x:c r="AF38" s="59"/>
      <x:c r="AG38" s="59"/>
      <x:c r="AH38" s="59"/>
      <x:c r="AI38" s="59"/>
      <x:c r="AJ38" s="59"/>
      <x:c r="AK38" s="59"/>
      <x:c r="AL38" s="59"/>
      <x:c r="AM38" s="59"/>
      <x:c r="AN38" s="59"/>
    </x:row>
    <x:row r="39">
      <x:c r="A39" s="59"/>
      <x:c r="B39" s="59"/>
      <x:c r="C39" s="59"/>
      <x:c r="D39" s="59"/>
      <x:c r="E39" s="59"/>
      <x:c r="F39" s="59"/>
      <x:c r="G39" s="59"/>
      <x:c r="H39" s="59"/>
      <x:c r="I39" s="59"/>
      <x:c r="J39" s="59"/>
      <x:c r="K39" s="59"/>
      <x:c r="L39" s="59"/>
      <x:c r="M39" s="59"/>
      <x:c r="N39" s="59"/>
      <x:c r="O39" s="59"/>
      <x:c r="P39" s="59"/>
      <x:c r="Q39" s="59"/>
      <x:c r="R39" s="59"/>
      <x:c r="S39" s="59"/>
      <x:c r="T39" s="59"/>
      <x:c r="U39" s="59"/>
      <x:c r="V39" s="59"/>
      <x:c r="W39" s="59"/>
      <x:c r="X39" s="59"/>
      <x:c r="Y39" s="59"/>
      <x:c r="Z39" s="59"/>
      <x:c r="AA39" s="59"/>
      <x:c r="AB39" s="59"/>
      <x:c r="AC39" s="59"/>
      <x:c r="AD39" s="59"/>
      <x:c r="AE39" s="59"/>
      <x:c r="AF39" s="59"/>
      <x:c r="AG39" s="59"/>
      <x:c r="AH39" s="59"/>
      <x:c r="AI39" s="59"/>
      <x:c r="AJ39" s="59"/>
      <x:c r="AK39" s="59"/>
      <x:c r="AL39" s="59"/>
      <x:c r="AM39" s="59"/>
      <x:c r="AN39" s="59"/>
    </x:row>
    <x:row r="40">
      <x:c r="A40" s="59"/>
      <x:c r="B40" s="59"/>
      <x:c r="C40" s="59"/>
      <x:c r="D40" s="59"/>
      <x:c r="E40" s="59"/>
      <x:c r="F40" s="59"/>
      <x:c r="G40" s="59"/>
      <x:c r="H40" s="59"/>
      <x:c r="I40" s="59"/>
      <x:c r="J40" s="59"/>
      <x:c r="K40" s="59"/>
      <x:c r="L40" s="59"/>
      <x:c r="M40" s="59"/>
      <x:c r="N40" s="59"/>
      <x:c r="O40" s="59"/>
      <x:c r="P40" s="59"/>
      <x:c r="Q40" s="59"/>
      <x:c r="R40" s="59"/>
      <x:c r="S40" s="59"/>
      <x:c r="T40" s="59"/>
      <x:c r="U40" s="59"/>
      <x:c r="V40" s="59"/>
      <x:c r="W40" s="59"/>
      <x:c r="X40" s="59"/>
      <x:c r="Y40" s="59"/>
      <x:c r="Z40" s="59"/>
      <x:c r="AA40" s="59"/>
      <x:c r="AB40" s="59"/>
      <x:c r="AC40" s="59"/>
      <x:c r="AD40" s="59"/>
      <x:c r="AE40" s="59"/>
      <x:c r="AF40" s="59"/>
      <x:c r="AG40" s="59"/>
      <x:c r="AH40" s="59"/>
      <x:c r="AI40" s="59"/>
      <x:c r="AJ40" s="59"/>
      <x:c r="AK40" s="59"/>
      <x:c r="AL40" s="59"/>
      <x:c r="AM40" s="59"/>
      <x:c r="AN40" s="59"/>
    </x:row>
    <x:row r="41">
      <x:c r="A41" s="59"/>
      <x:c r="B41" s="59"/>
      <x:c r="C41" s="59"/>
      <x:c r="D41" s="59"/>
      <x:c r="E41" s="59"/>
      <x:c r="F41" s="59"/>
      <x:c r="G41" s="59"/>
      <x:c r="H41" s="59"/>
      <x:c r="I41" s="59"/>
      <x:c r="J41" s="59"/>
      <x:c r="K41" s="59"/>
      <x:c r="L41" s="59"/>
      <x:c r="M41" s="59"/>
      <x:c r="N41" s="59"/>
      <x:c r="O41" s="59"/>
      <x:c r="P41" s="59"/>
      <x:c r="Q41" s="59"/>
      <x:c r="R41" s="59"/>
      <x:c r="S41" s="59"/>
      <x:c r="T41" s="59"/>
      <x:c r="U41" s="59"/>
      <x:c r="V41" s="59"/>
      <x:c r="W41" s="59"/>
      <x:c r="X41" s="59"/>
      <x:c r="Y41" s="59"/>
      <x:c r="Z41" s="59"/>
      <x:c r="AA41" s="59"/>
      <x:c r="AB41" s="59"/>
      <x:c r="AC41" s="59"/>
      <x:c r="AD41" s="59"/>
      <x:c r="AE41" s="59"/>
      <x:c r="AF41" s="59"/>
      <x:c r="AG41" s="59"/>
      <x:c r="AH41" s="59"/>
      <x:c r="AI41" s="59"/>
      <x:c r="AJ41" s="59"/>
      <x:c r="AK41" s="59"/>
      <x:c r="AL41" s="59"/>
      <x:c r="AM41" s="59"/>
      <x:c r="AN41" s="59"/>
    </x:row>
    <x:row r="42">
      <x:c r="A42" s="59"/>
      <x:c r="B42" s="59"/>
      <x:c r="C42" s="59"/>
      <x:c r="D42" s="59"/>
      <x:c r="E42" s="59"/>
      <x:c r="F42" s="59"/>
      <x:c r="G42" s="59"/>
      <x:c r="H42" s="59"/>
      <x:c r="I42" s="59"/>
      <x:c r="J42" s="59"/>
      <x:c r="K42" s="59"/>
      <x:c r="L42" s="59"/>
      <x:c r="M42" s="59"/>
      <x:c r="N42" s="59"/>
      <x:c r="O42" s="59"/>
      <x:c r="P42" s="59"/>
      <x:c r="Q42" s="59"/>
      <x:c r="R42" s="59"/>
      <x:c r="S42" s="59"/>
      <x:c r="T42" s="59"/>
      <x:c r="U42" s="59"/>
      <x:c r="V42" s="59"/>
      <x:c r="W42" s="59"/>
      <x:c r="X42" s="59"/>
      <x:c r="Y42" s="59"/>
      <x:c r="Z42" s="59"/>
      <x:c r="AA42" s="59"/>
      <x:c r="AB42" s="59"/>
      <x:c r="AC42" s="59"/>
      <x:c r="AD42" s="59"/>
      <x:c r="AE42" s="59"/>
      <x:c r="AF42" s="59"/>
      <x:c r="AG42" s="59"/>
      <x:c r="AH42" s="59"/>
      <x:c r="AI42" s="59"/>
      <x:c r="AJ42" s="59"/>
      <x:c r="AK42" s="59"/>
      <x:c r="AL42" s="59"/>
      <x:c r="AM42" s="59"/>
      <x:c r="AN42" s="59"/>
    </x:row>
    <x:row r="43">
      <x:c r="A43" s="59"/>
      <x:c r="B43" s="59"/>
      <x:c r="C43" s="59"/>
      <x:c r="D43" s="59"/>
      <x:c r="E43" s="59"/>
      <x:c r="F43" s="59"/>
      <x:c r="G43" s="59"/>
      <x:c r="H43" s="59"/>
      <x:c r="I43" s="59"/>
      <x:c r="J43" s="59"/>
      <x:c r="K43" s="59"/>
      <x:c r="L43" s="59"/>
      <x:c r="M43" s="59"/>
      <x:c r="N43" s="59"/>
      <x:c r="O43" s="59"/>
      <x:c r="P43" s="59"/>
      <x:c r="Q43" s="59"/>
      <x:c r="R43" s="59"/>
      <x:c r="S43" s="59"/>
      <x:c r="T43" s="59"/>
      <x:c r="U43" s="59"/>
      <x:c r="V43" s="59"/>
      <x:c r="W43" s="59"/>
      <x:c r="X43" s="59"/>
      <x:c r="Y43" s="59"/>
      <x:c r="Z43" s="59"/>
      <x:c r="AA43" s="59"/>
      <x:c r="AB43" s="59"/>
      <x:c r="AC43" s="59"/>
      <x:c r="AD43" s="59"/>
      <x:c r="AE43" s="59"/>
      <x:c r="AF43" s="59"/>
      <x:c r="AG43" s="59"/>
      <x:c r="AH43" s="59"/>
      <x:c r="AI43" s="59"/>
      <x:c r="AJ43" s="59"/>
      <x:c r="AK43" s="59"/>
      <x:c r="AL43" s="59"/>
      <x:c r="AM43" s="59"/>
      <x:c r="AN43" s="59"/>
    </x:row>
    <x:row r="44">
      <x:c r="A44" s="59"/>
      <x:c r="B44" s="59"/>
      <x:c r="C44" s="59"/>
      <x:c r="D44" s="59"/>
      <x:c r="E44" s="59"/>
      <x:c r="F44" s="59"/>
      <x:c r="G44" s="59"/>
      <x:c r="H44" s="59"/>
      <x:c r="I44" s="59"/>
      <x:c r="J44" s="59"/>
      <x:c r="K44" s="59"/>
      <x:c r="L44" s="59"/>
      <x:c r="M44" s="59"/>
      <x:c r="N44" s="59"/>
      <x:c r="O44" s="59"/>
      <x:c r="P44" s="59"/>
      <x:c r="Q44" s="59"/>
      <x:c r="R44" s="59"/>
      <x:c r="S44" s="59"/>
      <x:c r="T44" s="59"/>
      <x:c r="U44" s="59"/>
      <x:c r="V44" s="59"/>
      <x:c r="W44" s="59"/>
      <x:c r="X44" s="59"/>
      <x:c r="Y44" s="59"/>
      <x:c r="Z44" s="59"/>
      <x:c r="AA44" s="59"/>
      <x:c r="AB44" s="59"/>
      <x:c r="AC44" s="59"/>
      <x:c r="AD44" s="59"/>
      <x:c r="AE44" s="59"/>
      <x:c r="AF44" s="59"/>
      <x:c r="AG44" s="59"/>
      <x:c r="AH44" s="59"/>
      <x:c r="AI44" s="59"/>
      <x:c r="AJ44" s="59"/>
      <x:c r="AK44" s="59"/>
      <x:c r="AL44" s="59"/>
      <x:c r="AM44" s="59"/>
      <x:c r="AN44" s="59"/>
    </x:row>
    <x:row r="45">
      <x:c r="A45" s="59"/>
      <x:c r="B45" s="59"/>
      <x:c r="C45" s="59"/>
      <x:c r="D45" s="59"/>
      <x:c r="E45" s="59"/>
      <x:c r="F45" s="59"/>
      <x:c r="G45" s="59"/>
      <x:c r="H45" s="59"/>
      <x:c r="I45" s="59"/>
      <x:c r="J45" s="59"/>
      <x:c r="K45" s="59"/>
      <x:c r="L45" s="59"/>
      <x:c r="M45" s="59"/>
      <x:c r="N45" s="59"/>
      <x:c r="O45" s="59"/>
      <x:c r="P45" s="59"/>
      <x:c r="Q45" s="59"/>
      <x:c r="R45" s="59"/>
      <x:c r="S45" s="59"/>
      <x:c r="T45" s="59"/>
      <x:c r="U45" s="59"/>
      <x:c r="V45" s="59"/>
      <x:c r="W45" s="59"/>
      <x:c r="X45" s="59"/>
      <x:c r="Y45" s="59"/>
      <x:c r="Z45" s="59"/>
      <x:c r="AA45" s="59"/>
      <x:c r="AB45" s="59"/>
      <x:c r="AC45" s="59"/>
      <x:c r="AD45" s="59"/>
      <x:c r="AE45" s="59"/>
      <x:c r="AF45" s="59"/>
      <x:c r="AG45" s="59"/>
      <x:c r="AH45" s="59"/>
      <x:c r="AI45" s="59"/>
      <x:c r="AJ45" s="59"/>
      <x:c r="AK45" s="59"/>
      <x:c r="AL45" s="59"/>
      <x:c r="AM45" s="59"/>
      <x:c r="AN45" s="59"/>
    </x:row>
    <x:row r="46">
      <x:c r="A46" s="59"/>
      <x:c r="B46" s="59"/>
      <x:c r="C46" s="59"/>
      <x:c r="D46" s="59"/>
      <x:c r="E46" s="59"/>
      <x:c r="F46" s="59"/>
      <x:c r="G46" s="59"/>
      <x:c r="H46" s="59"/>
      <x:c r="I46" s="59"/>
      <x:c r="J46" s="59"/>
      <x:c r="K46" s="59"/>
      <x:c r="L46" s="59"/>
      <x:c r="M46" s="59"/>
      <x:c r="N46" s="59"/>
      <x:c r="O46" s="59"/>
      <x:c r="P46" s="59"/>
      <x:c r="Q46" s="59"/>
      <x:c r="R46" s="59"/>
      <x:c r="S46" s="59"/>
      <x:c r="T46" s="59"/>
      <x:c r="U46" s="59"/>
      <x:c r="V46" s="59"/>
      <x:c r="W46" s="59"/>
      <x:c r="X46" s="59"/>
      <x:c r="Y46" s="59"/>
      <x:c r="Z46" s="59"/>
      <x:c r="AA46" s="59"/>
      <x:c r="AB46" s="59"/>
      <x:c r="AC46" s="59"/>
      <x:c r="AD46" s="59"/>
      <x:c r="AE46" s="59"/>
      <x:c r="AF46" s="59"/>
      <x:c r="AG46" s="59"/>
      <x:c r="AH46" s="59"/>
      <x:c r="AI46" s="59"/>
      <x:c r="AJ46" s="59"/>
      <x:c r="AK46" s="59"/>
      <x:c r="AL46" s="59"/>
      <x:c r="AM46" s="59"/>
      <x:c r="AN46" s="59"/>
    </x:row>
    <x:row r="47">
      <x:c r="A47" s="59"/>
      <x:c r="B47" s="59"/>
      <x:c r="C47" s="59"/>
      <x:c r="D47" s="59"/>
      <x:c r="E47" s="59"/>
      <x:c r="F47" s="59"/>
      <x:c r="G47" s="59"/>
      <x:c r="H47" s="59"/>
      <x:c r="I47" s="59"/>
      <x:c r="J47" s="59"/>
      <x:c r="K47" s="59"/>
      <x:c r="L47" s="59"/>
      <x:c r="M47" s="59"/>
      <x:c r="N47" s="59"/>
      <x:c r="O47" s="59"/>
      <x:c r="P47" s="59"/>
      <x:c r="Q47" s="59"/>
      <x:c r="R47" s="59"/>
      <x:c r="S47" s="59"/>
      <x:c r="T47" s="59"/>
      <x:c r="U47" s="59"/>
      <x:c r="V47" s="59"/>
      <x:c r="W47" s="59"/>
      <x:c r="X47" s="59"/>
      <x:c r="Y47" s="59"/>
      <x:c r="Z47" s="59"/>
      <x:c r="AA47" s="59"/>
      <x:c r="AB47" s="59"/>
      <x:c r="AC47" s="59"/>
      <x:c r="AD47" s="59"/>
      <x:c r="AE47" s="59"/>
      <x:c r="AF47" s="59"/>
      <x:c r="AG47" s="59"/>
      <x:c r="AH47" s="59"/>
      <x:c r="AI47" s="59"/>
      <x:c r="AJ47" s="59"/>
      <x:c r="AK47" s="59"/>
      <x:c r="AL47" s="59"/>
      <x:c r="AM47" s="59"/>
      <x:c r="AN47" s="59"/>
    </x:row>
    <x:row r="48">
      <x:c r="A48" s="59"/>
      <x:c r="B48" s="59"/>
      <x:c r="C48" s="59"/>
      <x:c r="D48" s="59"/>
      <x:c r="E48" s="59"/>
      <x:c r="F48" s="59"/>
      <x:c r="G48" s="59"/>
      <x:c r="H48" s="59"/>
      <x:c r="I48" s="59"/>
      <x:c r="J48" s="59"/>
      <x:c r="K48" s="59"/>
      <x:c r="L48" s="59"/>
      <x:c r="M48" s="59"/>
      <x:c r="N48" s="59"/>
      <x:c r="O48" s="59"/>
      <x:c r="P48" s="59"/>
      <x:c r="Q48" s="59"/>
      <x:c r="R48" s="59"/>
      <x:c r="S48" s="59"/>
      <x:c r="T48" s="59"/>
      <x:c r="U48" s="59"/>
      <x:c r="V48" s="59"/>
      <x:c r="W48" s="59"/>
      <x:c r="X48" s="59"/>
      <x:c r="Y48" s="59"/>
      <x:c r="Z48" s="59"/>
      <x:c r="AA48" s="59"/>
      <x:c r="AB48" s="59"/>
      <x:c r="AC48" s="59"/>
      <x:c r="AD48" s="59"/>
      <x:c r="AE48" s="59"/>
      <x:c r="AF48" s="59"/>
      <x:c r="AG48" s="59"/>
      <x:c r="AH48" s="59"/>
      <x:c r="AI48" s="59"/>
      <x:c r="AJ48" s="59"/>
      <x:c r="AK48" s="59"/>
      <x:c r="AL48" s="59"/>
      <x:c r="AM48" s="59"/>
      <x:c r="AN48" s="59"/>
    </x:row>
    <x:row r="49">
      <x:c r="A49" s="59"/>
      <x:c r="B49" s="59"/>
      <x:c r="C49" s="59"/>
      <x:c r="D49" s="59"/>
      <x:c r="E49" s="59"/>
      <x:c r="F49" s="59"/>
      <x:c r="G49" s="59"/>
      <x:c r="H49" s="59"/>
      <x:c r="I49" s="59"/>
      <x:c r="J49" s="59"/>
      <x:c r="K49" s="59"/>
      <x:c r="L49" s="59"/>
      <x:c r="M49" s="59"/>
      <x:c r="N49" s="59"/>
      <x:c r="O49" s="59"/>
      <x:c r="P49" s="59"/>
      <x:c r="Q49" s="59"/>
      <x:c r="R49" s="59"/>
      <x:c r="S49" s="59"/>
      <x:c r="T49" s="59"/>
      <x:c r="U49" s="59"/>
      <x:c r="V49" s="59"/>
      <x:c r="W49" s="59"/>
      <x:c r="X49" s="59"/>
      <x:c r="Y49" s="59"/>
      <x:c r="Z49" s="59"/>
      <x:c r="AA49" s="59"/>
      <x:c r="AB49" s="59"/>
      <x:c r="AC49" s="59"/>
      <x:c r="AD49" s="59"/>
      <x:c r="AE49" s="59"/>
      <x:c r="AF49" s="59"/>
      <x:c r="AG49" s="59"/>
      <x:c r="AH49" s="59"/>
      <x:c r="AI49" s="59"/>
      <x:c r="AJ49" s="59"/>
      <x:c r="AK49" s="59"/>
      <x:c r="AL49" s="59"/>
      <x:c r="AM49" s="59"/>
      <x:c r="AN49" s="59"/>
    </x:row>
    <x:row r="50">
      <x:c r="A50" s="59"/>
      <x:c r="B50" s="59"/>
      <x:c r="C50" s="59"/>
      <x:c r="D50" s="59"/>
      <x:c r="E50" s="59"/>
      <x:c r="F50" s="59"/>
      <x:c r="G50" s="59"/>
      <x:c r="H50" s="59"/>
      <x:c r="I50" s="59"/>
      <x:c r="J50" s="59"/>
      <x:c r="K50" s="59"/>
      <x:c r="L50" s="59"/>
      <x:c r="M50" s="59"/>
      <x:c r="N50" s="59"/>
      <x:c r="O50" s="59"/>
      <x:c r="P50" s="59"/>
      <x:c r="Q50" s="59"/>
      <x:c r="R50" s="59"/>
      <x:c r="S50" s="59"/>
      <x:c r="T50" s="59"/>
      <x:c r="U50" s="59"/>
      <x:c r="V50" s="59"/>
      <x:c r="W50" s="59"/>
      <x:c r="X50" s="59"/>
      <x:c r="Y50" s="59"/>
      <x:c r="Z50" s="59"/>
      <x:c r="AA50" s="59"/>
      <x:c r="AB50" s="59"/>
      <x:c r="AC50" s="59"/>
      <x:c r="AD50" s="59"/>
      <x:c r="AE50" s="59"/>
      <x:c r="AF50" s="59"/>
      <x:c r="AG50" s="59"/>
      <x:c r="AH50" s="59"/>
      <x:c r="AI50" s="59"/>
      <x:c r="AJ50" s="59"/>
      <x:c r="AK50" s="59"/>
      <x:c r="AL50" s="59"/>
      <x:c r="AM50" s="59"/>
      <x:c r="AN50" s="59"/>
    </x:row>
    <x:row r="51">
      <x:c r="A51" s="59"/>
      <x:c r="B51" s="59"/>
      <x:c r="C51" s="59"/>
      <x:c r="D51" s="59"/>
      <x:c r="E51" s="59"/>
      <x:c r="F51" s="59"/>
      <x:c r="G51" s="59"/>
      <x:c r="H51" s="59"/>
      <x:c r="I51" s="59"/>
      <x:c r="J51" s="59"/>
      <x:c r="K51" s="59"/>
      <x:c r="L51" s="59"/>
      <x:c r="M51" s="59"/>
      <x:c r="N51" s="59"/>
      <x:c r="O51" s="59"/>
      <x:c r="P51" s="59"/>
      <x:c r="Q51" s="59"/>
      <x:c r="R51" s="59"/>
      <x:c r="S51" s="59"/>
      <x:c r="T51" s="59"/>
      <x:c r="U51" s="59"/>
      <x:c r="V51" s="59"/>
      <x:c r="W51" s="59"/>
      <x:c r="X51" s="59"/>
      <x:c r="Y51" s="59"/>
      <x:c r="Z51" s="59"/>
      <x:c r="AA51" s="59"/>
      <x:c r="AB51" s="59"/>
      <x:c r="AC51" s="59"/>
      <x:c r="AD51" s="59"/>
      <x:c r="AE51" s="59"/>
      <x:c r="AF51" s="59"/>
      <x:c r="AG51" s="59"/>
      <x:c r="AH51" s="59"/>
      <x:c r="AI51" s="59"/>
      <x:c r="AJ51" s="59"/>
      <x:c r="AK51" s="59"/>
      <x:c r="AL51" s="59"/>
      <x:c r="AM51" s="59"/>
      <x:c r="AN51" s="59"/>
    </x:row>
    <x:row r="52">
      <x:c r="A52" s="59"/>
      <x:c r="B52" s="59"/>
      <x:c r="C52" s="59"/>
      <x:c r="D52" s="59"/>
      <x:c r="E52" s="59"/>
      <x:c r="F52" s="59"/>
      <x:c r="G52" s="59"/>
      <x:c r="H52" s="59"/>
      <x:c r="I52" s="59"/>
      <x:c r="J52" s="59"/>
      <x:c r="K52" s="59"/>
      <x:c r="L52" s="59"/>
      <x:c r="M52" s="59"/>
      <x:c r="N52" s="59"/>
      <x:c r="O52" s="59"/>
      <x:c r="P52" s="59"/>
      <x:c r="Q52" s="59"/>
      <x:c r="R52" s="59"/>
      <x:c r="S52" s="59"/>
      <x:c r="T52" s="59"/>
      <x:c r="U52" s="59"/>
      <x:c r="V52" s="59"/>
      <x:c r="W52" s="59"/>
      <x:c r="X52" s="59"/>
      <x:c r="Y52" s="59"/>
      <x:c r="Z52" s="59"/>
      <x:c r="AA52" s="59"/>
      <x:c r="AB52" s="59"/>
      <x:c r="AC52" s="59"/>
      <x:c r="AD52" s="59"/>
      <x:c r="AE52" s="59"/>
      <x:c r="AF52" s="59"/>
      <x:c r="AG52" s="59"/>
      <x:c r="AH52" s="59"/>
      <x:c r="AI52" s="59"/>
      <x:c r="AJ52" s="59"/>
      <x:c r="AK52" s="59"/>
      <x:c r="AL52" s="59"/>
      <x:c r="AM52" s="59"/>
      <x:c r="AN52" s="59"/>
    </x:row>
    <x:row r="53">
      <x:c r="A53" s="59"/>
      <x:c r="B53" s="59"/>
      <x:c r="C53" s="59"/>
      <x:c r="D53" s="59"/>
      <x:c r="E53" s="59"/>
      <x:c r="F53" s="59"/>
      <x:c r="G53" s="59"/>
      <x:c r="H53" s="59"/>
      <x:c r="I53" s="59"/>
      <x:c r="J53" s="59"/>
      <x:c r="K53" s="59"/>
      <x:c r="L53" s="59"/>
      <x:c r="M53" s="59"/>
      <x:c r="N53" s="59"/>
      <x:c r="O53" s="59"/>
      <x:c r="P53" s="59"/>
      <x:c r="Q53" s="59"/>
      <x:c r="R53" s="59"/>
      <x:c r="S53" s="59"/>
      <x:c r="T53" s="59"/>
      <x:c r="U53" s="59"/>
      <x:c r="V53" s="59"/>
      <x:c r="W53" s="59"/>
      <x:c r="X53" s="59"/>
      <x:c r="Y53" s="59"/>
      <x:c r="Z53" s="59"/>
      <x:c r="AA53" s="59"/>
      <x:c r="AB53" s="59"/>
      <x:c r="AC53" s="59"/>
      <x:c r="AD53" s="59"/>
      <x:c r="AE53" s="59"/>
      <x:c r="AF53" s="59"/>
      <x:c r="AG53" s="59"/>
      <x:c r="AH53" s="59"/>
      <x:c r="AI53" s="59"/>
      <x:c r="AJ53" s="59"/>
      <x:c r="AK53" s="59"/>
      <x:c r="AL53" s="59"/>
      <x:c r="AM53" s="59"/>
      <x:c r="AN53" s="59"/>
    </x:row>
    <x:row r="54">
      <x:c r="A54" s="59"/>
      <x:c r="B54" s="59"/>
      <x:c r="C54" s="59"/>
      <x:c r="D54" s="59"/>
      <x:c r="E54" s="59"/>
      <x:c r="F54" s="59"/>
      <x:c r="G54" s="59"/>
      <x:c r="H54" s="59"/>
      <x:c r="I54" s="59"/>
      <x:c r="J54" s="59"/>
      <x:c r="K54" s="59"/>
      <x:c r="L54" s="59"/>
      <x:c r="M54" s="59"/>
      <x:c r="N54" s="59"/>
      <x:c r="O54" s="59"/>
      <x:c r="P54" s="59"/>
      <x:c r="Q54" s="59"/>
      <x:c r="R54" s="59"/>
      <x:c r="S54" s="59"/>
      <x:c r="T54" s="59"/>
      <x:c r="U54" s="59"/>
      <x:c r="V54" s="59"/>
      <x:c r="W54" s="59"/>
      <x:c r="X54" s="59"/>
      <x:c r="Y54" s="59"/>
      <x:c r="Z54" s="59"/>
      <x:c r="AA54" s="59"/>
      <x:c r="AB54" s="59"/>
      <x:c r="AC54" s="59"/>
      <x:c r="AD54" s="59"/>
      <x:c r="AE54" s="59"/>
      <x:c r="AF54" s="59"/>
      <x:c r="AG54" s="59"/>
      <x:c r="AH54" s="59"/>
      <x:c r="AI54" s="59"/>
      <x:c r="AJ54" s="59"/>
      <x:c r="AK54" s="59"/>
      <x:c r="AL54" s="59"/>
      <x:c r="AM54" s="59"/>
      <x:c r="AN54" s="59"/>
    </x:row>
    <x:row r="55">
      <x:c r="A55" s="59"/>
      <x:c r="B55" s="59"/>
      <x:c r="C55" s="59"/>
      <x:c r="D55" s="59"/>
      <x:c r="E55" s="59"/>
      <x:c r="F55" s="59"/>
      <x:c r="G55" s="59"/>
      <x:c r="H55" s="59"/>
      <x:c r="I55" s="59"/>
      <x:c r="J55" s="59"/>
      <x:c r="K55" s="59"/>
      <x:c r="L55" s="59"/>
      <x:c r="M55" s="59"/>
      <x:c r="N55" s="59"/>
      <x:c r="O55" s="59"/>
      <x:c r="P55" s="59"/>
      <x:c r="Q55" s="59"/>
      <x:c r="R55" s="59"/>
      <x:c r="S55" s="59"/>
      <x:c r="T55" s="59"/>
      <x:c r="U55" s="59"/>
      <x:c r="V55" s="59"/>
      <x:c r="W55" s="59"/>
      <x:c r="X55" s="59"/>
      <x:c r="Y55" s="59"/>
      <x:c r="Z55" s="59"/>
      <x:c r="AA55" s="59"/>
      <x:c r="AB55" s="59"/>
      <x:c r="AC55" s="59"/>
      <x:c r="AD55" s="59"/>
      <x:c r="AE55" s="59"/>
      <x:c r="AF55" s="59"/>
      <x:c r="AG55" s="59"/>
      <x:c r="AH55" s="59"/>
      <x:c r="AI55" s="59"/>
      <x:c r="AJ55" s="59"/>
      <x:c r="AK55" s="59"/>
      <x:c r="AL55" s="59"/>
      <x:c r="AM55" s="59"/>
      <x:c r="AN55" s="59"/>
    </x:row>
    <x:row r="56">
      <x:c r="A56" s="59"/>
      <x:c r="B56" s="59"/>
      <x:c r="C56" s="59"/>
      <x:c r="D56" s="59"/>
      <x:c r="E56" s="59"/>
      <x:c r="F56" s="59"/>
      <x:c r="G56" s="59"/>
      <x:c r="H56" s="59"/>
      <x:c r="I56" s="59"/>
      <x:c r="J56" s="59"/>
      <x:c r="K56" s="59"/>
      <x:c r="L56" s="59"/>
      <x:c r="M56" s="59"/>
      <x:c r="N56" s="59"/>
      <x:c r="O56" s="59"/>
      <x:c r="P56" s="59"/>
      <x:c r="Q56" s="59"/>
      <x:c r="R56" s="59"/>
      <x:c r="S56" s="59"/>
      <x:c r="T56" s="59"/>
      <x:c r="U56" s="59"/>
      <x:c r="V56" s="59"/>
      <x:c r="W56" s="59"/>
      <x:c r="X56" s="59"/>
      <x:c r="Y56" s="59"/>
      <x:c r="Z56" s="59"/>
      <x:c r="AA56" s="59"/>
      <x:c r="AB56" s="59"/>
      <x:c r="AC56" s="59"/>
      <x:c r="AD56" s="59"/>
      <x:c r="AE56" s="59"/>
      <x:c r="AF56" s="59"/>
      <x:c r="AG56" s="59"/>
      <x:c r="AH56" s="59"/>
      <x:c r="AI56" s="59"/>
      <x:c r="AJ56" s="59"/>
      <x:c r="AK56" s="59"/>
      <x:c r="AL56" s="59"/>
      <x:c r="AM56" s="59"/>
      <x:c r="AN56" s="59"/>
    </x:row>
    <x:row r="57">
      <x:c r="A57" s="59"/>
      <x:c r="B57" s="59"/>
      <x:c r="C57" s="59"/>
      <x:c r="D57" s="59"/>
      <x:c r="E57" s="59"/>
      <x:c r="F57" s="59"/>
      <x:c r="G57" s="59"/>
      <x:c r="H57" s="59"/>
      <x:c r="I57" s="59"/>
      <x:c r="J57" s="59"/>
      <x:c r="K57" s="59"/>
      <x:c r="L57" s="59"/>
      <x:c r="M57" s="59"/>
      <x:c r="N57" s="59"/>
      <x:c r="O57" s="59"/>
      <x:c r="P57" s="59"/>
      <x:c r="Q57" s="59"/>
      <x:c r="R57" s="59"/>
      <x:c r="S57" s="59"/>
      <x:c r="T57" s="59"/>
      <x:c r="U57" s="59"/>
      <x:c r="V57" s="59"/>
      <x:c r="W57" s="59"/>
      <x:c r="X57" s="59"/>
      <x:c r="Y57" s="59"/>
      <x:c r="Z57" s="59"/>
      <x:c r="AA57" s="59"/>
      <x:c r="AB57" s="59"/>
      <x:c r="AC57" s="59"/>
      <x:c r="AD57" s="59"/>
      <x:c r="AE57" s="59"/>
      <x:c r="AF57" s="59"/>
      <x:c r="AG57" s="59"/>
      <x:c r="AH57" s="59"/>
      <x:c r="AI57" s="59"/>
      <x:c r="AJ57" s="59"/>
      <x:c r="AK57" s="59"/>
      <x:c r="AL57" s="59"/>
      <x:c r="AM57" s="59"/>
      <x:c r="AN57" s="59"/>
    </x:row>
    <x:row r="58">
      <x:c r="A58" s="59"/>
      <x:c r="B58" s="59"/>
      <x:c r="C58" s="59"/>
      <x:c r="D58" s="59"/>
      <x:c r="E58" s="59"/>
      <x:c r="F58" s="59"/>
      <x:c r="G58" s="59"/>
      <x:c r="H58" s="59"/>
      <x:c r="I58" s="59"/>
      <x:c r="J58" s="59"/>
      <x:c r="K58" s="59"/>
      <x:c r="L58" s="59"/>
      <x:c r="M58" s="59"/>
      <x:c r="N58" s="59"/>
      <x:c r="O58" s="59"/>
      <x:c r="P58" s="59"/>
      <x:c r="Q58" s="59"/>
      <x:c r="R58" s="59"/>
      <x:c r="S58" s="59"/>
      <x:c r="T58" s="59"/>
      <x:c r="U58" s="59"/>
      <x:c r="V58" s="59"/>
      <x:c r="W58" s="59"/>
      <x:c r="X58" s="59"/>
      <x:c r="Y58" s="59"/>
      <x:c r="Z58" s="59"/>
      <x:c r="AA58" s="59"/>
      <x:c r="AB58" s="59"/>
      <x:c r="AC58" s="59"/>
      <x:c r="AD58" s="59"/>
      <x:c r="AE58" s="59"/>
      <x:c r="AF58" s="59"/>
      <x:c r="AG58" s="59"/>
      <x:c r="AH58" s="59"/>
      <x:c r="AI58" s="59"/>
      <x:c r="AJ58" s="59"/>
      <x:c r="AK58" s="59"/>
      <x:c r="AL58" s="59"/>
      <x:c r="AM58" s="59"/>
      <x:c r="AN58" s="59"/>
    </x:row>
    <x:row r="59">
      <x:c r="A59" s="59"/>
      <x:c r="B59" s="59"/>
      <x:c r="C59" s="59"/>
      <x:c r="D59" s="59"/>
      <x:c r="E59" s="59"/>
      <x:c r="F59" s="59"/>
      <x:c r="G59" s="59"/>
      <x:c r="H59" s="59"/>
      <x:c r="I59" s="59"/>
      <x:c r="J59" s="59"/>
      <x:c r="K59" s="59"/>
      <x:c r="L59" s="59"/>
      <x:c r="M59" s="59"/>
      <x:c r="N59" s="59"/>
      <x:c r="O59" s="59"/>
      <x:c r="P59" s="59"/>
      <x:c r="Q59" s="59"/>
      <x:c r="R59" s="59"/>
      <x:c r="S59" s="59"/>
      <x:c r="T59" s="59"/>
      <x:c r="U59" s="59"/>
      <x:c r="V59" s="59"/>
      <x:c r="W59" s="59"/>
      <x:c r="X59" s="59"/>
      <x:c r="Y59" s="59"/>
      <x:c r="Z59" s="59"/>
      <x:c r="AA59" s="59"/>
      <x:c r="AB59" s="59"/>
      <x:c r="AC59" s="59"/>
      <x:c r="AD59" s="59"/>
      <x:c r="AE59" s="59"/>
      <x:c r="AF59" s="59"/>
      <x:c r="AG59" s="59"/>
      <x:c r="AH59" s="59"/>
      <x:c r="AI59" s="59"/>
      <x:c r="AJ59" s="59"/>
      <x:c r="AK59" s="59"/>
      <x:c r="AL59" s="59"/>
      <x:c r="AM59" s="59"/>
      <x:c r="AN59" s="59"/>
    </x:row>
    <x:row r="60">
      <x:c r="A60" s="59"/>
      <x:c r="B60" s="59"/>
      <x:c r="C60" s="59"/>
      <x:c r="D60" s="59"/>
      <x:c r="E60" s="59"/>
      <x:c r="F60" s="59"/>
      <x:c r="G60" s="59"/>
      <x:c r="H60" s="59"/>
      <x:c r="I60" s="59"/>
      <x:c r="J60" s="59"/>
      <x:c r="K60" s="59"/>
      <x:c r="L60" s="59"/>
      <x:c r="M60" s="59"/>
      <x:c r="N60" s="59"/>
      <x:c r="O60" s="59"/>
      <x:c r="P60" s="59"/>
      <x:c r="Q60" s="59"/>
      <x:c r="R60" s="59"/>
      <x:c r="S60" s="59"/>
      <x:c r="T60" s="59"/>
      <x:c r="U60" s="59"/>
      <x:c r="V60" s="59"/>
      <x:c r="W60" s="59"/>
      <x:c r="X60" s="59"/>
      <x:c r="Y60" s="59"/>
      <x:c r="Z60" s="59"/>
      <x:c r="AA60" s="59"/>
      <x:c r="AB60" s="59"/>
      <x:c r="AC60" s="59"/>
      <x:c r="AD60" s="59"/>
      <x:c r="AE60" s="59"/>
      <x:c r="AF60" s="59"/>
      <x:c r="AG60" s="59"/>
      <x:c r="AH60" s="59"/>
      <x:c r="AI60" s="59"/>
      <x:c r="AJ60" s="59"/>
      <x:c r="AK60" s="59"/>
      <x:c r="AL60" s="59"/>
      <x:c r="AM60" s="59"/>
      <x:c r="AN60" s="59"/>
    </x:row>
    <x:row r="61">
      <x:c r="A61" s="59"/>
      <x:c r="B61" s="59"/>
      <x:c r="C61" s="59"/>
      <x:c r="D61" s="59"/>
      <x:c r="E61" s="59"/>
      <x:c r="F61" s="59"/>
      <x:c r="G61" s="59"/>
      <x:c r="H61" s="59"/>
      <x:c r="I61" s="59"/>
      <x:c r="J61" s="59"/>
      <x:c r="K61" s="59"/>
      <x:c r="L61" s="59"/>
      <x:c r="M61" s="59"/>
      <x:c r="N61" s="59"/>
      <x:c r="O61" s="59"/>
      <x:c r="P61" s="59"/>
      <x:c r="Q61" s="59"/>
      <x:c r="R61" s="59"/>
      <x:c r="S61" s="59"/>
      <x:c r="T61" s="59"/>
      <x:c r="U61" s="59"/>
      <x:c r="V61" s="59"/>
      <x:c r="W61" s="59"/>
      <x:c r="X61" s="59"/>
      <x:c r="Y61" s="59"/>
      <x:c r="Z61" s="59"/>
      <x:c r="AA61" s="59"/>
      <x:c r="AB61" s="59"/>
      <x:c r="AC61" s="59"/>
      <x:c r="AD61" s="59"/>
      <x:c r="AE61" s="59"/>
      <x:c r="AF61" s="59"/>
      <x:c r="AG61" s="59"/>
      <x:c r="AH61" s="59"/>
      <x:c r="AI61" s="59"/>
      <x:c r="AJ61" s="59"/>
      <x:c r="AK61" s="59"/>
      <x:c r="AL61" s="59"/>
      <x:c r="AM61" s="59"/>
      <x:c r="AN61" s="59"/>
    </x:row>
    <x:row r="62">
      <x:c r="A62" s="59"/>
      <x:c r="B62" s="59"/>
      <x:c r="C62" s="59"/>
      <x:c r="D62" s="59"/>
      <x:c r="E62" s="59"/>
      <x:c r="F62" s="59"/>
      <x:c r="G62" s="59"/>
      <x:c r="H62" s="59"/>
      <x:c r="I62" s="59"/>
      <x:c r="J62" s="59"/>
      <x:c r="K62" s="59"/>
      <x:c r="L62" s="59"/>
      <x:c r="M62" s="59"/>
      <x:c r="N62" s="59"/>
      <x:c r="O62" s="59"/>
      <x:c r="P62" s="59"/>
      <x:c r="Q62" s="59"/>
      <x:c r="R62" s="59"/>
      <x:c r="S62" s="59"/>
      <x:c r="T62" s="59"/>
      <x:c r="U62" s="59"/>
      <x:c r="V62" s="59"/>
      <x:c r="W62" s="59"/>
      <x:c r="X62" s="59"/>
      <x:c r="Y62" s="59"/>
      <x:c r="Z62" s="59"/>
      <x:c r="AA62" s="59"/>
      <x:c r="AB62" s="59"/>
      <x:c r="AC62" s="59"/>
      <x:c r="AD62" s="59"/>
      <x:c r="AE62" s="59"/>
      <x:c r="AF62" s="59"/>
      <x:c r="AG62" s="59"/>
      <x:c r="AH62" s="59"/>
      <x:c r="AI62" s="59"/>
      <x:c r="AJ62" s="59"/>
      <x:c r="AK62" s="59"/>
      <x:c r="AL62" s="59"/>
      <x:c r="AM62" s="59"/>
      <x:c r="AN62" s="59"/>
    </x:row>
    <x:row r="63">
      <x:c r="A63" s="59"/>
      <x:c r="B63" s="59"/>
      <x:c r="C63" s="59"/>
      <x:c r="D63" s="59"/>
      <x:c r="E63" s="59"/>
      <x:c r="F63" s="59"/>
      <x:c r="G63" s="59"/>
      <x:c r="H63" s="59"/>
      <x:c r="I63" s="59"/>
      <x:c r="J63" s="59"/>
      <x:c r="K63" s="59"/>
      <x:c r="L63" s="59"/>
      <x:c r="M63" s="59"/>
      <x:c r="N63" s="59"/>
      <x:c r="O63" s="59"/>
      <x:c r="P63" s="59"/>
      <x:c r="Q63" s="59"/>
      <x:c r="R63" s="59"/>
      <x:c r="S63" s="59"/>
      <x:c r="T63" s="59"/>
      <x:c r="U63" s="59"/>
      <x:c r="V63" s="59"/>
      <x:c r="W63" s="59"/>
      <x:c r="X63" s="59"/>
      <x:c r="Y63" s="59"/>
      <x:c r="Z63" s="59"/>
      <x:c r="AA63" s="59"/>
      <x:c r="AB63" s="59"/>
      <x:c r="AC63" s="59"/>
      <x:c r="AD63" s="59"/>
      <x:c r="AE63" s="59"/>
      <x:c r="AF63" s="59"/>
      <x:c r="AG63" s="59"/>
      <x:c r="AH63" s="59"/>
      <x:c r="AI63" s="59"/>
      <x:c r="AJ63" s="59"/>
      <x:c r="AK63" s="59"/>
      <x:c r="AL63" s="59"/>
      <x:c r="AM63" s="59"/>
      <x:c r="AN63" s="59"/>
    </x:row>
    <x:row r="64">
      <x:c r="A64" s="59"/>
      <x:c r="B64" s="59"/>
      <x:c r="C64" s="59"/>
      <x:c r="D64" s="59"/>
      <x:c r="E64" s="59"/>
      <x:c r="F64" s="59"/>
      <x:c r="G64" s="59"/>
      <x:c r="H64" s="59"/>
      <x:c r="I64" s="59"/>
      <x:c r="J64" s="59"/>
      <x:c r="K64" s="59"/>
      <x:c r="L64" s="59"/>
      <x:c r="M64" s="59"/>
      <x:c r="N64" s="59"/>
      <x:c r="O64" s="59"/>
      <x:c r="P64" s="59"/>
      <x:c r="Q64" s="59"/>
      <x:c r="R64" s="59"/>
      <x:c r="S64" s="59"/>
      <x:c r="T64" s="59"/>
      <x:c r="U64" s="59"/>
      <x:c r="V64" s="59"/>
      <x:c r="W64" s="59"/>
      <x:c r="X64" s="59"/>
      <x:c r="Y64" s="59"/>
      <x:c r="Z64" s="59"/>
      <x:c r="AA64" s="59"/>
      <x:c r="AB64" s="59"/>
      <x:c r="AC64" s="59"/>
      <x:c r="AD64" s="59"/>
      <x:c r="AE64" s="59"/>
      <x:c r="AF64" s="59"/>
      <x:c r="AG64" s="59"/>
      <x:c r="AH64" s="59"/>
      <x:c r="AI64" s="59"/>
      <x:c r="AJ64" s="59"/>
      <x:c r="AK64" s="59"/>
      <x:c r="AL64" s="59"/>
      <x:c r="AM64" s="59"/>
      <x:c r="AN64" s="59"/>
    </x:row>
    <x:row r="65">
      <x:c r="A65" s="59"/>
      <x:c r="B65" s="59"/>
      <x:c r="C65" s="59"/>
      <x:c r="D65" s="59"/>
      <x:c r="E65" s="59"/>
      <x:c r="F65" s="59"/>
      <x:c r="G65" s="59"/>
      <x:c r="H65" s="59"/>
      <x:c r="I65" s="59"/>
      <x:c r="J65" s="59"/>
      <x:c r="K65" s="59"/>
      <x:c r="L65" s="59"/>
      <x:c r="M65" s="59"/>
      <x:c r="N65" s="59"/>
      <x:c r="O65" s="59"/>
      <x:c r="P65" s="59"/>
      <x:c r="Q65" s="59"/>
      <x:c r="R65" s="59"/>
      <x:c r="S65" s="59"/>
      <x:c r="T65" s="59"/>
      <x:c r="U65" s="59"/>
      <x:c r="V65" s="59"/>
      <x:c r="W65" s="59"/>
      <x:c r="X65" s="59"/>
      <x:c r="Y65" s="59"/>
      <x:c r="Z65" s="59"/>
      <x:c r="AA65" s="59"/>
      <x:c r="AB65" s="59"/>
      <x:c r="AC65" s="59"/>
      <x:c r="AD65" s="59"/>
      <x:c r="AE65" s="59"/>
      <x:c r="AF65" s="59"/>
      <x:c r="AG65" s="59"/>
      <x:c r="AH65" s="59"/>
      <x:c r="AI65" s="59"/>
      <x:c r="AJ65" s="59"/>
      <x:c r="AK65" s="59"/>
      <x:c r="AL65" s="59"/>
      <x:c r="AM65" s="59"/>
      <x:c r="AN65" s="59"/>
    </x:row>
    <x:row r="66">
      <x:c r="A66" s="59"/>
      <x:c r="B66" s="59"/>
      <x:c r="C66" s="59"/>
      <x:c r="D66" s="59"/>
      <x:c r="E66" s="59"/>
      <x:c r="F66" s="59"/>
      <x:c r="G66" s="59"/>
      <x:c r="H66" s="59"/>
      <x:c r="I66" s="59"/>
      <x:c r="J66" s="59"/>
      <x:c r="K66" s="59"/>
      <x:c r="L66" s="59"/>
      <x:c r="M66" s="59"/>
      <x:c r="N66" s="59"/>
      <x:c r="O66" s="59"/>
      <x:c r="P66" s="59"/>
      <x:c r="Q66" s="59"/>
      <x:c r="R66" s="59"/>
      <x:c r="S66" s="59"/>
      <x:c r="T66" s="59"/>
      <x:c r="U66" s="59"/>
      <x:c r="V66" s="59"/>
      <x:c r="W66" s="59"/>
      <x:c r="X66" s="59"/>
      <x:c r="Y66" s="59"/>
      <x:c r="Z66" s="59"/>
      <x:c r="AA66" s="59"/>
      <x:c r="AB66" s="59"/>
      <x:c r="AC66" s="59"/>
      <x:c r="AD66" s="59"/>
      <x:c r="AE66" s="59"/>
      <x:c r="AF66" s="59"/>
      <x:c r="AG66" s="59"/>
      <x:c r="AH66" s="59"/>
      <x:c r="AI66" s="59"/>
      <x:c r="AJ66" s="59"/>
      <x:c r="AK66" s="59"/>
      <x:c r="AL66" s="59"/>
      <x:c r="AM66" s="59"/>
      <x:c r="AN66" s="59"/>
    </x:row>
    <x:row r="67">
      <x:c r="A67" s="59"/>
      <x:c r="B67" s="59"/>
      <x:c r="C67" s="59"/>
      <x:c r="D67" s="59"/>
      <x:c r="E67" s="59"/>
      <x:c r="F67" s="59"/>
      <x:c r="G67" s="59"/>
      <x:c r="H67" s="59"/>
      <x:c r="I67" s="59"/>
      <x:c r="J67" s="59"/>
      <x:c r="K67" s="59"/>
      <x:c r="L67" s="59"/>
      <x:c r="M67" s="59"/>
      <x:c r="N67" s="59"/>
      <x:c r="O67" s="59"/>
      <x:c r="P67" s="59"/>
      <x:c r="Q67" s="59"/>
      <x:c r="R67" s="59"/>
      <x:c r="S67" s="59"/>
      <x:c r="T67" s="59"/>
      <x:c r="U67" s="59"/>
      <x:c r="V67" s="59"/>
      <x:c r="W67" s="59"/>
      <x:c r="X67" s="59"/>
      <x:c r="Y67" s="59"/>
      <x:c r="Z67" s="59"/>
      <x:c r="AA67" s="59"/>
      <x:c r="AB67" s="59"/>
      <x:c r="AC67" s="59"/>
      <x:c r="AD67" s="59"/>
      <x:c r="AE67" s="59"/>
      <x:c r="AF67" s="59"/>
      <x:c r="AG67" s="59"/>
      <x:c r="AH67" s="59"/>
      <x:c r="AI67" s="59"/>
      <x:c r="AJ67" s="59"/>
      <x:c r="AK67" s="59"/>
      <x:c r="AL67" s="59"/>
      <x:c r="AM67" s="59"/>
      <x:c r="AN67" s="59"/>
    </x:row>
    <x:row r="68">
      <x:c r="A68" s="59"/>
      <x:c r="B68" s="59"/>
      <x:c r="C68" s="59"/>
      <x:c r="D68" s="59"/>
      <x:c r="E68" s="59"/>
      <x:c r="F68" s="59"/>
      <x:c r="G68" s="59"/>
      <x:c r="H68" s="59"/>
      <x:c r="I68" s="59"/>
      <x:c r="J68" s="59"/>
      <x:c r="K68" s="59"/>
      <x:c r="L68" s="59"/>
      <x:c r="M68" s="59"/>
      <x:c r="N68" s="59"/>
      <x:c r="O68" s="59"/>
      <x:c r="P68" s="59"/>
      <x:c r="Q68" s="59"/>
      <x:c r="R68" s="59"/>
      <x:c r="S68" s="59"/>
      <x:c r="T68" s="59"/>
      <x:c r="U68" s="59"/>
      <x:c r="V68" s="59"/>
      <x:c r="W68" s="59"/>
      <x:c r="X68" s="59"/>
      <x:c r="Y68" s="59"/>
      <x:c r="Z68" s="59"/>
      <x:c r="AA68" s="59"/>
      <x:c r="AB68" s="59"/>
      <x:c r="AC68" s="59"/>
      <x:c r="AD68" s="59"/>
      <x:c r="AE68" s="59"/>
      <x:c r="AF68" s="59"/>
      <x:c r="AG68" s="59"/>
      <x:c r="AH68" s="59"/>
      <x:c r="AI68" s="59"/>
      <x:c r="AJ68" s="59"/>
      <x:c r="AK68" s="59"/>
      <x:c r="AL68" s="59"/>
      <x:c r="AM68" s="59"/>
      <x:c r="AN68" s="59"/>
    </x:row>
    <x:row r="69">
      <x:c r="A69" s="59"/>
      <x:c r="B69" s="59"/>
      <x:c r="C69" s="59"/>
      <x:c r="D69" s="59"/>
      <x:c r="E69" s="59"/>
      <x:c r="F69" s="59"/>
      <x:c r="G69" s="59"/>
      <x:c r="H69" s="59"/>
      <x:c r="I69" s="59"/>
      <x:c r="J69" s="59"/>
      <x:c r="K69" s="59"/>
      <x:c r="L69" s="59"/>
      <x:c r="M69" s="59"/>
      <x:c r="N69" s="59"/>
      <x:c r="O69" s="59"/>
      <x:c r="P69" s="59"/>
      <x:c r="Q69" s="59"/>
      <x:c r="R69" s="59"/>
      <x:c r="S69" s="59"/>
      <x:c r="T69" s="59"/>
      <x:c r="U69" s="59"/>
      <x:c r="V69" s="59"/>
      <x:c r="W69" s="59"/>
      <x:c r="X69" s="59"/>
      <x:c r="Y69" s="59"/>
      <x:c r="Z69" s="59"/>
      <x:c r="AA69" s="59"/>
      <x:c r="AB69" s="59"/>
      <x:c r="AC69" s="59"/>
      <x:c r="AD69" s="59"/>
      <x:c r="AE69" s="59"/>
      <x:c r="AF69" s="59"/>
      <x:c r="AG69" s="59"/>
      <x:c r="AH69" s="59"/>
      <x:c r="AI69" s="59"/>
      <x:c r="AJ69" s="59"/>
      <x:c r="AK69" s="59"/>
      <x:c r="AL69" s="59"/>
      <x:c r="AM69" s="59"/>
      <x:c r="AN69" s="59"/>
    </x:row>
    <x:row r="70">
      <x:c r="A70" s="59"/>
      <x:c r="B70" s="59"/>
      <x:c r="C70" s="59"/>
      <x:c r="D70" s="59"/>
      <x:c r="E70" s="59"/>
      <x:c r="F70" s="59"/>
      <x:c r="G70" s="59"/>
      <x:c r="H70" s="59"/>
      <x:c r="I70" s="59"/>
      <x:c r="J70" s="59"/>
      <x:c r="K70" s="59"/>
      <x:c r="L70" s="59"/>
      <x:c r="M70" s="59"/>
      <x:c r="N70" s="59"/>
      <x:c r="O70" s="59"/>
      <x:c r="P70" s="59"/>
      <x:c r="Q70" s="59"/>
      <x:c r="R70" s="59"/>
      <x:c r="S70" s="59"/>
      <x:c r="T70" s="59"/>
      <x:c r="U70" s="59"/>
      <x:c r="V70" s="59"/>
      <x:c r="W70" s="59"/>
      <x:c r="X70" s="59"/>
      <x:c r="Y70" s="59"/>
      <x:c r="Z70" s="59"/>
      <x:c r="AA70" s="59"/>
      <x:c r="AB70" s="59"/>
      <x:c r="AC70" s="59"/>
      <x:c r="AD70" s="59"/>
      <x:c r="AE70" s="59"/>
      <x:c r="AF70" s="59"/>
      <x:c r="AG70" s="59"/>
      <x:c r="AH70" s="59"/>
      <x:c r="AI70" s="59"/>
      <x:c r="AJ70" s="59"/>
      <x:c r="AK70" s="59"/>
      <x:c r="AL70" s="59"/>
      <x:c r="AM70" s="59"/>
      <x:c r="AN70" s="59"/>
    </x:row>
    <x:row r="71">
      <x:c r="A71" s="59"/>
      <x:c r="B71" s="59"/>
      <x:c r="C71" s="59"/>
      <x:c r="D71" s="59"/>
      <x:c r="E71" s="59"/>
      <x:c r="F71" s="59"/>
      <x:c r="G71" s="59"/>
      <x:c r="H71" s="59"/>
      <x:c r="I71" s="59"/>
      <x:c r="J71" s="59"/>
      <x:c r="K71" s="59"/>
      <x:c r="L71" s="59"/>
      <x:c r="M71" s="59"/>
      <x:c r="N71" s="59"/>
      <x:c r="O71" s="59"/>
      <x:c r="P71" s="59"/>
      <x:c r="Q71" s="59"/>
      <x:c r="R71" s="59"/>
      <x:c r="S71" s="59"/>
      <x:c r="T71" s="59"/>
      <x:c r="U71" s="59"/>
      <x:c r="V71" s="59"/>
      <x:c r="W71" s="59"/>
      <x:c r="X71" s="59"/>
      <x:c r="Y71" s="59"/>
      <x:c r="Z71" s="59"/>
      <x:c r="AA71" s="59"/>
      <x:c r="AB71" s="59"/>
      <x:c r="AC71" s="59"/>
      <x:c r="AD71" s="59"/>
      <x:c r="AE71" s="59"/>
      <x:c r="AF71" s="59"/>
      <x:c r="AG71" s="59"/>
      <x:c r="AH71" s="59"/>
      <x:c r="AI71" s="59"/>
      <x:c r="AJ71" s="59"/>
      <x:c r="AK71" s="59"/>
      <x:c r="AL71" s="59"/>
      <x:c r="AM71" s="59"/>
      <x:c r="AN71" s="59"/>
    </x:row>
    <x:row r="72">
      <x:c r="A72" s="59"/>
      <x:c r="B72" s="59"/>
      <x:c r="C72" s="59"/>
      <x:c r="D72" s="59"/>
      <x:c r="E72" s="59"/>
      <x:c r="F72" s="59"/>
      <x:c r="G72" s="59"/>
      <x:c r="H72" s="59"/>
      <x:c r="I72" s="59"/>
      <x:c r="J72" s="59"/>
      <x:c r="K72" s="59"/>
      <x:c r="L72" s="59"/>
      <x:c r="M72" s="59"/>
      <x:c r="N72" s="59"/>
      <x:c r="O72" s="59"/>
      <x:c r="P72" s="59"/>
      <x:c r="Q72" s="59"/>
      <x:c r="R72" s="59"/>
      <x:c r="S72" s="59"/>
      <x:c r="T72" s="59"/>
      <x:c r="U72" s="59"/>
      <x:c r="V72" s="59"/>
      <x:c r="W72" s="59"/>
      <x:c r="X72" s="59"/>
      <x:c r="Y72" s="59"/>
      <x:c r="Z72" s="59"/>
      <x:c r="AA72" s="59"/>
      <x:c r="AB72" s="59"/>
      <x:c r="AC72" s="59"/>
      <x:c r="AD72" s="59"/>
      <x:c r="AE72" s="59"/>
      <x:c r="AF72" s="59"/>
      <x:c r="AG72" s="59"/>
      <x:c r="AH72" s="59"/>
      <x:c r="AI72" s="59"/>
      <x:c r="AJ72" s="59"/>
      <x:c r="AK72" s="59"/>
      <x:c r="AL72" s="59"/>
      <x:c r="AM72" s="59"/>
      <x:c r="AN72" s="59"/>
    </x:row>
    <x:row r="73">
      <x:c r="A73" s="59"/>
      <x:c r="B73" s="59"/>
      <x:c r="C73" s="59"/>
      <x:c r="D73" s="59"/>
      <x:c r="E73" s="59"/>
      <x:c r="F73" s="59"/>
      <x:c r="G73" s="59"/>
      <x:c r="H73" s="59"/>
      <x:c r="I73" s="59"/>
      <x:c r="J73" s="59"/>
      <x:c r="K73" s="59"/>
      <x:c r="L73" s="59"/>
      <x:c r="M73" s="59"/>
      <x:c r="N73" s="59"/>
      <x:c r="O73" s="59"/>
      <x:c r="P73" s="59"/>
      <x:c r="Q73" s="59"/>
      <x:c r="R73" s="59"/>
      <x:c r="S73" s="59"/>
      <x:c r="T73" s="59"/>
      <x:c r="U73" s="59"/>
      <x:c r="V73" s="59"/>
      <x:c r="W73" s="59"/>
      <x:c r="X73" s="59"/>
      <x:c r="Y73" s="59"/>
      <x:c r="Z73" s="59"/>
      <x:c r="AA73" s="59"/>
      <x:c r="AB73" s="59"/>
      <x:c r="AC73" s="59"/>
      <x:c r="AD73" s="59"/>
      <x:c r="AE73" s="59"/>
      <x:c r="AF73" s="59"/>
      <x:c r="AG73" s="59"/>
      <x:c r="AH73" s="59"/>
      <x:c r="AI73" s="59"/>
      <x:c r="AJ73" s="59"/>
      <x:c r="AK73" s="59"/>
      <x:c r="AL73" s="59"/>
      <x:c r="AM73" s="59"/>
      <x:c r="AN73" s="59"/>
    </x:row>
    <x:row r="74">
      <x:c r="A74" s="59"/>
      <x:c r="B74" s="59"/>
      <x:c r="C74" s="59"/>
      <x:c r="D74" s="59"/>
      <x:c r="E74" s="59"/>
      <x:c r="F74" s="59"/>
      <x:c r="G74" s="59"/>
      <x:c r="H74" s="59"/>
      <x:c r="I74" s="59"/>
      <x:c r="J74" s="59"/>
      <x:c r="K74" s="59"/>
      <x:c r="L74" s="59"/>
      <x:c r="M74" s="59"/>
      <x:c r="N74" s="59"/>
      <x:c r="O74" s="59"/>
      <x:c r="P74" s="59"/>
      <x:c r="Q74" s="59"/>
      <x:c r="R74" s="59"/>
      <x:c r="S74" s="59"/>
      <x:c r="T74" s="59"/>
      <x:c r="U74" s="59"/>
      <x:c r="V74" s="59"/>
      <x:c r="W74" s="59"/>
      <x:c r="X74" s="59"/>
      <x:c r="Y74" s="59"/>
      <x:c r="Z74" s="59"/>
      <x:c r="AA74" s="59"/>
      <x:c r="AB74" s="59"/>
      <x:c r="AC74" s="59"/>
      <x:c r="AD74" s="59"/>
      <x:c r="AE74" s="59"/>
      <x:c r="AF74" s="59"/>
      <x:c r="AG74" s="59"/>
      <x:c r="AH74" s="59"/>
      <x:c r="AI74" s="59"/>
      <x:c r="AJ74" s="59"/>
      <x:c r="AK74" s="59"/>
      <x:c r="AL74" s="59"/>
      <x:c r="AM74" s="59"/>
      <x:c r="AN74" s="59"/>
    </x:row>
    <x:row r="75">
      <x:c r="A75" s="59"/>
      <x:c r="B75" s="59"/>
      <x:c r="C75" s="59"/>
      <x:c r="D75" s="59"/>
      <x:c r="E75" s="59"/>
      <x:c r="F75" s="59"/>
      <x:c r="G75" s="59"/>
      <x:c r="H75" s="59"/>
      <x:c r="I75" s="59"/>
      <x:c r="J75" s="59"/>
      <x:c r="K75" s="59"/>
      <x:c r="L75" s="59"/>
      <x:c r="M75" s="59"/>
      <x:c r="N75" s="59"/>
      <x:c r="O75" s="59"/>
      <x:c r="P75" s="59"/>
      <x:c r="Q75" s="59"/>
      <x:c r="R75" s="59"/>
      <x:c r="S75" s="59"/>
      <x:c r="T75" s="59"/>
      <x:c r="U75" s="59"/>
      <x:c r="V75" s="59"/>
      <x:c r="W75" s="59"/>
      <x:c r="X75" s="59"/>
      <x:c r="Y75" s="59"/>
      <x:c r="Z75" s="59"/>
      <x:c r="AA75" s="59"/>
      <x:c r="AB75" s="59"/>
      <x:c r="AC75" s="59"/>
      <x:c r="AD75" s="59"/>
      <x:c r="AE75" s="59"/>
      <x:c r="AF75" s="59"/>
      <x:c r="AG75" s="59"/>
      <x:c r="AH75" s="59"/>
      <x:c r="AI75" s="59"/>
      <x:c r="AJ75" s="59"/>
      <x:c r="AK75" s="59"/>
      <x:c r="AL75" s="59"/>
      <x:c r="AM75" s="59"/>
      <x:c r="AN75" s="59"/>
    </x:row>
    <x:row r="76">
      <x:c r="A76" s="59"/>
      <x:c r="B76" s="59"/>
      <x:c r="C76" s="59"/>
      <x:c r="D76" s="59"/>
      <x:c r="E76" s="59"/>
      <x:c r="F76" s="59"/>
      <x:c r="G76" s="59"/>
      <x:c r="H76" s="59"/>
      <x:c r="I76" s="59"/>
      <x:c r="J76" s="59"/>
      <x:c r="K76" s="59"/>
      <x:c r="L76" s="59"/>
      <x:c r="M76" s="59"/>
      <x:c r="N76" s="59"/>
      <x:c r="O76" s="59"/>
      <x:c r="P76" s="59"/>
      <x:c r="Q76" s="59"/>
      <x:c r="R76" s="59"/>
      <x:c r="S76" s="59"/>
      <x:c r="T76" s="59"/>
      <x:c r="U76" s="59"/>
      <x:c r="V76" s="59"/>
      <x:c r="W76" s="59"/>
      <x:c r="X76" s="59"/>
      <x:c r="Y76" s="59"/>
      <x:c r="Z76" s="59"/>
      <x:c r="AA76" s="59"/>
      <x:c r="AB76" s="59"/>
      <x:c r="AC76" s="59"/>
      <x:c r="AD76" s="59"/>
      <x:c r="AE76" s="59"/>
      <x:c r="AF76" s="59"/>
      <x:c r="AG76" s="59"/>
      <x:c r="AH76" s="59"/>
      <x:c r="AI76" s="59"/>
      <x:c r="AJ76" s="59"/>
      <x:c r="AK76" s="59"/>
      <x:c r="AL76" s="59"/>
      <x:c r="AM76" s="59"/>
      <x:c r="AN76" s="59"/>
    </x:row>
    <x:row r="77">
      <x:c r="A77" s="59"/>
      <x:c r="B77" s="59"/>
      <x:c r="C77" s="59"/>
      <x:c r="D77" s="59"/>
      <x:c r="E77" s="59"/>
      <x:c r="F77" s="59"/>
      <x:c r="G77" s="59"/>
      <x:c r="H77" s="59"/>
      <x:c r="I77" s="59"/>
      <x:c r="J77" s="59"/>
      <x:c r="K77" s="59"/>
      <x:c r="L77" s="59"/>
      <x:c r="M77" s="59"/>
      <x:c r="N77" s="59"/>
      <x:c r="O77" s="59"/>
      <x:c r="P77" s="59"/>
      <x:c r="Q77" s="59"/>
      <x:c r="R77" s="59"/>
      <x:c r="S77" s="59"/>
      <x:c r="T77" s="59"/>
      <x:c r="U77" s="59"/>
      <x:c r="V77" s="59"/>
      <x:c r="W77" s="59"/>
      <x:c r="X77" s="59"/>
      <x:c r="Y77" s="59"/>
      <x:c r="Z77" s="59"/>
      <x:c r="AA77" s="59"/>
      <x:c r="AB77" s="59"/>
      <x:c r="AC77" s="59"/>
      <x:c r="AD77" s="59"/>
      <x:c r="AE77" s="59"/>
      <x:c r="AF77" s="59"/>
      <x:c r="AG77" s="59"/>
      <x:c r="AH77" s="59"/>
      <x:c r="AI77" s="59"/>
      <x:c r="AJ77" s="59"/>
      <x:c r="AK77" s="59"/>
      <x:c r="AL77" s="59"/>
      <x:c r="AM77" s="59"/>
      <x:c r="AN77" s="59"/>
    </x:row>
    <x:row r="78">
      <x:c r="A78" s="59"/>
      <x:c r="B78" s="59"/>
      <x:c r="C78" s="59"/>
      <x:c r="D78" s="59"/>
      <x:c r="E78" s="59"/>
      <x:c r="F78" s="59"/>
      <x:c r="G78" s="59"/>
      <x:c r="H78" s="59"/>
      <x:c r="I78" s="59"/>
      <x:c r="J78" s="59"/>
      <x:c r="K78" s="59"/>
      <x:c r="L78" s="59"/>
      <x:c r="M78" s="59"/>
      <x:c r="N78" s="59"/>
      <x:c r="O78" s="59"/>
      <x:c r="P78" s="59"/>
      <x:c r="Q78" s="59"/>
      <x:c r="R78" s="59"/>
      <x:c r="S78" s="59"/>
      <x:c r="T78" s="59"/>
      <x:c r="U78" s="59"/>
      <x:c r="V78" s="59"/>
      <x:c r="W78" s="59"/>
      <x:c r="X78" s="59"/>
      <x:c r="Y78" s="59"/>
      <x:c r="Z78" s="59"/>
      <x:c r="AA78" s="59"/>
      <x:c r="AB78" s="59"/>
      <x:c r="AC78" s="59"/>
      <x:c r="AD78" s="59"/>
      <x:c r="AE78" s="59"/>
      <x:c r="AF78" s="59"/>
      <x:c r="AG78" s="59"/>
      <x:c r="AH78" s="59"/>
      <x:c r="AI78" s="59"/>
      <x:c r="AJ78" s="59"/>
      <x:c r="AK78" s="59"/>
      <x:c r="AL78" s="59"/>
      <x:c r="AM78" s="59"/>
      <x:c r="AN78" s="59"/>
    </x:row>
    <x:row r="79">
      <x:c r="A79" s="59"/>
      <x:c r="B79" s="59"/>
      <x:c r="C79" s="59"/>
      <x:c r="D79" s="59"/>
      <x:c r="E79" s="59"/>
      <x:c r="F79" s="59"/>
      <x:c r="G79" s="59"/>
      <x:c r="H79" s="59"/>
      <x:c r="I79" s="59"/>
      <x:c r="J79" s="59"/>
      <x:c r="K79" s="59"/>
      <x:c r="L79" s="59"/>
      <x:c r="M79" s="59"/>
      <x:c r="N79" s="59"/>
      <x:c r="O79" s="59"/>
      <x:c r="P79" s="59"/>
      <x:c r="Q79" s="59"/>
      <x:c r="R79" s="59"/>
      <x:c r="S79" s="59"/>
      <x:c r="T79" s="59"/>
      <x:c r="U79" s="59"/>
      <x:c r="V79" s="59"/>
      <x:c r="W79" s="59"/>
      <x:c r="X79" s="59"/>
      <x:c r="Y79" s="59"/>
      <x:c r="Z79" s="59"/>
      <x:c r="AA79" s="59"/>
      <x:c r="AB79" s="59"/>
      <x:c r="AC79" s="59"/>
      <x:c r="AD79" s="59"/>
      <x:c r="AE79" s="59"/>
      <x:c r="AF79" s="59"/>
      <x:c r="AG79" s="59"/>
      <x:c r="AH79" s="59"/>
      <x:c r="AI79" s="59"/>
      <x:c r="AJ79" s="59"/>
      <x:c r="AK79" s="59"/>
      <x:c r="AL79" s="59"/>
      <x:c r="AM79" s="59"/>
      <x:c r="AN79" s="59"/>
    </x:row>
    <x:row r="80">
      <x:c r="A80" s="59"/>
      <x:c r="B80" s="59"/>
      <x:c r="C80" s="59"/>
      <x:c r="D80" s="59"/>
      <x:c r="E80" s="59"/>
      <x:c r="F80" s="59"/>
      <x:c r="G80" s="59"/>
      <x:c r="H80" s="59"/>
      <x:c r="I80" s="59"/>
      <x:c r="J80" s="59"/>
      <x:c r="K80" s="59"/>
      <x:c r="L80" s="59"/>
      <x:c r="M80" s="59"/>
      <x:c r="N80" s="59"/>
      <x:c r="O80" s="59"/>
      <x:c r="P80" s="59"/>
      <x:c r="Q80" s="59"/>
      <x:c r="R80" s="59"/>
      <x:c r="S80" s="59"/>
      <x:c r="T80" s="59"/>
      <x:c r="U80" s="59"/>
      <x:c r="V80" s="59"/>
      <x:c r="W80" s="59"/>
      <x:c r="X80" s="59"/>
      <x:c r="Y80" s="59"/>
      <x:c r="Z80" s="59"/>
      <x:c r="AA80" s="59"/>
      <x:c r="AB80" s="59"/>
      <x:c r="AC80" s="59"/>
      <x:c r="AD80" s="59"/>
      <x:c r="AE80" s="59"/>
      <x:c r="AF80" s="59"/>
      <x:c r="AG80" s="59"/>
      <x:c r="AH80" s="59"/>
      <x:c r="AI80" s="59"/>
      <x:c r="AJ80" s="59"/>
      <x:c r="AK80" s="59"/>
      <x:c r="AL80" s="59"/>
      <x:c r="AM80" s="59"/>
      <x:c r="AN80" s="59"/>
    </x:row>
    <x:row r="81">
      <x:c r="A81" s="59"/>
      <x:c r="B81" s="59"/>
      <x:c r="C81" s="59"/>
      <x:c r="D81" s="59"/>
      <x:c r="E81" s="59"/>
      <x:c r="F81" s="59"/>
      <x:c r="G81" s="59"/>
      <x:c r="H81" s="59"/>
      <x:c r="I81" s="59"/>
      <x:c r="J81" s="59"/>
      <x:c r="K81" s="59"/>
      <x:c r="L81" s="59"/>
      <x:c r="M81" s="59"/>
      <x:c r="N81" s="59"/>
      <x:c r="O81" s="59"/>
      <x:c r="P81" s="59"/>
      <x:c r="Q81" s="59"/>
      <x:c r="R81" s="59"/>
      <x:c r="S81" s="59"/>
      <x:c r="T81" s="59"/>
      <x:c r="U81" s="59"/>
      <x:c r="V81" s="59"/>
      <x:c r="W81" s="59"/>
      <x:c r="X81" s="59"/>
      <x:c r="Y81" s="59"/>
      <x:c r="Z81" s="59"/>
      <x:c r="AA81" s="59"/>
      <x:c r="AB81" s="59"/>
      <x:c r="AC81" s="59"/>
      <x:c r="AD81" s="59"/>
      <x:c r="AE81" s="59"/>
      <x:c r="AF81" s="59"/>
      <x:c r="AG81" s="59"/>
      <x:c r="AH81" s="59"/>
      <x:c r="AI81" s="59"/>
      <x:c r="AJ81" s="59"/>
      <x:c r="AK81" s="59"/>
      <x:c r="AL81" s="59"/>
      <x:c r="AM81" s="59"/>
      <x:c r="AN81" s="59"/>
    </x:row>
    <x:row r="82">
      <x:c r="A82" s="59"/>
      <x:c r="B82" s="59"/>
      <x:c r="C82" s="59"/>
      <x:c r="D82" s="59"/>
      <x:c r="E82" s="59"/>
      <x:c r="F82" s="59"/>
      <x:c r="G82" s="59"/>
      <x:c r="H82" s="59"/>
      <x:c r="I82" s="59"/>
      <x:c r="J82" s="59"/>
      <x:c r="K82" s="59"/>
      <x:c r="L82" s="59"/>
      <x:c r="M82" s="59"/>
      <x:c r="N82" s="59"/>
      <x:c r="O82" s="59"/>
      <x:c r="P82" s="59"/>
      <x:c r="Q82" s="59"/>
      <x:c r="R82" s="59"/>
      <x:c r="S82" s="59"/>
      <x:c r="T82" s="59"/>
      <x:c r="U82" s="59"/>
      <x:c r="V82" s="59"/>
      <x:c r="W82" s="59"/>
      <x:c r="X82" s="59"/>
      <x:c r="Y82" s="59"/>
      <x:c r="Z82" s="59"/>
      <x:c r="AA82" s="59"/>
      <x:c r="AB82" s="59"/>
      <x:c r="AC82" s="59"/>
      <x:c r="AD82" s="59"/>
      <x:c r="AE82" s="59"/>
      <x:c r="AF82" s="59"/>
      <x:c r="AG82" s="59"/>
      <x:c r="AH82" s="59"/>
      <x:c r="AI82" s="59"/>
      <x:c r="AJ82" s="59"/>
      <x:c r="AK82" s="59"/>
      <x:c r="AL82" s="59"/>
      <x:c r="AM82" s="59"/>
      <x:c r="AN82" s="59"/>
    </x:row>
    <x:row r="83">
      <x:c r="A83" s="59"/>
      <x:c r="B83" s="59"/>
      <x:c r="C83" s="59"/>
      <x:c r="D83" s="59"/>
      <x:c r="E83" s="59"/>
      <x:c r="F83" s="59"/>
      <x:c r="G83" s="59"/>
      <x:c r="H83" s="59"/>
      <x:c r="I83" s="59"/>
      <x:c r="J83" s="59"/>
      <x:c r="K83" s="59"/>
      <x:c r="L83" s="59"/>
      <x:c r="M83" s="59"/>
      <x:c r="N83" s="59"/>
      <x:c r="O83" s="59"/>
      <x:c r="P83" s="59"/>
      <x:c r="Q83" s="59"/>
      <x:c r="R83" s="59"/>
      <x:c r="S83" s="59"/>
      <x:c r="T83" s="59"/>
      <x:c r="U83" s="59"/>
      <x:c r="V83" s="59"/>
      <x:c r="W83" s="59"/>
      <x:c r="X83" s="59"/>
      <x:c r="Y83" s="59"/>
      <x:c r="Z83" s="59"/>
      <x:c r="AA83" s="59"/>
      <x:c r="AB83" s="59"/>
      <x:c r="AC83" s="59"/>
      <x:c r="AD83" s="59"/>
      <x:c r="AE83" s="59"/>
      <x:c r="AF83" s="59"/>
      <x:c r="AG83" s="59"/>
      <x:c r="AH83" s="59"/>
      <x:c r="AI83" s="59"/>
      <x:c r="AJ83" s="59"/>
      <x:c r="AK83" s="59"/>
      <x:c r="AL83" s="59"/>
      <x:c r="AM83" s="59"/>
      <x:c r="AN83" s="59"/>
    </x:row>
    <x:row r="84">
      <x:c r="A84" s="59"/>
      <x:c r="B84" s="59"/>
      <x:c r="C84" s="59"/>
      <x:c r="D84" s="59"/>
      <x:c r="E84" s="59"/>
      <x:c r="F84" s="59"/>
      <x:c r="G84" s="59"/>
      <x:c r="H84" s="59"/>
      <x:c r="I84" s="59"/>
      <x:c r="J84" s="59"/>
      <x:c r="K84" s="59"/>
      <x:c r="L84" s="59"/>
      <x:c r="M84" s="59"/>
      <x:c r="N84" s="59"/>
      <x:c r="O84" s="59"/>
      <x:c r="P84" s="59"/>
      <x:c r="Q84" s="59"/>
      <x:c r="R84" s="59"/>
      <x:c r="S84" s="59"/>
      <x:c r="T84" s="59"/>
      <x:c r="U84" s="59"/>
      <x:c r="V84" s="59"/>
      <x:c r="W84" s="59"/>
      <x:c r="X84" s="59"/>
      <x:c r="Y84" s="59"/>
      <x:c r="Z84" s="59"/>
      <x:c r="AA84" s="59"/>
      <x:c r="AB84" s="59"/>
      <x:c r="AC84" s="59"/>
      <x:c r="AD84" s="59"/>
      <x:c r="AE84" s="59"/>
      <x:c r="AF84" s="59"/>
      <x:c r="AG84" s="59"/>
      <x:c r="AH84" s="59"/>
      <x:c r="AI84" s="59"/>
      <x:c r="AJ84" s="59"/>
      <x:c r="AK84" s="59"/>
      <x:c r="AL84" s="59"/>
      <x:c r="AM84" s="59"/>
      <x:c r="AN84" s="59"/>
    </x:row>
    <x:row r="85">
      <x:c r="A85" s="59"/>
      <x:c r="B85" s="59"/>
      <x:c r="C85" s="59"/>
      <x:c r="D85" s="59"/>
      <x:c r="E85" s="59"/>
      <x:c r="F85" s="59"/>
      <x:c r="G85" s="59"/>
      <x:c r="H85" s="59"/>
      <x:c r="I85" s="59"/>
      <x:c r="J85" s="59"/>
      <x:c r="K85" s="59"/>
      <x:c r="L85" s="59"/>
      <x:c r="M85" s="59"/>
      <x:c r="N85" s="59"/>
      <x:c r="O85" s="59"/>
      <x:c r="P85" s="59"/>
      <x:c r="Q85" s="59"/>
      <x:c r="R85" s="59"/>
      <x:c r="S85" s="59"/>
      <x:c r="T85" s="59"/>
      <x:c r="U85" s="59"/>
      <x:c r="V85" s="59"/>
      <x:c r="W85" s="59"/>
      <x:c r="X85" s="59"/>
      <x:c r="Y85" s="59"/>
      <x:c r="Z85" s="59"/>
      <x:c r="AA85" s="59"/>
      <x:c r="AB85" s="59"/>
      <x:c r="AC85" s="59"/>
      <x:c r="AD85" s="59"/>
      <x:c r="AE85" s="59"/>
      <x:c r="AF85" s="59"/>
      <x:c r="AG85" s="59"/>
      <x:c r="AH85" s="59"/>
      <x:c r="AI85" s="59"/>
      <x:c r="AJ85" s="59"/>
      <x:c r="AK85" s="59"/>
      <x:c r="AL85" s="59"/>
      <x:c r="AM85" s="59"/>
      <x:c r="AN85" s="59"/>
    </x:row>
    <x:row r="86">
      <x:c r="A86" s="59"/>
      <x:c r="B86" s="59"/>
      <x:c r="C86" s="59"/>
      <x:c r="D86" s="59"/>
      <x:c r="E86" s="59"/>
      <x:c r="F86" s="59"/>
      <x:c r="G86" s="59"/>
      <x:c r="H86" s="59"/>
      <x:c r="I86" s="59"/>
      <x:c r="J86" s="59"/>
      <x:c r="K86" s="59"/>
      <x:c r="L86" s="59"/>
      <x:c r="M86" s="59"/>
      <x:c r="N86" s="59"/>
      <x:c r="O86" s="59"/>
      <x:c r="P86" s="59"/>
      <x:c r="Q86" s="59"/>
      <x:c r="R86" s="59"/>
      <x:c r="S86" s="59"/>
      <x:c r="T86" s="59"/>
      <x:c r="U86" s="59"/>
      <x:c r="V86" s="59"/>
      <x:c r="W86" s="59"/>
      <x:c r="X86" s="59"/>
      <x:c r="Y86" s="59"/>
      <x:c r="Z86" s="59"/>
      <x:c r="AA86" s="59"/>
      <x:c r="AB86" s="59"/>
      <x:c r="AC86" s="59"/>
      <x:c r="AD86" s="59"/>
      <x:c r="AE86" s="59"/>
      <x:c r="AF86" s="59"/>
      <x:c r="AG86" s="59"/>
      <x:c r="AH86" s="59"/>
      <x:c r="AI86" s="59"/>
      <x:c r="AJ86" s="59"/>
      <x:c r="AK86" s="59"/>
      <x:c r="AL86" s="59"/>
      <x:c r="AM86" s="59"/>
      <x:c r="AN86" s="59"/>
    </x:row>
    <x:row r="87">
      <x:c r="A87" s="59"/>
      <x:c r="B87" s="59"/>
      <x:c r="C87" s="59"/>
      <x:c r="D87" s="59"/>
      <x:c r="E87" s="59"/>
      <x:c r="F87" s="59"/>
      <x:c r="G87" s="59"/>
      <x:c r="H87" s="59"/>
      <x:c r="I87" s="59"/>
      <x:c r="J87" s="59"/>
      <x:c r="K87" s="59"/>
      <x:c r="L87" s="59"/>
      <x:c r="M87" s="59"/>
      <x:c r="N87" s="59"/>
      <x:c r="O87" s="59"/>
      <x:c r="P87" s="59"/>
      <x:c r="Q87" s="59"/>
      <x:c r="R87" s="59"/>
      <x:c r="S87" s="59"/>
      <x:c r="T87" s="59"/>
      <x:c r="U87" s="59"/>
      <x:c r="V87" s="59"/>
      <x:c r="W87" s="59"/>
      <x:c r="X87" s="59"/>
      <x:c r="Y87" s="59"/>
      <x:c r="Z87" s="59"/>
      <x:c r="AA87" s="59"/>
      <x:c r="AB87" s="59"/>
      <x:c r="AC87" s="59"/>
      <x:c r="AD87" s="59"/>
      <x:c r="AE87" s="59"/>
      <x:c r="AF87" s="59"/>
      <x:c r="AG87" s="59"/>
      <x:c r="AH87" s="59"/>
      <x:c r="AI87" s="59"/>
      <x:c r="AJ87" s="59"/>
      <x:c r="AK87" s="59"/>
      <x:c r="AL87" s="59"/>
      <x:c r="AM87" s="59"/>
      <x:c r="AN87" s="59"/>
    </x:row>
    <x:row r="88">
      <x:c r="A88" s="59"/>
      <x:c r="B88" s="59"/>
      <x:c r="C88" s="59"/>
      <x:c r="D88" s="59"/>
      <x:c r="E88" s="59"/>
      <x:c r="F88" s="59"/>
      <x:c r="G88" s="59"/>
      <x:c r="H88" s="59"/>
      <x:c r="I88" s="59"/>
      <x:c r="J88" s="59"/>
      <x:c r="K88" s="59"/>
      <x:c r="L88" s="59"/>
      <x:c r="M88" s="59"/>
      <x:c r="N88" s="59"/>
      <x:c r="O88" s="59"/>
      <x:c r="P88" s="59"/>
      <x:c r="Q88" s="59"/>
      <x:c r="R88" s="59"/>
      <x:c r="S88" s="59"/>
      <x:c r="T88" s="59"/>
      <x:c r="U88" s="59"/>
      <x:c r="V88" s="59"/>
      <x:c r="W88" s="59"/>
      <x:c r="X88" s="59"/>
      <x:c r="Y88" s="59"/>
      <x:c r="Z88" s="59"/>
      <x:c r="AA88" s="59"/>
      <x:c r="AB88" s="59"/>
      <x:c r="AC88" s="59"/>
      <x:c r="AD88" s="59"/>
      <x:c r="AE88" s="59"/>
      <x:c r="AF88" s="59"/>
      <x:c r="AG88" s="59"/>
      <x:c r="AH88" s="59"/>
      <x:c r="AI88" s="59"/>
      <x:c r="AJ88" s="59"/>
      <x:c r="AK88" s="59"/>
      <x:c r="AL88" s="59"/>
      <x:c r="AM88" s="59"/>
      <x:c r="AN88" s="59"/>
    </x:row>
    <x:row r="89">
      <x:c r="A89" s="59"/>
      <x:c r="B89" s="59"/>
      <x:c r="C89" s="59"/>
      <x:c r="D89" s="59"/>
      <x:c r="E89" s="59"/>
      <x:c r="F89" s="59"/>
      <x:c r="G89" s="59"/>
      <x:c r="H89" s="59"/>
      <x:c r="I89" s="59"/>
      <x:c r="J89" s="59"/>
      <x:c r="K89" s="59"/>
      <x:c r="L89" s="59"/>
      <x:c r="M89" s="59"/>
      <x:c r="N89" s="59"/>
      <x:c r="O89" s="59"/>
      <x:c r="P89" s="59"/>
      <x:c r="Q89" s="59"/>
      <x:c r="R89" s="59"/>
      <x:c r="S89" s="59"/>
      <x:c r="T89" s="59"/>
      <x:c r="U89" s="59"/>
      <x:c r="V89" s="59"/>
      <x:c r="W89" s="59"/>
      <x:c r="X89" s="59"/>
      <x:c r="Y89" s="59"/>
      <x:c r="Z89" s="59"/>
      <x:c r="AA89" s="59"/>
      <x:c r="AB89" s="59"/>
      <x:c r="AC89" s="59"/>
      <x:c r="AD89" s="59"/>
      <x:c r="AE89" s="59"/>
      <x:c r="AF89" s="59"/>
      <x:c r="AG89" s="59"/>
      <x:c r="AH89" s="59"/>
      <x:c r="AI89" s="59"/>
      <x:c r="AJ89" s="59"/>
      <x:c r="AK89" s="59"/>
      <x:c r="AL89" s="59"/>
      <x:c r="AM89" s="59"/>
      <x:c r="AN89" s="59"/>
    </x:row>
    <x:row r="90">
      <x:c r="A90" s="59"/>
      <x:c r="B90" s="59"/>
      <x:c r="C90" s="59"/>
      <x:c r="D90" s="59"/>
      <x:c r="E90" s="59"/>
      <x:c r="F90" s="59"/>
      <x:c r="G90" s="59"/>
      <x:c r="H90" s="59"/>
      <x:c r="I90" s="59"/>
      <x:c r="J90" s="59"/>
      <x:c r="K90" s="59"/>
      <x:c r="L90" s="59"/>
      <x:c r="M90" s="59"/>
      <x:c r="N90" s="59"/>
      <x:c r="O90" s="59"/>
      <x:c r="P90" s="59"/>
      <x:c r="Q90" s="59"/>
      <x:c r="R90" s="59"/>
      <x:c r="S90" s="59"/>
      <x:c r="T90" s="59"/>
      <x:c r="U90" s="59"/>
      <x:c r="V90" s="59"/>
      <x:c r="W90" s="59"/>
      <x:c r="X90" s="59"/>
      <x:c r="Y90" s="59"/>
      <x:c r="Z90" s="59"/>
      <x:c r="AA90" s="59"/>
      <x:c r="AB90" s="59"/>
      <x:c r="AC90" s="59"/>
      <x:c r="AD90" s="59"/>
      <x:c r="AE90" s="59"/>
      <x:c r="AF90" s="59"/>
      <x:c r="AG90" s="59"/>
      <x:c r="AH90" s="59"/>
      <x:c r="AI90" s="59"/>
      <x:c r="AJ90" s="59"/>
      <x:c r="AK90" s="59"/>
      <x:c r="AL90" s="59"/>
      <x:c r="AM90" s="59"/>
      <x:c r="AN90" s="59"/>
    </x:row>
    <x:row r="91">
      <x:c r="A91" s="59"/>
      <x:c r="B91" s="59"/>
      <x:c r="C91" s="59"/>
      <x:c r="D91" s="59"/>
      <x:c r="E91" s="59"/>
      <x:c r="F91" s="59"/>
      <x:c r="G91" s="59"/>
      <x:c r="H91" s="59"/>
      <x:c r="I91" s="59"/>
      <x:c r="J91" s="59"/>
      <x:c r="K91" s="59"/>
      <x:c r="L91" s="59"/>
      <x:c r="M91" s="59"/>
      <x:c r="N91" s="59"/>
      <x:c r="O91" s="59"/>
      <x:c r="P91" s="59"/>
      <x:c r="Q91" s="59"/>
      <x:c r="R91" s="59"/>
      <x:c r="S91" s="59"/>
      <x:c r="T91" s="59"/>
      <x:c r="U91" s="59"/>
      <x:c r="V91" s="59"/>
      <x:c r="W91" s="59"/>
      <x:c r="X91" s="59"/>
      <x:c r="Y91" s="59"/>
      <x:c r="Z91" s="59"/>
      <x:c r="AA91" s="59"/>
      <x:c r="AB91" s="59"/>
      <x:c r="AC91" s="59"/>
      <x:c r="AD91" s="59"/>
      <x:c r="AE91" s="59"/>
      <x:c r="AF91" s="59"/>
      <x:c r="AG91" s="59"/>
      <x:c r="AH91" s="59"/>
      <x:c r="AI91" s="59"/>
      <x:c r="AJ91" s="59"/>
      <x:c r="AK91" s="59"/>
      <x:c r="AL91" s="59"/>
      <x:c r="AM91" s="59"/>
      <x:c r="AN91" s="59"/>
    </x:row>
    <x:row r="92">
      <x:c r="A92" s="59"/>
      <x:c r="B92" s="59"/>
      <x:c r="C92" s="59"/>
      <x:c r="D92" s="59"/>
      <x:c r="E92" s="59"/>
      <x:c r="F92" s="59"/>
      <x:c r="G92" s="59"/>
      <x:c r="H92" s="59"/>
      <x:c r="I92" s="59"/>
      <x:c r="J92" s="59"/>
      <x:c r="K92" s="59"/>
      <x:c r="L92" s="59"/>
      <x:c r="M92" s="59"/>
      <x:c r="N92" s="59"/>
      <x:c r="O92" s="59"/>
      <x:c r="P92" s="59"/>
      <x:c r="Q92" s="59"/>
      <x:c r="R92" s="59"/>
      <x:c r="S92" s="59"/>
      <x:c r="T92" s="59"/>
      <x:c r="U92" s="59"/>
      <x:c r="V92" s="59"/>
      <x:c r="W92" s="59"/>
      <x:c r="X92" s="59"/>
      <x:c r="Y92" s="59"/>
      <x:c r="Z92" s="59"/>
      <x:c r="AA92" s="59"/>
      <x:c r="AB92" s="59"/>
      <x:c r="AC92" s="59"/>
      <x:c r="AD92" s="59"/>
      <x:c r="AE92" s="59"/>
      <x:c r="AF92" s="59"/>
      <x:c r="AG92" s="59"/>
      <x:c r="AH92" s="59"/>
      <x:c r="AI92" s="59"/>
      <x:c r="AJ92" s="59"/>
      <x:c r="AK92" s="59"/>
      <x:c r="AL92" s="59"/>
      <x:c r="AM92" s="59"/>
      <x:c r="AN92" s="59"/>
    </x:row>
    <x:row r="93">
      <x:c r="A93" s="59"/>
      <x:c r="B93" s="59"/>
      <x:c r="C93" s="59"/>
      <x:c r="D93" s="59"/>
      <x:c r="E93" s="59"/>
      <x:c r="F93" s="59"/>
      <x:c r="G93" s="59"/>
      <x:c r="H93" s="59"/>
      <x:c r="I93" s="59"/>
      <x:c r="J93" s="59"/>
      <x:c r="K93" s="59"/>
      <x:c r="L93" s="59"/>
      <x:c r="M93" s="59"/>
      <x:c r="N93" s="59"/>
      <x:c r="O93" s="59"/>
      <x:c r="P93" s="59"/>
      <x:c r="Q93" s="59"/>
      <x:c r="R93" s="59"/>
      <x:c r="S93" s="59"/>
      <x:c r="T93" s="59"/>
      <x:c r="U93" s="59"/>
      <x:c r="V93" s="59"/>
      <x:c r="W93" s="59"/>
      <x:c r="X93" s="59"/>
      <x:c r="Y93" s="59"/>
      <x:c r="Z93" s="59"/>
      <x:c r="AA93" s="59"/>
      <x:c r="AB93" s="59"/>
      <x:c r="AC93" s="59"/>
      <x:c r="AD93" s="59"/>
      <x:c r="AE93" s="59"/>
      <x:c r="AF93" s="59"/>
      <x:c r="AG93" s="59"/>
      <x:c r="AH93" s="59"/>
      <x:c r="AI93" s="59"/>
      <x:c r="AJ93" s="59"/>
      <x:c r="AK93" s="59"/>
      <x:c r="AL93" s="59"/>
      <x:c r="AM93" s="59"/>
      <x:c r="AN93" s="59"/>
    </x:row>
    <x:row r="94">
      <x:c r="A94" s="59"/>
      <x:c r="B94" s="59"/>
      <x:c r="C94" s="59"/>
      <x:c r="D94" s="59"/>
      <x:c r="E94" s="59"/>
      <x:c r="F94" s="59"/>
      <x:c r="G94" s="59"/>
      <x:c r="H94" s="59"/>
      <x:c r="I94" s="59"/>
      <x:c r="J94" s="59"/>
      <x:c r="K94" s="59"/>
      <x:c r="L94" s="59"/>
      <x:c r="M94" s="59"/>
      <x:c r="N94" s="59"/>
      <x:c r="O94" s="59"/>
      <x:c r="P94" s="59"/>
      <x:c r="Q94" s="59"/>
      <x:c r="R94" s="59"/>
      <x:c r="S94" s="59"/>
      <x:c r="T94" s="59"/>
      <x:c r="U94" s="59"/>
      <x:c r="V94" s="59"/>
      <x:c r="W94" s="59"/>
      <x:c r="X94" s="59"/>
      <x:c r="Y94" s="59"/>
      <x:c r="Z94" s="59"/>
      <x:c r="AA94" s="59"/>
      <x:c r="AB94" s="59"/>
      <x:c r="AC94" s="59"/>
      <x:c r="AD94" s="59"/>
      <x:c r="AE94" s="59"/>
      <x:c r="AF94" s="59"/>
      <x:c r="AG94" s="59"/>
      <x:c r="AH94" s="59"/>
      <x:c r="AI94" s="59"/>
      <x:c r="AJ94" s="59"/>
      <x:c r="AK94" s="59"/>
      <x:c r="AL94" s="59"/>
      <x:c r="AM94" s="59"/>
      <x:c r="AN94" s="59"/>
    </x:row>
    <x:row r="95">
      <x:c r="A95" s="59"/>
      <x:c r="B95" s="59"/>
      <x:c r="C95" s="59"/>
      <x:c r="D95" s="59"/>
      <x:c r="E95" s="59"/>
      <x:c r="F95" s="59"/>
      <x:c r="G95" s="59"/>
      <x:c r="H95" s="59"/>
      <x:c r="I95" s="59"/>
      <x:c r="J95" s="59"/>
      <x:c r="K95" s="59"/>
      <x:c r="L95" s="59"/>
      <x:c r="M95" s="59"/>
      <x:c r="N95" s="59"/>
      <x:c r="O95" s="59"/>
      <x:c r="P95" s="59"/>
      <x:c r="Q95" s="59"/>
      <x:c r="R95" s="59"/>
      <x:c r="S95" s="59"/>
      <x:c r="T95" s="59"/>
      <x:c r="U95" s="59"/>
      <x:c r="V95" s="59"/>
      <x:c r="W95" s="59"/>
      <x:c r="X95" s="59"/>
      <x:c r="Y95" s="59"/>
      <x:c r="Z95" s="59"/>
      <x:c r="AA95" s="59"/>
      <x:c r="AB95" s="59"/>
      <x:c r="AC95" s="59"/>
      <x:c r="AD95" s="59"/>
      <x:c r="AE95" s="59"/>
      <x:c r="AF95" s="59"/>
      <x:c r="AG95" s="59"/>
      <x:c r="AH95" s="59"/>
      <x:c r="AI95" s="59"/>
      <x:c r="AJ95" s="59"/>
      <x:c r="AK95" s="59"/>
      <x:c r="AL95" s="59"/>
      <x:c r="AM95" s="59"/>
      <x:c r="AN95" s="59"/>
    </x:row>
    <x:row r="96">
      <x:c r="A96" s="59"/>
      <x:c r="B96" s="59"/>
      <x:c r="C96" s="59"/>
      <x:c r="D96" s="59"/>
      <x:c r="E96" s="59"/>
      <x:c r="F96" s="59"/>
      <x:c r="G96" s="59"/>
      <x:c r="H96" s="59"/>
      <x:c r="I96" s="59"/>
      <x:c r="J96" s="59"/>
      <x:c r="K96" s="59"/>
      <x:c r="L96" s="59"/>
      <x:c r="M96" s="59"/>
      <x:c r="N96" s="59"/>
      <x:c r="O96" s="59"/>
      <x:c r="P96" s="59"/>
      <x:c r="Q96" s="59"/>
      <x:c r="R96" s="59"/>
      <x:c r="S96" s="59"/>
      <x:c r="T96" s="59"/>
      <x:c r="U96" s="59"/>
      <x:c r="V96" s="59"/>
      <x:c r="W96" s="59"/>
      <x:c r="X96" s="59"/>
      <x:c r="Y96" s="59"/>
      <x:c r="Z96" s="59"/>
      <x:c r="AA96" s="59"/>
      <x:c r="AB96" s="59"/>
      <x:c r="AC96" s="59"/>
      <x:c r="AD96" s="59"/>
      <x:c r="AE96" s="59"/>
      <x:c r="AF96" s="59"/>
      <x:c r="AG96" s="59"/>
      <x:c r="AH96" s="59"/>
      <x:c r="AI96" s="59"/>
      <x:c r="AJ96" s="59"/>
      <x:c r="AK96" s="59"/>
      <x:c r="AL96" s="59"/>
      <x:c r="AM96" s="59"/>
      <x:c r="AN96" s="59"/>
    </x:row>
    <x:row r="97">
      <x:c r="A97" s="59"/>
      <x:c r="B97" s="59"/>
      <x:c r="C97" s="59"/>
      <x:c r="D97" s="59"/>
      <x:c r="E97" s="59"/>
      <x:c r="F97" s="59"/>
      <x:c r="G97" s="59"/>
      <x:c r="H97" s="59"/>
      <x:c r="I97" s="59"/>
      <x:c r="J97" s="59"/>
      <x:c r="K97" s="59"/>
      <x:c r="L97" s="59"/>
      <x:c r="M97" s="59"/>
      <x:c r="N97" s="59"/>
      <x:c r="O97" s="59"/>
      <x:c r="P97" s="59"/>
      <x:c r="Q97" s="59"/>
      <x:c r="R97" s="59"/>
      <x:c r="S97" s="59"/>
      <x:c r="T97" s="59"/>
      <x:c r="U97" s="59"/>
      <x:c r="V97" s="59"/>
      <x:c r="W97" s="59"/>
      <x:c r="X97" s="59"/>
      <x:c r="Y97" s="59"/>
      <x:c r="Z97" s="59"/>
      <x:c r="AA97" s="59"/>
      <x:c r="AB97" s="59"/>
      <x:c r="AC97" s="59"/>
      <x:c r="AD97" s="59"/>
      <x:c r="AE97" s="59"/>
      <x:c r="AF97" s="59"/>
      <x:c r="AG97" s="59"/>
      <x:c r="AH97" s="59"/>
      <x:c r="AI97" s="59"/>
      <x:c r="AJ97" s="59"/>
      <x:c r="AK97" s="59"/>
      <x:c r="AL97" s="59"/>
      <x:c r="AM97" s="59"/>
      <x:c r="AN97" s="59"/>
    </x:row>
    <x:row r="98">
      <x:c r="A98" s="59"/>
      <x:c r="B98" s="59"/>
      <x:c r="C98" s="59"/>
      <x:c r="D98" s="59"/>
      <x:c r="E98" s="59"/>
      <x:c r="F98" s="59"/>
      <x:c r="G98" s="59"/>
      <x:c r="H98" s="59"/>
      <x:c r="I98" s="59"/>
      <x:c r="J98" s="59"/>
      <x:c r="K98" s="59"/>
      <x:c r="L98" s="59"/>
      <x:c r="M98" s="59"/>
      <x:c r="N98" s="59"/>
      <x:c r="O98" s="59"/>
      <x:c r="P98" s="59"/>
      <x:c r="Q98" s="59"/>
      <x:c r="R98" s="59"/>
      <x:c r="S98" s="59"/>
      <x:c r="T98" s="59"/>
      <x:c r="U98" s="59"/>
      <x:c r="V98" s="59"/>
      <x:c r="W98" s="59"/>
      <x:c r="X98" s="59"/>
      <x:c r="Y98" s="59"/>
      <x:c r="Z98" s="59"/>
      <x:c r="AA98" s="59"/>
      <x:c r="AB98" s="59"/>
      <x:c r="AC98" s="59"/>
      <x:c r="AD98" s="59"/>
      <x:c r="AE98" s="59"/>
      <x:c r="AF98" s="59"/>
      <x:c r="AG98" s="59"/>
      <x:c r="AH98" s="59"/>
      <x:c r="AI98" s="59"/>
      <x:c r="AJ98" s="59"/>
      <x:c r="AK98" s="59"/>
      <x:c r="AL98" s="59"/>
      <x:c r="AM98" s="59"/>
      <x:c r="AN98" s="59"/>
    </x:row>
    <x:row r="99">
      <x:c r="A99" s="59"/>
      <x:c r="B99" s="59"/>
      <x:c r="C99" s="59"/>
      <x:c r="D99" s="59"/>
      <x:c r="E99" s="59"/>
      <x:c r="F99" s="59"/>
      <x:c r="G99" s="59"/>
      <x:c r="H99" s="59"/>
      <x:c r="I99" s="59"/>
      <x:c r="J99" s="59"/>
      <x:c r="K99" s="59"/>
      <x:c r="L99" s="59"/>
      <x:c r="M99" s="59"/>
      <x:c r="N99" s="59"/>
      <x:c r="O99" s="59"/>
      <x:c r="P99" s="59"/>
      <x:c r="Q99" s="59"/>
      <x:c r="R99" s="59"/>
      <x:c r="S99" s="59"/>
      <x:c r="T99" s="59"/>
      <x:c r="U99" s="59"/>
      <x:c r="V99" s="59"/>
      <x:c r="W99" s="59"/>
      <x:c r="X99" s="59"/>
      <x:c r="Y99" s="59"/>
      <x:c r="Z99" s="59"/>
      <x:c r="AA99" s="59"/>
      <x:c r="AB99" s="59"/>
      <x:c r="AC99" s="59"/>
      <x:c r="AD99" s="59"/>
      <x:c r="AE99" s="59"/>
      <x:c r="AF99" s="59"/>
      <x:c r="AG99" s="59"/>
      <x:c r="AH99" s="59"/>
      <x:c r="AI99" s="59"/>
      <x:c r="AJ99" s="59"/>
      <x:c r="AK99" s="59"/>
      <x:c r="AL99" s="59"/>
      <x:c r="AM99" s="59"/>
      <x:c r="AN99" s="59"/>
    </x:row>
    <x:row r="100">
      <x:c r="A100" s="59"/>
      <x:c r="B100" s="59"/>
      <x:c r="C100" s="59"/>
      <x:c r="D100" s="59"/>
      <x:c r="E100" s="59"/>
      <x:c r="F100" s="59"/>
      <x:c r="G100" s="59"/>
      <x:c r="H100" s="59"/>
      <x:c r="I100" s="59"/>
      <x:c r="J100" s="59"/>
      <x:c r="K100" s="59"/>
      <x:c r="L100" s="59"/>
      <x:c r="M100" s="59"/>
      <x:c r="N100" s="59"/>
      <x:c r="O100" s="59"/>
      <x:c r="P100" s="59"/>
      <x:c r="Q100" s="59"/>
      <x:c r="R100" s="59"/>
      <x:c r="S100" s="59"/>
      <x:c r="T100" s="59"/>
      <x:c r="U100" s="59"/>
      <x:c r="V100" s="59"/>
      <x:c r="W100" s="59"/>
      <x:c r="X100" s="59"/>
      <x:c r="Y100" s="59"/>
      <x:c r="Z100" s="59"/>
      <x:c r="AA100" s="59"/>
      <x:c r="AB100" s="59"/>
      <x:c r="AC100" s="59"/>
      <x:c r="AD100" s="59"/>
      <x:c r="AE100" s="59"/>
      <x:c r="AF100" s="59"/>
      <x:c r="AG100" s="59"/>
      <x:c r="AH100" s="59"/>
      <x:c r="AI100" s="59"/>
      <x:c r="AJ100" s="59"/>
      <x:c r="AK100" s="59"/>
      <x:c r="AL100" s="59"/>
      <x:c r="AM100" s="59"/>
      <x:c r="AN100" s="59"/>
    </x:row>
    <x:row r="101">
      <x:c r="A101" s="59"/>
      <x:c r="B101" s="59"/>
      <x:c r="C101" s="59"/>
      <x:c r="D101" s="59"/>
      <x:c r="E101" s="59"/>
      <x:c r="F101" s="59"/>
      <x:c r="G101" s="59"/>
      <x:c r="H101" s="59"/>
      <x:c r="I101" s="59"/>
      <x:c r="J101" s="59"/>
      <x:c r="K101" s="59"/>
      <x:c r="L101" s="59"/>
      <x:c r="M101" s="59"/>
      <x:c r="N101" s="59"/>
      <x:c r="O101" s="59"/>
      <x:c r="P101" s="59"/>
      <x:c r="Q101" s="59"/>
      <x:c r="R101" s="59"/>
      <x:c r="S101" s="59"/>
      <x:c r="T101" s="59"/>
      <x:c r="U101" s="59"/>
      <x:c r="V101" s="59"/>
      <x:c r="W101" s="59"/>
      <x:c r="X101" s="59"/>
      <x:c r="Y101" s="59"/>
      <x:c r="Z101" s="59"/>
      <x:c r="AA101" s="59"/>
      <x:c r="AB101" s="59"/>
      <x:c r="AC101" s="59"/>
      <x:c r="AD101" s="59"/>
      <x:c r="AE101" s="59"/>
      <x:c r="AF101" s="59"/>
      <x:c r="AG101" s="59"/>
      <x:c r="AH101" s="59"/>
      <x:c r="AI101" s="59"/>
      <x:c r="AJ101" s="59"/>
      <x:c r="AK101" s="59"/>
      <x:c r="AL101" s="59"/>
      <x:c r="AM101" s="59"/>
      <x:c r="AN101" s="59"/>
    </x:row>
    <x:row r="102">
      <x:c r="A102" s="59"/>
      <x:c r="B102" s="59"/>
      <x:c r="C102" s="59"/>
      <x:c r="D102" s="59"/>
      <x:c r="E102" s="59"/>
      <x:c r="F102" s="59"/>
      <x:c r="G102" s="59"/>
      <x:c r="H102" s="59"/>
      <x:c r="I102" s="59"/>
      <x:c r="J102" s="59"/>
      <x:c r="K102" s="59"/>
      <x:c r="L102" s="59"/>
      <x:c r="M102" s="59"/>
      <x:c r="N102" s="59"/>
      <x:c r="O102" s="59"/>
      <x:c r="P102" s="59"/>
      <x:c r="Q102" s="59"/>
      <x:c r="R102" s="59"/>
      <x:c r="S102" s="59"/>
      <x:c r="T102" s="59"/>
      <x:c r="U102" s="59"/>
      <x:c r="V102" s="59"/>
      <x:c r="W102" s="59"/>
      <x:c r="X102" s="59"/>
      <x:c r="Y102" s="59"/>
      <x:c r="Z102" s="59"/>
      <x:c r="AA102" s="59"/>
      <x:c r="AB102" s="59"/>
      <x:c r="AC102" s="59"/>
      <x:c r="AD102" s="59"/>
      <x:c r="AE102" s="59"/>
      <x:c r="AF102" s="59"/>
      <x:c r="AG102" s="59"/>
      <x:c r="AH102" s="59"/>
      <x:c r="AI102" s="59"/>
      <x:c r="AJ102" s="59"/>
      <x:c r="AK102" s="59"/>
      <x:c r="AL102" s="59"/>
      <x:c r="AM102" s="59"/>
      <x:c r="AN102" s="59"/>
    </x:row>
    <x:row r="103">
      <x:c r="A103" s="59"/>
      <x:c r="B103" s="59"/>
      <x:c r="C103" s="59"/>
      <x:c r="D103" s="59"/>
      <x:c r="E103" s="59"/>
      <x:c r="F103" s="59"/>
      <x:c r="G103" s="59"/>
      <x:c r="H103" s="59"/>
      <x:c r="I103" s="59"/>
      <x:c r="J103" s="59"/>
      <x:c r="K103" s="59"/>
      <x:c r="L103" s="59"/>
      <x:c r="M103" s="59"/>
      <x:c r="N103" s="59"/>
      <x:c r="O103" s="59"/>
      <x:c r="P103" s="59"/>
      <x:c r="Q103" s="59"/>
      <x:c r="R103" s="59"/>
      <x:c r="S103" s="59"/>
      <x:c r="T103" s="59"/>
      <x:c r="U103" s="59"/>
      <x:c r="V103" s="59"/>
      <x:c r="W103" s="59"/>
      <x:c r="X103" s="59"/>
      <x:c r="Y103" s="59"/>
      <x:c r="Z103" s="59"/>
      <x:c r="AA103" s="59"/>
      <x:c r="AB103" s="59"/>
      <x:c r="AC103" s="59"/>
      <x:c r="AD103" s="59"/>
      <x:c r="AE103" s="59"/>
      <x:c r="AF103" s="59"/>
      <x:c r="AG103" s="59"/>
      <x:c r="AH103" s="59"/>
      <x:c r="AI103" s="59"/>
      <x:c r="AJ103" s="59"/>
      <x:c r="AK103" s="59"/>
      <x:c r="AL103" s="59"/>
      <x:c r="AM103" s="59"/>
      <x:c r="AN103" s="59"/>
    </x:row>
    <x:row r="104">
      <x:c r="A104" s="59"/>
      <x:c r="B104" s="59"/>
      <x:c r="C104" s="59"/>
      <x:c r="D104" s="59"/>
      <x:c r="E104" s="59"/>
      <x:c r="F104" s="59"/>
      <x:c r="G104" s="59"/>
      <x:c r="H104" s="59"/>
      <x:c r="I104" s="59"/>
      <x:c r="J104" s="59"/>
      <x:c r="K104" s="59"/>
      <x:c r="L104" s="59"/>
      <x:c r="M104" s="59"/>
      <x:c r="N104" s="59"/>
      <x:c r="O104" s="59"/>
      <x:c r="P104" s="59"/>
      <x:c r="Q104" s="59"/>
      <x:c r="R104" s="59"/>
      <x:c r="S104" s="59"/>
      <x:c r="T104" s="59"/>
      <x:c r="U104" s="59"/>
      <x:c r="V104" s="59"/>
      <x:c r="W104" s="59"/>
      <x:c r="X104" s="59"/>
      <x:c r="Y104" s="59"/>
      <x:c r="Z104" s="59"/>
      <x:c r="AA104" s="59"/>
      <x:c r="AB104" s="59"/>
      <x:c r="AC104" s="59"/>
      <x:c r="AD104" s="59"/>
      <x:c r="AE104" s="59"/>
      <x:c r="AF104" s="59"/>
      <x:c r="AG104" s="59"/>
      <x:c r="AH104" s="59"/>
      <x:c r="AI104" s="59"/>
      <x:c r="AJ104" s="59"/>
      <x:c r="AK104" s="59"/>
      <x:c r="AL104" s="59"/>
      <x:c r="AM104" s="59"/>
      <x:c r="AN104" s="59"/>
    </x:row>
    <x:row r="105">
      <x:c r="A105" s="59"/>
      <x:c r="B105" s="59"/>
      <x:c r="C105" s="59"/>
      <x:c r="D105" s="59"/>
      <x:c r="E105" s="59"/>
      <x:c r="F105" s="59"/>
      <x:c r="G105" s="59"/>
      <x:c r="H105" s="59"/>
      <x:c r="I105" s="59"/>
      <x:c r="J105" s="59"/>
      <x:c r="K105" s="59"/>
      <x:c r="L105" s="59"/>
      <x:c r="M105" s="59"/>
      <x:c r="N105" s="59"/>
      <x:c r="O105" s="59"/>
      <x:c r="P105" s="59"/>
      <x:c r="Q105" s="59"/>
      <x:c r="R105" s="59"/>
      <x:c r="S105" s="59"/>
      <x:c r="T105" s="59"/>
      <x:c r="U105" s="59"/>
      <x:c r="V105" s="59"/>
      <x:c r="W105" s="59"/>
      <x:c r="X105" s="59"/>
      <x:c r="Y105" s="59"/>
      <x:c r="Z105" s="59"/>
      <x:c r="AA105" s="59"/>
      <x:c r="AB105" s="59"/>
      <x:c r="AC105" s="59"/>
      <x:c r="AD105" s="59"/>
      <x:c r="AE105" s="59"/>
      <x:c r="AF105" s="59"/>
      <x:c r="AG105" s="59"/>
      <x:c r="AH105" s="59"/>
      <x:c r="AI105" s="59"/>
      <x:c r="AJ105" s="59"/>
      <x:c r="AK105" s="59"/>
      <x:c r="AL105" s="59"/>
      <x:c r="AM105" s="59"/>
      <x:c r="AN105" s="59"/>
    </x:row>
    <x:row r="106">
      <x:c r="A106" s="59"/>
      <x:c r="B106" s="59"/>
      <x:c r="C106" s="59"/>
      <x:c r="D106" s="59"/>
      <x:c r="E106" s="59"/>
      <x:c r="F106" s="59"/>
      <x:c r="G106" s="59"/>
      <x:c r="H106" s="59"/>
      <x:c r="I106" s="59"/>
      <x:c r="J106" s="59"/>
      <x:c r="K106" s="59"/>
      <x:c r="L106" s="59"/>
      <x:c r="M106" s="59"/>
      <x:c r="N106" s="59"/>
      <x:c r="O106" s="59"/>
      <x:c r="P106" s="59"/>
      <x:c r="Q106" s="59"/>
      <x:c r="R106" s="59"/>
      <x:c r="S106" s="59"/>
      <x:c r="T106" s="59"/>
      <x:c r="U106" s="59"/>
      <x:c r="V106" s="59"/>
      <x:c r="W106" s="59"/>
      <x:c r="X106" s="59"/>
      <x:c r="Y106" s="59"/>
      <x:c r="Z106" s="59"/>
      <x:c r="AA106" s="59"/>
      <x:c r="AB106" s="59"/>
      <x:c r="AC106" s="59"/>
      <x:c r="AD106" s="59"/>
      <x:c r="AE106" s="59"/>
      <x:c r="AF106" s="59"/>
      <x:c r="AG106" s="59"/>
      <x:c r="AH106" s="59"/>
      <x:c r="AI106" s="59"/>
      <x:c r="AJ106" s="59"/>
      <x:c r="AK106" s="59"/>
      <x:c r="AL106" s="59"/>
      <x:c r="AM106" s="59"/>
      <x:c r="AN106" s="59"/>
    </x:row>
    <x:row r="107">
      <x:c r="A107" s="59"/>
      <x:c r="B107" s="59"/>
      <x:c r="C107" s="59"/>
      <x:c r="D107" s="59"/>
      <x:c r="E107" s="59"/>
      <x:c r="F107" s="59"/>
      <x:c r="G107" s="59"/>
      <x:c r="H107" s="59"/>
      <x:c r="I107" s="59"/>
      <x:c r="J107" s="59"/>
      <x:c r="K107" s="59"/>
      <x:c r="L107" s="59"/>
      <x:c r="M107" s="59"/>
      <x:c r="N107" s="59"/>
      <x:c r="O107" s="59"/>
      <x:c r="P107" s="59"/>
      <x:c r="Q107" s="59"/>
      <x:c r="R107" s="59"/>
      <x:c r="S107" s="59"/>
      <x:c r="T107" s="59"/>
      <x:c r="U107" s="59"/>
      <x:c r="V107" s="59"/>
      <x:c r="W107" s="59"/>
      <x:c r="X107" s="59"/>
      <x:c r="Y107" s="59"/>
      <x:c r="Z107" s="59"/>
      <x:c r="AA107" s="59"/>
      <x:c r="AB107" s="59"/>
      <x:c r="AC107" s="59"/>
      <x:c r="AD107" s="59"/>
      <x:c r="AE107" s="59"/>
      <x:c r="AF107" s="59"/>
      <x:c r="AG107" s="59"/>
      <x:c r="AH107" s="59"/>
      <x:c r="AI107" s="59"/>
      <x:c r="AJ107" s="59"/>
      <x:c r="AK107" s="59"/>
      <x:c r="AL107" s="59"/>
      <x:c r="AM107" s="59"/>
      <x:c r="AN107" s="59"/>
    </x:row>
    <x:row r="108">
      <x:c r="A108" s="59"/>
      <x:c r="B108" s="59"/>
      <x:c r="C108" s="59"/>
      <x:c r="D108" s="59"/>
      <x:c r="E108" s="59"/>
      <x:c r="F108" s="59"/>
      <x:c r="G108" s="59"/>
      <x:c r="H108" s="59"/>
      <x:c r="I108" s="59"/>
      <x:c r="J108" s="59"/>
      <x:c r="K108" s="59"/>
      <x:c r="L108" s="59"/>
      <x:c r="M108" s="59"/>
      <x:c r="N108" s="59"/>
      <x:c r="O108" s="59"/>
      <x:c r="P108" s="59"/>
      <x:c r="Q108" s="59"/>
      <x:c r="R108" s="59"/>
      <x:c r="S108" s="59"/>
      <x:c r="T108" s="59"/>
      <x:c r="U108" s="59"/>
      <x:c r="V108" s="59"/>
      <x:c r="W108" s="59"/>
      <x:c r="X108" s="59"/>
      <x:c r="Y108" s="59"/>
      <x:c r="Z108" s="59"/>
      <x:c r="AA108" s="59"/>
      <x:c r="AB108" s="59"/>
      <x:c r="AC108" s="59"/>
      <x:c r="AD108" s="59"/>
      <x:c r="AE108" s="59"/>
      <x:c r="AF108" s="59"/>
      <x:c r="AG108" s="59"/>
      <x:c r="AH108" s="59"/>
      <x:c r="AI108" s="59"/>
      <x:c r="AJ108" s="59"/>
      <x:c r="AK108" s="59"/>
      <x:c r="AL108" s="59"/>
      <x:c r="AM108" s="59"/>
      <x:c r="AN108" s="59"/>
    </x:row>
    <x:row r="109">
      <x:c r="A109" s="59"/>
      <x:c r="B109" s="59"/>
      <x:c r="C109" s="59"/>
      <x:c r="D109" s="59"/>
      <x:c r="E109" s="59"/>
      <x:c r="F109" s="59"/>
      <x:c r="G109" s="59"/>
      <x:c r="H109" s="59"/>
      <x:c r="I109" s="59"/>
      <x:c r="J109" s="59"/>
      <x:c r="K109" s="59"/>
      <x:c r="L109" s="59"/>
      <x:c r="M109" s="59"/>
      <x:c r="N109" s="59"/>
      <x:c r="O109" s="59"/>
      <x:c r="P109" s="59"/>
      <x:c r="Q109" s="59"/>
      <x:c r="R109" s="59"/>
      <x:c r="S109" s="59"/>
      <x:c r="T109" s="59"/>
      <x:c r="U109" s="59"/>
      <x:c r="V109" s="59"/>
      <x:c r="W109" s="59"/>
      <x:c r="X109" s="59"/>
      <x:c r="Y109" s="59"/>
      <x:c r="Z109" s="59"/>
      <x:c r="AA109" s="59"/>
      <x:c r="AB109" s="59"/>
      <x:c r="AC109" s="59"/>
      <x:c r="AD109" s="59"/>
      <x:c r="AE109" s="59"/>
      <x:c r="AF109" s="59"/>
      <x:c r="AG109" s="59"/>
      <x:c r="AH109" s="59"/>
      <x:c r="AI109" s="59"/>
      <x:c r="AJ109" s="59"/>
      <x:c r="AK109" s="59"/>
      <x:c r="AL109" s="59"/>
      <x:c r="AM109" s="59"/>
      <x:c r="AN109" s="59"/>
    </x:row>
    <x:row r="110">
      <x:c r="A110" s="59"/>
      <x:c r="B110" s="59"/>
      <x:c r="C110" s="59"/>
      <x:c r="D110" s="59"/>
      <x:c r="E110" s="59"/>
      <x:c r="F110" s="59"/>
      <x:c r="G110" s="59"/>
      <x:c r="H110" s="59"/>
      <x:c r="I110" s="59"/>
      <x:c r="J110" s="59"/>
      <x:c r="K110" s="59"/>
      <x:c r="L110" s="59"/>
      <x:c r="M110" s="59"/>
      <x:c r="N110" s="59"/>
      <x:c r="O110" s="59"/>
      <x:c r="P110" s="59"/>
      <x:c r="Q110" s="59"/>
      <x:c r="R110" s="59"/>
      <x:c r="S110" s="59"/>
      <x:c r="T110" s="59"/>
      <x:c r="U110" s="59"/>
      <x:c r="V110" s="59"/>
      <x:c r="W110" s="59"/>
      <x:c r="X110" s="59"/>
      <x:c r="Y110" s="59"/>
      <x:c r="Z110" s="59"/>
      <x:c r="AA110" s="59"/>
      <x:c r="AB110" s="59"/>
      <x:c r="AC110" s="59"/>
      <x:c r="AD110" s="59"/>
      <x:c r="AE110" s="59"/>
      <x:c r="AF110" s="59"/>
      <x:c r="AG110" s="59"/>
      <x:c r="AH110" s="59"/>
      <x:c r="AI110" s="59"/>
      <x:c r="AJ110" s="59"/>
      <x:c r="AK110" s="59"/>
      <x:c r="AL110" s="59"/>
      <x:c r="AM110" s="59"/>
      <x:c r="AN110" s="59"/>
    </x:row>
    <x:row r="111">
      <x:c r="A111" s="59"/>
      <x:c r="B111" s="59"/>
      <x:c r="C111" s="59"/>
      <x:c r="D111" s="59"/>
      <x:c r="E111" s="59"/>
      <x:c r="F111" s="59"/>
      <x:c r="G111" s="59"/>
      <x:c r="H111" s="59"/>
      <x:c r="I111" s="59"/>
      <x:c r="J111" s="59"/>
      <x:c r="K111" s="59"/>
      <x:c r="L111" s="59"/>
      <x:c r="M111" s="59"/>
      <x:c r="N111" s="59"/>
      <x:c r="O111" s="59"/>
      <x:c r="P111" s="59"/>
      <x:c r="Q111" s="59"/>
      <x:c r="R111" s="59"/>
      <x:c r="S111" s="59"/>
      <x:c r="T111" s="59"/>
      <x:c r="U111" s="59"/>
      <x:c r="V111" s="59"/>
      <x:c r="W111" s="59"/>
      <x:c r="X111" s="59"/>
      <x:c r="Y111" s="59"/>
      <x:c r="Z111" s="59"/>
      <x:c r="AA111" s="59"/>
      <x:c r="AB111" s="59"/>
      <x:c r="AC111" s="59"/>
      <x:c r="AD111" s="59"/>
      <x:c r="AE111" s="59"/>
      <x:c r="AF111" s="59"/>
      <x:c r="AG111" s="59"/>
      <x:c r="AH111" s="59"/>
      <x:c r="AI111" s="59"/>
      <x:c r="AJ111" s="59"/>
      <x:c r="AK111" s="59"/>
      <x:c r="AL111" s="59"/>
      <x:c r="AM111" s="59"/>
      <x:c r="AN111" s="59"/>
    </x:row>
    <x:row r="112">
      <x:c r="A112" s="59"/>
      <x:c r="B112" s="59"/>
      <x:c r="C112" s="59"/>
      <x:c r="D112" s="59"/>
      <x:c r="E112" s="59"/>
      <x:c r="F112" s="59"/>
      <x:c r="G112" s="59"/>
      <x:c r="H112" s="59"/>
      <x:c r="I112" s="59"/>
      <x:c r="J112" s="59"/>
      <x:c r="K112" s="59"/>
      <x:c r="L112" s="59"/>
      <x:c r="M112" s="59"/>
      <x:c r="N112" s="59"/>
      <x:c r="O112" s="59"/>
      <x:c r="P112" s="59"/>
      <x:c r="Q112" s="59"/>
      <x:c r="R112" s="59"/>
      <x:c r="S112" s="59"/>
      <x:c r="T112" s="59"/>
      <x:c r="U112" s="59"/>
      <x:c r="V112" s="59"/>
      <x:c r="W112" s="59"/>
      <x:c r="X112" s="59"/>
      <x:c r="Y112" s="59"/>
      <x:c r="Z112" s="59"/>
      <x:c r="AA112" s="59"/>
      <x:c r="AB112" s="59"/>
      <x:c r="AC112" s="59"/>
      <x:c r="AD112" s="59"/>
      <x:c r="AE112" s="59"/>
      <x:c r="AF112" s="59"/>
      <x:c r="AG112" s="59"/>
      <x:c r="AH112" s="59"/>
      <x:c r="AI112" s="59"/>
      <x:c r="AJ112" s="59"/>
      <x:c r="AK112" s="59"/>
      <x:c r="AL112" s="59"/>
      <x:c r="AM112" s="59"/>
      <x:c r="AN112" s="59"/>
    </x:row>
    <x:row r="113">
      <x:c r="A113" s="59"/>
      <x:c r="B113" s="59"/>
      <x:c r="C113" s="59"/>
      <x:c r="D113" s="59"/>
      <x:c r="E113" s="59"/>
      <x:c r="F113" s="59"/>
      <x:c r="G113" s="59"/>
      <x:c r="H113" s="59"/>
      <x:c r="I113" s="59"/>
      <x:c r="J113" s="59"/>
      <x:c r="K113" s="59"/>
      <x:c r="L113" s="59"/>
      <x:c r="M113" s="59"/>
      <x:c r="N113" s="59"/>
      <x:c r="O113" s="59"/>
      <x:c r="P113" s="59"/>
      <x:c r="Q113" s="59"/>
      <x:c r="R113" s="59"/>
      <x:c r="S113" s="59"/>
      <x:c r="T113" s="59"/>
      <x:c r="U113" s="59"/>
      <x:c r="V113" s="59"/>
      <x:c r="W113" s="59"/>
      <x:c r="X113" s="59"/>
      <x:c r="Y113" s="59"/>
      <x:c r="Z113" s="59"/>
      <x:c r="AA113" s="59"/>
      <x:c r="AB113" s="59"/>
      <x:c r="AC113" s="59"/>
      <x:c r="AD113" s="59"/>
      <x:c r="AE113" s="59"/>
      <x:c r="AF113" s="59"/>
      <x:c r="AG113" s="59"/>
      <x:c r="AH113" s="59"/>
      <x:c r="AI113" s="59"/>
      <x:c r="AJ113" s="59"/>
      <x:c r="AK113" s="59"/>
      <x:c r="AL113" s="59"/>
      <x:c r="AM113" s="59"/>
      <x:c r="AN113" s="59"/>
    </x:row>
    <x:row r="114">
      <x:c r="A114" s="59"/>
      <x:c r="B114" s="59"/>
      <x:c r="C114" s="59"/>
      <x:c r="D114" s="59"/>
      <x:c r="E114" s="59"/>
      <x:c r="F114" s="59"/>
      <x:c r="G114" s="59"/>
      <x:c r="H114" s="59"/>
      <x:c r="I114" s="59"/>
      <x:c r="J114" s="59"/>
      <x:c r="K114" s="59"/>
      <x:c r="L114" s="59"/>
      <x:c r="M114" s="59"/>
      <x:c r="N114" s="59"/>
      <x:c r="O114" s="59"/>
      <x:c r="P114" s="59"/>
      <x:c r="Q114" s="59"/>
      <x:c r="R114" s="59"/>
      <x:c r="S114" s="59"/>
      <x:c r="T114" s="59"/>
      <x:c r="U114" s="59"/>
      <x:c r="V114" s="59"/>
      <x:c r="W114" s="59"/>
      <x:c r="X114" s="59"/>
      <x:c r="Y114" s="59"/>
      <x:c r="Z114" s="59"/>
      <x:c r="AA114" s="59"/>
      <x:c r="AB114" s="59"/>
      <x:c r="AC114" s="59"/>
      <x:c r="AD114" s="59"/>
      <x:c r="AE114" s="59"/>
      <x:c r="AF114" s="59"/>
      <x:c r="AG114" s="59"/>
      <x:c r="AH114" s="59"/>
      <x:c r="AI114" s="59"/>
      <x:c r="AJ114" s="59"/>
      <x:c r="AK114" s="59"/>
      <x:c r="AL114" s="59"/>
      <x:c r="AM114" s="59"/>
      <x:c r="AN114" s="59"/>
    </x:row>
    <x:row r="115">
      <x:c r="A115" s="59"/>
      <x:c r="B115" s="59"/>
      <x:c r="C115" s="59"/>
      <x:c r="D115" s="59"/>
      <x:c r="E115" s="59"/>
      <x:c r="F115" s="59"/>
      <x:c r="G115" s="59"/>
      <x:c r="H115" s="59"/>
      <x:c r="I115" s="59"/>
      <x:c r="J115" s="59"/>
      <x:c r="K115" s="59"/>
      <x:c r="L115" s="59"/>
      <x:c r="M115" s="59"/>
      <x:c r="N115" s="59"/>
      <x:c r="O115" s="59"/>
      <x:c r="P115" s="59"/>
      <x:c r="Q115" s="59"/>
      <x:c r="R115" s="59"/>
      <x:c r="S115" s="59"/>
      <x:c r="T115" s="59"/>
      <x:c r="U115" s="59"/>
      <x:c r="V115" s="59"/>
      <x:c r="W115" s="59"/>
      <x:c r="X115" s="59"/>
      <x:c r="Y115" s="59"/>
      <x:c r="Z115" s="59"/>
      <x:c r="AA115" s="59"/>
      <x:c r="AB115" s="59"/>
      <x:c r="AC115" s="59"/>
      <x:c r="AD115" s="59"/>
      <x:c r="AE115" s="59"/>
      <x:c r="AF115" s="59"/>
      <x:c r="AG115" s="59"/>
      <x:c r="AH115" s="59"/>
      <x:c r="AI115" s="59"/>
      <x:c r="AJ115" s="59"/>
      <x:c r="AK115" s="59"/>
      <x:c r="AL115" s="59"/>
      <x:c r="AM115" s="59"/>
      <x:c r="AN115" s="59"/>
    </x:row>
    <x:row r="116">
      <x:c r="A116" s="59"/>
      <x:c r="B116" s="59"/>
      <x:c r="C116" s="59"/>
      <x:c r="D116" s="59"/>
      <x:c r="E116" s="59"/>
      <x:c r="F116" s="59"/>
      <x:c r="G116" s="59"/>
      <x:c r="H116" s="59"/>
      <x:c r="I116" s="59"/>
      <x:c r="J116" s="59"/>
      <x:c r="K116" s="59"/>
      <x:c r="L116" s="59"/>
      <x:c r="M116" s="59"/>
      <x:c r="N116" s="59"/>
      <x:c r="O116" s="59"/>
      <x:c r="P116" s="59"/>
      <x:c r="Q116" s="59"/>
      <x:c r="R116" s="59"/>
      <x:c r="S116" s="59"/>
      <x:c r="T116" s="59"/>
      <x:c r="U116" s="59"/>
      <x:c r="V116" s="59"/>
      <x:c r="W116" s="59"/>
      <x:c r="X116" s="59"/>
      <x:c r="Y116" s="59"/>
      <x:c r="Z116" s="59"/>
      <x:c r="AA116" s="59"/>
      <x:c r="AB116" s="59"/>
      <x:c r="AC116" s="59"/>
      <x:c r="AD116" s="59"/>
      <x:c r="AE116" s="59"/>
      <x:c r="AF116" s="59"/>
      <x:c r="AG116" s="59"/>
      <x:c r="AH116" s="59"/>
      <x:c r="AI116" s="59"/>
      <x:c r="AJ116" s="59"/>
      <x:c r="AK116" s="59"/>
      <x:c r="AL116" s="59"/>
      <x:c r="AM116" s="59"/>
      <x:c r="AN116" s="59"/>
    </x:row>
    <x:row r="117">
      <x:c r="A117" s="59"/>
      <x:c r="B117" s="59"/>
      <x:c r="C117" s="59"/>
      <x:c r="D117" s="59"/>
      <x:c r="E117" s="59"/>
      <x:c r="F117" s="59"/>
      <x:c r="G117" s="59"/>
      <x:c r="H117" s="59"/>
      <x:c r="I117" s="59"/>
      <x:c r="J117" s="59"/>
      <x:c r="K117" s="59"/>
      <x:c r="L117" s="59"/>
      <x:c r="M117" s="59"/>
      <x:c r="N117" s="59"/>
      <x:c r="O117" s="59"/>
      <x:c r="P117" s="59"/>
      <x:c r="Q117" s="59"/>
      <x:c r="R117" s="59"/>
      <x:c r="S117" s="59"/>
      <x:c r="T117" s="59"/>
      <x:c r="U117" s="59"/>
      <x:c r="V117" s="59"/>
      <x:c r="W117" s="59"/>
      <x:c r="X117" s="59"/>
      <x:c r="Y117" s="59"/>
      <x:c r="Z117" s="59"/>
      <x:c r="AA117" s="59"/>
      <x:c r="AB117" s="59"/>
      <x:c r="AC117" s="59"/>
      <x:c r="AD117" s="59"/>
      <x:c r="AE117" s="59"/>
      <x:c r="AF117" s="59"/>
      <x:c r="AG117" s="59"/>
      <x:c r="AH117" s="59"/>
      <x:c r="AI117" s="59"/>
      <x:c r="AJ117" s="59"/>
      <x:c r="AK117" s="59"/>
      <x:c r="AL117" s="59"/>
      <x:c r="AM117" s="59"/>
      <x:c r="AN117" s="59"/>
    </x:row>
    <x:row r="118">
      <x:c r="A118" s="59"/>
      <x:c r="B118" s="59"/>
      <x:c r="C118" s="59"/>
      <x:c r="D118" s="59"/>
      <x:c r="E118" s="59"/>
      <x:c r="F118" s="59"/>
      <x:c r="G118" s="59"/>
      <x:c r="H118" s="59"/>
      <x:c r="I118" s="59"/>
      <x:c r="J118" s="59"/>
      <x:c r="K118" s="59"/>
      <x:c r="L118" s="59"/>
      <x:c r="M118" s="59"/>
      <x:c r="N118" s="59"/>
      <x:c r="O118" s="59"/>
      <x:c r="P118" s="59"/>
      <x:c r="Q118" s="59"/>
      <x:c r="R118" s="59"/>
      <x:c r="S118" s="59"/>
      <x:c r="T118" s="59"/>
      <x:c r="U118" s="59"/>
      <x:c r="V118" s="59"/>
      <x:c r="W118" s="59"/>
      <x:c r="X118" s="59"/>
      <x:c r="Y118" s="59"/>
      <x:c r="Z118" s="59"/>
      <x:c r="AA118" s="59"/>
      <x:c r="AB118" s="59"/>
      <x:c r="AC118" s="59"/>
      <x:c r="AD118" s="59"/>
      <x:c r="AE118" s="59"/>
      <x:c r="AF118" s="59"/>
      <x:c r="AG118" s="59"/>
      <x:c r="AH118" s="59"/>
      <x:c r="AI118" s="59"/>
      <x:c r="AJ118" s="59"/>
      <x:c r="AK118" s="59"/>
      <x:c r="AL118" s="59"/>
      <x:c r="AM118" s="59"/>
      <x:c r="AN118" s="59"/>
    </x:row>
    <x:row r="119">
      <x:c r="A119" s="59"/>
      <x:c r="B119" s="59"/>
      <x:c r="C119" s="59"/>
      <x:c r="D119" s="59"/>
      <x:c r="E119" s="59"/>
      <x:c r="F119" s="59"/>
      <x:c r="G119" s="59"/>
      <x:c r="H119" s="59"/>
      <x:c r="I119" s="59"/>
      <x:c r="J119" s="59"/>
      <x:c r="K119" s="59"/>
      <x:c r="L119" s="59"/>
      <x:c r="M119" s="59"/>
      <x:c r="N119" s="59"/>
      <x:c r="O119" s="59"/>
      <x:c r="P119" s="59"/>
      <x:c r="Q119" s="59"/>
      <x:c r="R119" s="59"/>
      <x:c r="S119" s="59"/>
      <x:c r="T119" s="59"/>
      <x:c r="U119" s="59"/>
      <x:c r="V119" s="59"/>
      <x:c r="W119" s="59"/>
      <x:c r="X119" s="59"/>
      <x:c r="Y119" s="59"/>
      <x:c r="Z119" s="59"/>
      <x:c r="AA119" s="59"/>
      <x:c r="AB119" s="59"/>
      <x:c r="AC119" s="59"/>
      <x:c r="AD119" s="59"/>
      <x:c r="AE119" s="59"/>
      <x:c r="AF119" s="59"/>
      <x:c r="AG119" s="59"/>
      <x:c r="AH119" s="59"/>
      <x:c r="AI119" s="59"/>
      <x:c r="AJ119" s="59"/>
      <x:c r="AK119" s="59"/>
      <x:c r="AL119" s="59"/>
      <x:c r="AM119" s="59"/>
      <x:c r="AN119" s="59"/>
    </x:row>
    <x:row r="120">
      <x:c r="A120" s="59"/>
      <x:c r="B120" s="59"/>
      <x:c r="C120" s="59"/>
      <x:c r="D120" s="59"/>
      <x:c r="E120" s="59"/>
      <x:c r="F120" s="59"/>
      <x:c r="G120" s="59"/>
      <x:c r="H120" s="59"/>
      <x:c r="I120" s="59"/>
      <x:c r="J120" s="59"/>
      <x:c r="K120" s="59"/>
      <x:c r="L120" s="59"/>
      <x:c r="M120" s="59"/>
      <x:c r="N120" s="59"/>
      <x:c r="O120" s="59"/>
      <x:c r="P120" s="59"/>
      <x:c r="Q120" s="59"/>
      <x:c r="R120" s="59"/>
      <x:c r="S120" s="59"/>
      <x:c r="T120" s="59"/>
      <x:c r="U120" s="59"/>
      <x:c r="V120" s="59"/>
      <x:c r="W120" s="59"/>
      <x:c r="X120" s="59"/>
      <x:c r="Y120" s="59"/>
      <x:c r="Z120" s="59"/>
      <x:c r="AA120" s="59"/>
      <x:c r="AB120" s="59"/>
      <x:c r="AC120" s="59"/>
      <x:c r="AD120" s="59"/>
      <x:c r="AE120" s="59"/>
      <x:c r="AF120" s="59"/>
      <x:c r="AG120" s="59"/>
      <x:c r="AH120" s="59"/>
      <x:c r="AI120" s="59"/>
      <x:c r="AJ120" s="59"/>
      <x:c r="AK120" s="59"/>
      <x:c r="AL120" s="59"/>
      <x:c r="AM120" s="59"/>
      <x:c r="AN120" s="59"/>
    </x:row>
    <x:row r="121">
      <x:c r="A121" s="59"/>
      <x:c r="B121" s="59"/>
      <x:c r="C121" s="59"/>
      <x:c r="D121" s="59"/>
      <x:c r="E121" s="59"/>
      <x:c r="F121" s="59"/>
      <x:c r="G121" s="59"/>
      <x:c r="H121" s="59"/>
      <x:c r="I121" s="59"/>
      <x:c r="J121" s="59"/>
      <x:c r="K121" s="59"/>
      <x:c r="L121" s="59"/>
      <x:c r="M121" s="59"/>
      <x:c r="N121" s="59"/>
      <x:c r="O121" s="59"/>
      <x:c r="P121" s="59"/>
      <x:c r="Q121" s="59"/>
      <x:c r="R121" s="59"/>
      <x:c r="S121" s="59"/>
      <x:c r="T121" s="59"/>
      <x:c r="U121" s="59"/>
      <x:c r="V121" s="59"/>
      <x:c r="W121" s="59"/>
      <x:c r="X121" s="59"/>
      <x:c r="Y121" s="59"/>
      <x:c r="Z121" s="59"/>
      <x:c r="AA121" s="59"/>
      <x:c r="AB121" s="59"/>
      <x:c r="AC121" s="59"/>
      <x:c r="AD121" s="59"/>
      <x:c r="AE121" s="59"/>
      <x:c r="AF121" s="59"/>
      <x:c r="AG121" s="59"/>
      <x:c r="AH121" s="59"/>
      <x:c r="AI121" s="59"/>
      <x:c r="AJ121" s="59"/>
      <x:c r="AK121" s="59"/>
      <x:c r="AL121" s="59"/>
      <x:c r="AM121" s="59"/>
      <x:c r="AN121" s="59"/>
    </x:row>
    <x:row r="122">
      <x:c r="A122" s="59"/>
      <x:c r="B122" s="59"/>
      <x:c r="C122" s="59"/>
      <x:c r="D122" s="59"/>
      <x:c r="E122" s="59"/>
      <x:c r="F122" s="59"/>
      <x:c r="G122" s="59"/>
      <x:c r="H122" s="59"/>
      <x:c r="I122" s="59"/>
      <x:c r="J122" s="59"/>
      <x:c r="K122" s="59"/>
      <x:c r="L122" s="59"/>
      <x:c r="M122" s="59"/>
      <x:c r="N122" s="59"/>
      <x:c r="O122" s="59"/>
      <x:c r="P122" s="59"/>
      <x:c r="Q122" s="59"/>
      <x:c r="R122" s="59"/>
      <x:c r="S122" s="59"/>
      <x:c r="T122" s="59"/>
      <x:c r="U122" s="59"/>
      <x:c r="V122" s="59"/>
      <x:c r="W122" s="59"/>
      <x:c r="X122" s="59"/>
      <x:c r="Y122" s="59"/>
      <x:c r="Z122" s="59"/>
      <x:c r="AA122" s="59"/>
      <x:c r="AB122" s="59"/>
      <x:c r="AC122" s="59"/>
      <x:c r="AD122" s="59"/>
      <x:c r="AE122" s="59"/>
      <x:c r="AF122" s="59"/>
      <x:c r="AG122" s="59"/>
      <x:c r="AH122" s="59"/>
      <x:c r="AI122" s="59"/>
      <x:c r="AJ122" s="59"/>
      <x:c r="AK122" s="59"/>
      <x:c r="AL122" s="59"/>
      <x:c r="AM122" s="59"/>
      <x:c r="AN122" s="59"/>
    </x:row>
    <x:row r="123">
      <x:c r="A123" s="59"/>
      <x:c r="B123" s="59"/>
      <x:c r="C123" s="59"/>
      <x:c r="D123" s="59"/>
      <x:c r="E123" s="59"/>
      <x:c r="F123" s="59"/>
      <x:c r="G123" s="59"/>
      <x:c r="H123" s="59"/>
      <x:c r="I123" s="59"/>
      <x:c r="J123" s="59"/>
      <x:c r="K123" s="59"/>
      <x:c r="L123" s="59"/>
      <x:c r="M123" s="59"/>
      <x:c r="N123" s="59"/>
      <x:c r="O123" s="59"/>
      <x:c r="P123" s="59"/>
      <x:c r="Q123" s="59"/>
      <x:c r="R123" s="59"/>
      <x:c r="S123" s="59"/>
      <x:c r="T123" s="59"/>
      <x:c r="U123" s="59"/>
      <x:c r="V123" s="59"/>
      <x:c r="W123" s="59"/>
      <x:c r="X123" s="59"/>
      <x:c r="Y123" s="59"/>
      <x:c r="Z123" s="59"/>
      <x:c r="AA123" s="59"/>
      <x:c r="AB123" s="59"/>
      <x:c r="AC123" s="59"/>
      <x:c r="AD123" s="59"/>
      <x:c r="AE123" s="59"/>
      <x:c r="AF123" s="59"/>
      <x:c r="AG123" s="59"/>
      <x:c r="AH123" s="59"/>
      <x:c r="AI123" s="59"/>
      <x:c r="AJ123" s="59"/>
      <x:c r="AK123" s="59"/>
      <x:c r="AL123" s="59"/>
      <x:c r="AM123" s="59"/>
      <x:c r="AN123" s="59"/>
    </x:row>
    <x:row r="124">
      <x:c r="A124" s="59"/>
      <x:c r="B124" s="59"/>
      <x:c r="C124" s="59"/>
      <x:c r="D124" s="59"/>
      <x:c r="E124" s="59"/>
      <x:c r="F124" s="59"/>
      <x:c r="G124" s="59"/>
      <x:c r="H124" s="59"/>
      <x:c r="I124" s="59"/>
      <x:c r="J124" s="59"/>
      <x:c r="K124" s="59"/>
      <x:c r="L124" s="59"/>
      <x:c r="M124" s="59"/>
      <x:c r="N124" s="59"/>
      <x:c r="O124" s="59"/>
      <x:c r="P124" s="59"/>
      <x:c r="Q124" s="59"/>
      <x:c r="R124" s="59"/>
      <x:c r="S124" s="59"/>
      <x:c r="T124" s="59"/>
      <x:c r="U124" s="59"/>
      <x:c r="V124" s="59"/>
      <x:c r="W124" s="59"/>
      <x:c r="X124" s="59"/>
      <x:c r="Y124" s="59"/>
      <x:c r="Z124" s="59"/>
      <x:c r="AA124" s="59"/>
      <x:c r="AB124" s="59"/>
      <x:c r="AC124" s="59"/>
      <x:c r="AD124" s="59"/>
      <x:c r="AE124" s="59"/>
      <x:c r="AF124" s="59"/>
      <x:c r="AG124" s="59"/>
      <x:c r="AH124" s="59"/>
      <x:c r="AI124" s="59"/>
      <x:c r="AJ124" s="59"/>
      <x:c r="AK124" s="59"/>
      <x:c r="AL124" s="59"/>
      <x:c r="AM124" s="59"/>
      <x:c r="AN124" s="59"/>
    </x:row>
    <x:row r="125">
      <x:c r="A125" s="59"/>
      <x:c r="B125" s="59"/>
      <x:c r="C125" s="59"/>
      <x:c r="D125" s="59"/>
      <x:c r="E125" s="59"/>
      <x:c r="F125" s="59"/>
      <x:c r="G125" s="59"/>
      <x:c r="H125" s="59"/>
      <x:c r="I125" s="59"/>
      <x:c r="J125" s="59"/>
      <x:c r="K125" s="59"/>
      <x:c r="L125" s="59"/>
      <x:c r="M125" s="59"/>
      <x:c r="N125" s="59"/>
      <x:c r="O125" s="59"/>
      <x:c r="P125" s="59"/>
      <x:c r="Q125" s="59"/>
      <x:c r="R125" s="59"/>
      <x:c r="S125" s="59"/>
      <x:c r="T125" s="59"/>
      <x:c r="U125" s="59"/>
      <x:c r="V125" s="59"/>
      <x:c r="W125" s="59"/>
      <x:c r="X125" s="59"/>
      <x:c r="Y125" s="59"/>
      <x:c r="Z125" s="59"/>
      <x:c r="AA125" s="59"/>
      <x:c r="AB125" s="59"/>
      <x:c r="AC125" s="59"/>
      <x:c r="AD125" s="59"/>
      <x:c r="AE125" s="59"/>
      <x:c r="AF125" s="59"/>
      <x:c r="AG125" s="59"/>
      <x:c r="AH125" s="59"/>
      <x:c r="AI125" s="59"/>
      <x:c r="AJ125" s="59"/>
      <x:c r="AK125" s="59"/>
      <x:c r="AL125" s="59"/>
      <x:c r="AM125" s="59"/>
      <x:c r="AN125" s="59"/>
    </x:row>
    <x:row r="126">
      <x:c r="A126" s="59"/>
      <x:c r="B126" s="59"/>
      <x:c r="C126" s="59"/>
      <x:c r="D126" s="59"/>
      <x:c r="E126" s="59"/>
      <x:c r="F126" s="59"/>
      <x:c r="G126" s="59"/>
      <x:c r="H126" s="59"/>
      <x:c r="I126" s="59"/>
      <x:c r="J126" s="59"/>
      <x:c r="K126" s="59"/>
      <x:c r="L126" s="59"/>
      <x:c r="M126" s="59"/>
      <x:c r="N126" s="59"/>
      <x:c r="O126" s="59"/>
      <x:c r="P126" s="59"/>
      <x:c r="Q126" s="59"/>
      <x:c r="R126" s="59"/>
      <x:c r="S126" s="59"/>
      <x:c r="T126" s="59"/>
      <x:c r="U126" s="59"/>
      <x:c r="V126" s="59"/>
      <x:c r="W126" s="59"/>
      <x:c r="X126" s="59"/>
      <x:c r="Y126" s="59"/>
      <x:c r="Z126" s="59"/>
      <x:c r="AA126" s="59"/>
      <x:c r="AB126" s="59"/>
      <x:c r="AC126" s="59"/>
      <x:c r="AD126" s="59"/>
      <x:c r="AE126" s="59"/>
      <x:c r="AF126" s="59"/>
      <x:c r="AG126" s="59"/>
      <x:c r="AH126" s="59"/>
      <x:c r="AI126" s="59"/>
      <x:c r="AJ126" s="59"/>
      <x:c r="AK126" s="59"/>
      <x:c r="AL126" s="59"/>
      <x:c r="AM126" s="59"/>
      <x:c r="AN126" s="59"/>
    </x:row>
    <x:row r="127">
      <x:c r="A127" s="59"/>
      <x:c r="B127" s="59"/>
      <x:c r="C127" s="59"/>
      <x:c r="D127" s="59"/>
      <x:c r="E127" s="59"/>
      <x:c r="F127" s="59"/>
      <x:c r="G127" s="59"/>
      <x:c r="H127" s="59"/>
      <x:c r="I127" s="59"/>
      <x:c r="J127" s="59"/>
      <x:c r="K127" s="59"/>
      <x:c r="L127" s="59"/>
      <x:c r="M127" s="59"/>
      <x:c r="N127" s="59"/>
      <x:c r="O127" s="59"/>
      <x:c r="P127" s="59"/>
      <x:c r="Q127" s="59"/>
      <x:c r="R127" s="59"/>
      <x:c r="S127" s="59"/>
      <x:c r="T127" s="59"/>
      <x:c r="U127" s="59"/>
      <x:c r="V127" s="59"/>
      <x:c r="W127" s="59"/>
      <x:c r="X127" s="59"/>
      <x:c r="Y127" s="59"/>
      <x:c r="Z127" s="59"/>
      <x:c r="AA127" s="59"/>
      <x:c r="AB127" s="59"/>
      <x:c r="AC127" s="59"/>
      <x:c r="AD127" s="59"/>
      <x:c r="AE127" s="59"/>
      <x:c r="AF127" s="59"/>
      <x:c r="AG127" s="59"/>
      <x:c r="AH127" s="59"/>
      <x:c r="AI127" s="59"/>
      <x:c r="AJ127" s="59"/>
      <x:c r="AK127" s="59"/>
      <x:c r="AL127" s="59"/>
      <x:c r="AM127" s="59"/>
      <x:c r="AN127" s="59"/>
    </x:row>
    <x:row r="128">
      <x:c r="A128" s="59"/>
      <x:c r="B128" s="59"/>
      <x:c r="C128" s="59"/>
      <x:c r="D128" s="59"/>
      <x:c r="E128" s="59"/>
      <x:c r="F128" s="59"/>
      <x:c r="G128" s="59"/>
      <x:c r="H128" s="59"/>
      <x:c r="I128" s="59"/>
      <x:c r="J128" s="59"/>
      <x:c r="K128" s="59"/>
      <x:c r="L128" s="59"/>
      <x:c r="M128" s="59"/>
      <x:c r="N128" s="59"/>
      <x:c r="O128" s="59"/>
      <x:c r="P128" s="59"/>
      <x:c r="Q128" s="59"/>
      <x:c r="R128" s="59"/>
      <x:c r="S128" s="59"/>
      <x:c r="T128" s="59"/>
      <x:c r="U128" s="59"/>
      <x:c r="V128" s="59"/>
      <x:c r="W128" s="59"/>
      <x:c r="X128" s="59"/>
      <x:c r="Y128" s="59"/>
      <x:c r="Z128" s="59"/>
      <x:c r="AA128" s="59"/>
      <x:c r="AB128" s="59"/>
      <x:c r="AC128" s="59"/>
      <x:c r="AD128" s="59"/>
      <x:c r="AE128" s="59"/>
      <x:c r="AF128" s="59"/>
      <x:c r="AG128" s="59"/>
      <x:c r="AH128" s="59"/>
      <x:c r="AI128" s="59"/>
      <x:c r="AJ128" s="59"/>
      <x:c r="AK128" s="59"/>
      <x:c r="AL128" s="59"/>
      <x:c r="AM128" s="59"/>
      <x:c r="AN128" s="59"/>
    </x:row>
    <x:row r="129">
      <x:c r="A129" s="59"/>
      <x:c r="B129" s="59"/>
      <x:c r="C129" s="59"/>
      <x:c r="D129" s="59"/>
      <x:c r="E129" s="59"/>
      <x:c r="F129" s="59"/>
      <x:c r="G129" s="59"/>
      <x:c r="H129" s="59"/>
      <x:c r="I129" s="59"/>
      <x:c r="J129" s="59"/>
      <x:c r="K129" s="59"/>
      <x:c r="L129" s="59"/>
      <x:c r="M129" s="59"/>
      <x:c r="N129" s="59"/>
      <x:c r="O129" s="59"/>
      <x:c r="P129" s="59"/>
      <x:c r="Q129" s="59"/>
      <x:c r="R129" s="59"/>
      <x:c r="S129" s="59"/>
      <x:c r="T129" s="59"/>
      <x:c r="U129" s="59"/>
      <x:c r="V129" s="59"/>
      <x:c r="W129" s="59"/>
      <x:c r="X129" s="59"/>
      <x:c r="Y129" s="59"/>
      <x:c r="Z129" s="59"/>
      <x:c r="AA129" s="59"/>
      <x:c r="AB129" s="59"/>
      <x:c r="AC129" s="59"/>
      <x:c r="AD129" s="59"/>
      <x:c r="AE129" s="59"/>
      <x:c r="AF129" s="59"/>
      <x:c r="AG129" s="59"/>
      <x:c r="AH129" s="59"/>
      <x:c r="AI129" s="59"/>
      <x:c r="AJ129" s="59"/>
      <x:c r="AK129" s="59"/>
      <x:c r="AL129" s="59"/>
      <x:c r="AM129" s="59"/>
      <x:c r="AN129" s="59"/>
    </x:row>
    <x:row r="130">
      <x:c r="A130" s="59"/>
      <x:c r="B130" s="59"/>
      <x:c r="C130" s="59"/>
      <x:c r="D130" s="59"/>
      <x:c r="E130" s="59"/>
      <x:c r="F130" s="59"/>
      <x:c r="G130" s="59"/>
      <x:c r="H130" s="59"/>
      <x:c r="I130" s="59"/>
      <x:c r="J130" s="59"/>
      <x:c r="K130" s="59"/>
      <x:c r="L130" s="59"/>
      <x:c r="M130" s="59"/>
      <x:c r="N130" s="59"/>
      <x:c r="O130" s="59"/>
      <x:c r="P130" s="59"/>
      <x:c r="Q130" s="59"/>
      <x:c r="R130" s="59"/>
      <x:c r="S130" s="59"/>
      <x:c r="T130" s="59"/>
      <x:c r="U130" s="59"/>
      <x:c r="V130" s="59"/>
      <x:c r="W130" s="59"/>
      <x:c r="X130" s="59"/>
      <x:c r="Y130" s="59"/>
      <x:c r="Z130" s="59"/>
      <x:c r="AA130" s="59"/>
      <x:c r="AB130" s="59"/>
      <x:c r="AC130" s="59"/>
      <x:c r="AD130" s="59"/>
      <x:c r="AE130" s="59"/>
      <x:c r="AF130" s="59"/>
      <x:c r="AG130" s="59"/>
      <x:c r="AH130" s="59"/>
      <x:c r="AI130" s="59"/>
      <x:c r="AJ130" s="59"/>
      <x:c r="AK130" s="59"/>
      <x:c r="AL130" s="59"/>
      <x:c r="AM130" s="59"/>
      <x:c r="AN130" s="59"/>
    </x:row>
    <x:row r="131">
      <x:c r="A131" s="59"/>
      <x:c r="B131" s="59"/>
      <x:c r="C131" s="59"/>
      <x:c r="D131" s="59"/>
      <x:c r="E131" s="59"/>
      <x:c r="F131" s="59"/>
      <x:c r="G131" s="59"/>
      <x:c r="H131" s="59"/>
      <x:c r="I131" s="59"/>
      <x:c r="J131" s="59"/>
      <x:c r="K131" s="59"/>
      <x:c r="L131" s="59"/>
      <x:c r="M131" s="59"/>
      <x:c r="N131" s="59"/>
      <x:c r="O131" s="59"/>
      <x:c r="P131" s="59"/>
      <x:c r="Q131" s="59"/>
      <x:c r="R131" s="59"/>
      <x:c r="S131" s="59"/>
      <x:c r="T131" s="59"/>
      <x:c r="U131" s="59"/>
      <x:c r="V131" s="59"/>
      <x:c r="W131" s="59"/>
      <x:c r="X131" s="59"/>
      <x:c r="Y131" s="59"/>
      <x:c r="Z131" s="59"/>
      <x:c r="AA131" s="59"/>
      <x:c r="AB131" s="59"/>
      <x:c r="AC131" s="59"/>
      <x:c r="AD131" s="59"/>
      <x:c r="AE131" s="59"/>
      <x:c r="AF131" s="59"/>
      <x:c r="AG131" s="59"/>
      <x:c r="AH131" s="59"/>
      <x:c r="AI131" s="59"/>
      <x:c r="AJ131" s="59"/>
      <x:c r="AK131" s="59"/>
      <x:c r="AL131" s="59"/>
      <x:c r="AM131" s="59"/>
      <x:c r="AN131" s="59"/>
    </x:row>
    <x:row r="132">
      <x:c r="A132" s="59"/>
      <x:c r="B132" s="59"/>
      <x:c r="C132" s="59"/>
      <x:c r="D132" s="59"/>
      <x:c r="E132" s="59"/>
      <x:c r="F132" s="59"/>
      <x:c r="G132" s="59"/>
      <x:c r="H132" s="59"/>
      <x:c r="I132" s="59"/>
      <x:c r="J132" s="59"/>
      <x:c r="K132" s="59"/>
      <x:c r="L132" s="59"/>
      <x:c r="M132" s="59"/>
      <x:c r="N132" s="59"/>
      <x:c r="O132" s="59"/>
      <x:c r="P132" s="59"/>
      <x:c r="Q132" s="59"/>
      <x:c r="R132" s="59"/>
      <x:c r="S132" s="59"/>
      <x:c r="T132" s="59"/>
      <x:c r="U132" s="59"/>
      <x:c r="V132" s="59"/>
      <x:c r="W132" s="59"/>
      <x:c r="X132" s="59"/>
      <x:c r="Y132" s="59"/>
      <x:c r="Z132" s="59"/>
      <x:c r="AA132" s="59"/>
      <x:c r="AB132" s="59"/>
      <x:c r="AC132" s="59"/>
      <x:c r="AD132" s="59"/>
      <x:c r="AE132" s="59"/>
      <x:c r="AF132" s="59"/>
      <x:c r="AG132" s="59"/>
      <x:c r="AH132" s="59"/>
      <x:c r="AI132" s="59"/>
      <x:c r="AJ132" s="59"/>
      <x:c r="AK132" s="59"/>
      <x:c r="AL132" s="59"/>
      <x:c r="AM132" s="59"/>
      <x:c r="AN132" s="59"/>
    </x:row>
    <x:row r="133">
      <x:c r="A133" s="59"/>
      <x:c r="B133" s="59"/>
      <x:c r="C133" s="59"/>
      <x:c r="D133" s="59"/>
      <x:c r="E133" s="59"/>
      <x:c r="F133" s="59"/>
      <x:c r="G133" s="59"/>
      <x:c r="H133" s="59"/>
      <x:c r="I133" s="59"/>
      <x:c r="J133" s="59"/>
      <x:c r="K133" s="59"/>
      <x:c r="L133" s="59"/>
      <x:c r="M133" s="59"/>
      <x:c r="N133" s="59"/>
      <x:c r="O133" s="59"/>
      <x:c r="P133" s="59"/>
      <x:c r="Q133" s="59"/>
      <x:c r="R133" s="59"/>
      <x:c r="S133" s="59"/>
      <x:c r="T133" s="59"/>
      <x:c r="U133" s="59"/>
      <x:c r="V133" s="59"/>
      <x:c r="W133" s="59"/>
      <x:c r="X133" s="59"/>
      <x:c r="Y133" s="59"/>
      <x:c r="Z133" s="59"/>
      <x:c r="AA133" s="59"/>
      <x:c r="AB133" s="59"/>
      <x:c r="AC133" s="59"/>
      <x:c r="AD133" s="59"/>
      <x:c r="AE133" s="59"/>
      <x:c r="AF133" s="59"/>
      <x:c r="AG133" s="59"/>
      <x:c r="AH133" s="59"/>
      <x:c r="AI133" s="59"/>
      <x:c r="AJ133" s="59"/>
      <x:c r="AK133" s="59"/>
      <x:c r="AL133" s="59"/>
      <x:c r="AM133" s="59"/>
      <x:c r="AN133" s="59"/>
    </x:row>
    <x:row r="134">
      <x:c r="A134" s="59"/>
      <x:c r="B134" s="59"/>
      <x:c r="C134" s="59"/>
      <x:c r="D134" s="59"/>
      <x:c r="E134" s="59"/>
      <x:c r="F134" s="59"/>
      <x:c r="G134" s="59"/>
      <x:c r="H134" s="59"/>
      <x:c r="I134" s="59"/>
      <x:c r="J134" s="59"/>
      <x:c r="K134" s="59"/>
      <x:c r="L134" s="59"/>
      <x:c r="M134" s="59"/>
      <x:c r="N134" s="59"/>
      <x:c r="O134" s="59"/>
      <x:c r="P134" s="59"/>
      <x:c r="Q134" s="59"/>
      <x:c r="R134" s="59"/>
      <x:c r="S134" s="59"/>
      <x:c r="T134" s="59"/>
      <x:c r="U134" s="59"/>
      <x:c r="V134" s="59"/>
      <x:c r="W134" s="59"/>
      <x:c r="X134" s="59"/>
      <x:c r="Y134" s="59"/>
      <x:c r="Z134" s="59"/>
      <x:c r="AA134" s="59"/>
      <x:c r="AB134" s="59"/>
      <x:c r="AC134" s="59"/>
      <x:c r="AD134" s="59"/>
      <x:c r="AE134" s="59"/>
      <x:c r="AF134" s="59"/>
      <x:c r="AG134" s="59"/>
      <x:c r="AH134" s="59"/>
      <x:c r="AI134" s="59"/>
      <x:c r="AJ134" s="59"/>
      <x:c r="AK134" s="59"/>
      <x:c r="AL134" s="59"/>
      <x:c r="AM134" s="59"/>
      <x:c r="AN134" s="59"/>
    </x:row>
    <x:row r="135">
      <x:c r="A135" s="59"/>
      <x:c r="B135" s="59"/>
      <x:c r="C135" s="59"/>
      <x:c r="D135" s="59"/>
      <x:c r="E135" s="59"/>
      <x:c r="F135" s="59"/>
      <x:c r="G135" s="59"/>
      <x:c r="H135" s="59"/>
      <x:c r="I135" s="59"/>
      <x:c r="J135" s="59"/>
      <x:c r="K135" s="59"/>
      <x:c r="L135" s="59"/>
      <x:c r="M135" s="59"/>
      <x:c r="N135" s="59"/>
      <x:c r="O135" s="59"/>
      <x:c r="P135" s="59"/>
      <x:c r="Q135" s="59"/>
      <x:c r="R135" s="59"/>
      <x:c r="S135" s="59"/>
      <x:c r="T135" s="59"/>
      <x:c r="U135" s="59"/>
      <x:c r="V135" s="59"/>
      <x:c r="W135" s="59"/>
      <x:c r="X135" s="59"/>
      <x:c r="Y135" s="59"/>
      <x:c r="Z135" s="59"/>
      <x:c r="AA135" s="59"/>
      <x:c r="AB135" s="59"/>
      <x:c r="AC135" s="59"/>
      <x:c r="AD135" s="59"/>
      <x:c r="AE135" s="59"/>
      <x:c r="AF135" s="59"/>
      <x:c r="AG135" s="59"/>
      <x:c r="AH135" s="59"/>
      <x:c r="AI135" s="59"/>
      <x:c r="AJ135" s="59"/>
      <x:c r="AK135" s="59"/>
      <x:c r="AL135" s="59"/>
      <x:c r="AM135" s="59"/>
      <x:c r="AN135" s="59"/>
    </x:row>
    <x:row r="136">
      <x:c r="A136" s="59"/>
      <x:c r="B136" s="59"/>
      <x:c r="C136" s="59"/>
      <x:c r="D136" s="59"/>
      <x:c r="E136" s="59"/>
      <x:c r="F136" s="59"/>
      <x:c r="G136" s="59"/>
      <x:c r="H136" s="59"/>
      <x:c r="I136" s="59"/>
      <x:c r="J136" s="59"/>
      <x:c r="K136" s="59"/>
      <x:c r="L136" s="59"/>
      <x:c r="M136" s="59"/>
      <x:c r="N136" s="59"/>
      <x:c r="O136" s="59"/>
      <x:c r="P136" s="59"/>
      <x:c r="Q136" s="59"/>
      <x:c r="R136" s="59"/>
      <x:c r="S136" s="59"/>
      <x:c r="T136" s="59"/>
      <x:c r="U136" s="59"/>
      <x:c r="V136" s="59"/>
      <x:c r="W136" s="59"/>
      <x:c r="X136" s="59"/>
      <x:c r="Y136" s="59"/>
      <x:c r="Z136" s="59"/>
      <x:c r="AA136" s="59"/>
      <x:c r="AB136" s="59"/>
      <x:c r="AC136" s="59"/>
      <x:c r="AD136" s="59"/>
      <x:c r="AE136" s="59"/>
      <x:c r="AF136" s="59"/>
      <x:c r="AG136" s="59"/>
      <x:c r="AH136" s="59"/>
      <x:c r="AI136" s="59"/>
      <x:c r="AJ136" s="59"/>
      <x:c r="AK136" s="59"/>
      <x:c r="AL136" s="59"/>
      <x:c r="AM136" s="59"/>
      <x:c r="AN136" s="59"/>
    </x:row>
    <x:row r="137">
      <x:c r="A137" s="59"/>
      <x:c r="B137" s="59"/>
      <x:c r="C137" s="59"/>
      <x:c r="D137" s="59"/>
      <x:c r="E137" s="59"/>
      <x:c r="F137" s="59"/>
      <x:c r="G137" s="59"/>
      <x:c r="H137" s="59"/>
      <x:c r="I137" s="59"/>
      <x:c r="J137" s="59"/>
      <x:c r="K137" s="59"/>
      <x:c r="L137" s="59"/>
      <x:c r="M137" s="59"/>
      <x:c r="N137" s="59"/>
      <x:c r="O137" s="59"/>
      <x:c r="P137" s="59"/>
      <x:c r="Q137" s="59"/>
      <x:c r="R137" s="59"/>
      <x:c r="S137" s="59"/>
      <x:c r="T137" s="59"/>
      <x:c r="U137" s="59"/>
      <x:c r="V137" s="59"/>
      <x:c r="W137" s="59"/>
      <x:c r="X137" s="59"/>
      <x:c r="Y137" s="59"/>
      <x:c r="Z137" s="59"/>
      <x:c r="AA137" s="59"/>
      <x:c r="AB137" s="59"/>
      <x:c r="AC137" s="59"/>
      <x:c r="AD137" s="59"/>
      <x:c r="AE137" s="59"/>
      <x:c r="AF137" s="59"/>
      <x:c r="AG137" s="59"/>
      <x:c r="AH137" s="59"/>
      <x:c r="AI137" s="59"/>
      <x:c r="AJ137" s="59"/>
      <x:c r="AK137" s="59"/>
      <x:c r="AL137" s="59"/>
      <x:c r="AM137" s="59"/>
      <x:c r="AN137" s="59"/>
    </x:row>
    <x:row r="138">
      <x:c r="A138" s="59"/>
      <x:c r="B138" s="59"/>
      <x:c r="C138" s="59"/>
      <x:c r="D138" s="59"/>
      <x:c r="E138" s="59"/>
      <x:c r="F138" s="59"/>
      <x:c r="G138" s="59"/>
      <x:c r="H138" s="59"/>
      <x:c r="I138" s="59"/>
      <x:c r="J138" s="59"/>
      <x:c r="K138" s="59"/>
      <x:c r="L138" s="59"/>
      <x:c r="M138" s="59"/>
      <x:c r="N138" s="59"/>
      <x:c r="O138" s="59"/>
      <x:c r="P138" s="59"/>
      <x:c r="Q138" s="59"/>
      <x:c r="R138" s="59"/>
      <x:c r="S138" s="59"/>
      <x:c r="T138" s="59"/>
      <x:c r="U138" s="59"/>
      <x:c r="V138" s="59"/>
      <x:c r="W138" s="59"/>
      <x:c r="X138" s="59"/>
      <x:c r="Y138" s="59"/>
      <x:c r="Z138" s="59"/>
      <x:c r="AA138" s="59"/>
      <x:c r="AB138" s="59"/>
      <x:c r="AC138" s="59"/>
      <x:c r="AD138" s="59"/>
      <x:c r="AE138" s="59"/>
      <x:c r="AF138" s="59"/>
      <x:c r="AG138" s="59"/>
      <x:c r="AH138" s="59"/>
      <x:c r="AI138" s="59"/>
      <x:c r="AJ138" s="59"/>
      <x:c r="AK138" s="59"/>
      <x:c r="AL138" s="59"/>
      <x:c r="AM138" s="59"/>
      <x:c r="AN138" s="59"/>
    </x:row>
    <x:row r="139">
      <x:c r="A139" s="59"/>
      <x:c r="B139" s="59"/>
      <x:c r="C139" s="59"/>
      <x:c r="D139" s="59"/>
      <x:c r="E139" s="59"/>
      <x:c r="F139" s="59"/>
      <x:c r="G139" s="59"/>
      <x:c r="H139" s="59"/>
      <x:c r="I139" s="59"/>
      <x:c r="J139" s="59"/>
      <x:c r="K139" s="59"/>
      <x:c r="L139" s="59"/>
      <x:c r="M139" s="59"/>
      <x:c r="N139" s="59"/>
      <x:c r="O139" s="59"/>
      <x:c r="P139" s="59"/>
      <x:c r="Q139" s="59"/>
      <x:c r="R139" s="59"/>
      <x:c r="S139" s="59"/>
      <x:c r="T139" s="59"/>
      <x:c r="U139" s="59"/>
      <x:c r="V139" s="59"/>
      <x:c r="W139" s="59"/>
      <x:c r="X139" s="59"/>
      <x:c r="Y139" s="59"/>
      <x:c r="Z139" s="59"/>
      <x:c r="AA139" s="59"/>
      <x:c r="AB139" s="59"/>
      <x:c r="AC139" s="59"/>
      <x:c r="AD139" s="59"/>
      <x:c r="AE139" s="59"/>
      <x:c r="AF139" s="59"/>
      <x:c r="AG139" s="59"/>
      <x:c r="AH139" s="59"/>
      <x:c r="AI139" s="59"/>
      <x:c r="AJ139" s="59"/>
      <x:c r="AK139" s="59"/>
      <x:c r="AL139" s="59"/>
      <x:c r="AM139" s="59"/>
      <x:c r="AN139" s="59"/>
    </x:row>
    <x:row r="140">
      <x:c r="A140" s="59"/>
      <x:c r="B140" s="59"/>
      <x:c r="C140" s="59"/>
      <x:c r="D140" s="59"/>
      <x:c r="E140" s="59"/>
      <x:c r="F140" s="59"/>
      <x:c r="G140" s="59"/>
      <x:c r="H140" s="59"/>
      <x:c r="I140" s="59"/>
      <x:c r="J140" s="59"/>
      <x:c r="K140" s="59"/>
      <x:c r="L140" s="59"/>
      <x:c r="M140" s="59"/>
      <x:c r="N140" s="59"/>
      <x:c r="O140" s="59"/>
      <x:c r="P140" s="59"/>
      <x:c r="Q140" s="59"/>
      <x:c r="R140" s="59"/>
      <x:c r="S140" s="59"/>
      <x:c r="T140" s="59"/>
      <x:c r="U140" s="59"/>
      <x:c r="V140" s="59"/>
      <x:c r="W140" s="59"/>
      <x:c r="X140" s="59"/>
      <x:c r="Y140" s="59"/>
      <x:c r="Z140" s="59"/>
      <x:c r="AA140" s="59"/>
      <x:c r="AB140" s="59"/>
      <x:c r="AC140" s="59"/>
      <x:c r="AD140" s="59"/>
      <x:c r="AE140" s="59"/>
      <x:c r="AF140" s="59"/>
      <x:c r="AG140" s="59"/>
      <x:c r="AH140" s="59"/>
      <x:c r="AI140" s="59"/>
      <x:c r="AJ140" s="59"/>
      <x:c r="AK140" s="59"/>
      <x:c r="AL140" s="59"/>
      <x:c r="AM140" s="59"/>
      <x:c r="AN140" s="59"/>
    </x:row>
    <x:row r="141">
      <x:c r="A141" s="59"/>
      <x:c r="B141" s="59"/>
      <x:c r="C141" s="59"/>
      <x:c r="D141" s="59"/>
      <x:c r="E141" s="59"/>
      <x:c r="F141" s="59"/>
      <x:c r="G141" s="59"/>
      <x:c r="H141" s="59"/>
      <x:c r="I141" s="59"/>
      <x:c r="J141" s="59"/>
      <x:c r="K141" s="59"/>
      <x:c r="L141" s="59"/>
      <x:c r="M141" s="59"/>
      <x:c r="N141" s="59"/>
      <x:c r="O141" s="59"/>
      <x:c r="P141" s="59"/>
      <x:c r="Q141" s="59"/>
      <x:c r="R141" s="59"/>
      <x:c r="S141" s="59"/>
      <x:c r="T141" s="59"/>
      <x:c r="U141" s="59"/>
      <x:c r="V141" s="59"/>
      <x:c r="W141" s="59"/>
      <x:c r="X141" s="59"/>
      <x:c r="Y141" s="59"/>
      <x:c r="Z141" s="59"/>
      <x:c r="AA141" s="59"/>
      <x:c r="AB141" s="59"/>
      <x:c r="AC141" s="59"/>
      <x:c r="AD141" s="59"/>
      <x:c r="AE141" s="59"/>
      <x:c r="AF141" s="59"/>
      <x:c r="AG141" s="59"/>
      <x:c r="AH141" s="59"/>
      <x:c r="AI141" s="59"/>
      <x:c r="AJ141" s="59"/>
      <x:c r="AK141" s="59"/>
      <x:c r="AL141" s="59"/>
      <x:c r="AM141" s="59"/>
      <x:c r="AN141" s="59"/>
    </x:row>
    <x:row r="142">
      <x:c r="A142" s="59"/>
      <x:c r="B142" s="59"/>
      <x:c r="C142" s="59"/>
      <x:c r="D142" s="59"/>
      <x:c r="E142" s="59"/>
      <x:c r="F142" s="59"/>
      <x:c r="G142" s="59"/>
      <x:c r="H142" s="59"/>
      <x:c r="I142" s="59"/>
      <x:c r="J142" s="59"/>
      <x:c r="K142" s="59"/>
      <x:c r="L142" s="59"/>
      <x:c r="M142" s="59"/>
      <x:c r="N142" s="59"/>
      <x:c r="O142" s="59"/>
      <x:c r="P142" s="59"/>
      <x:c r="Q142" s="59"/>
      <x:c r="R142" s="59"/>
      <x:c r="S142" s="59"/>
      <x:c r="T142" s="59"/>
      <x:c r="U142" s="59"/>
      <x:c r="V142" s="59"/>
      <x:c r="W142" s="59"/>
      <x:c r="X142" s="59"/>
      <x:c r="Y142" s="59"/>
      <x:c r="Z142" s="59"/>
      <x:c r="AA142" s="59"/>
      <x:c r="AB142" s="59"/>
      <x:c r="AC142" s="59"/>
      <x:c r="AD142" s="59"/>
      <x:c r="AE142" s="59"/>
      <x:c r="AF142" s="59"/>
      <x:c r="AG142" s="59"/>
      <x:c r="AH142" s="59"/>
      <x:c r="AI142" s="59"/>
      <x:c r="AJ142" s="59"/>
      <x:c r="AK142" s="59"/>
      <x:c r="AL142" s="59"/>
      <x:c r="AM142" s="59"/>
      <x:c r="AN142" s="59"/>
    </x:row>
    <x:row r="143">
      <x:c r="A143" s="59"/>
      <x:c r="B143" s="59"/>
      <x:c r="C143" s="59"/>
      <x:c r="D143" s="59"/>
      <x:c r="E143" s="59"/>
      <x:c r="F143" s="59"/>
      <x:c r="G143" s="59"/>
      <x:c r="H143" s="59"/>
      <x:c r="I143" s="59"/>
      <x:c r="J143" s="59"/>
      <x:c r="K143" s="59"/>
      <x:c r="L143" s="59"/>
      <x:c r="M143" s="59"/>
      <x:c r="N143" s="59"/>
      <x:c r="O143" s="59"/>
      <x:c r="P143" s="59"/>
      <x:c r="Q143" s="59"/>
      <x:c r="R143" s="59"/>
      <x:c r="S143" s="59"/>
      <x:c r="T143" s="59"/>
      <x:c r="U143" s="59"/>
      <x:c r="V143" s="59"/>
      <x:c r="W143" s="59"/>
      <x:c r="X143" s="59"/>
      <x:c r="Y143" s="59"/>
      <x:c r="Z143" s="59"/>
      <x:c r="AA143" s="59"/>
      <x:c r="AB143" s="59"/>
      <x:c r="AC143" s="59"/>
      <x:c r="AD143" s="59"/>
      <x:c r="AE143" s="59"/>
      <x:c r="AF143" s="59"/>
      <x:c r="AG143" s="59"/>
      <x:c r="AH143" s="59"/>
      <x:c r="AI143" s="59"/>
      <x:c r="AJ143" s="59"/>
      <x:c r="AK143" s="59"/>
      <x:c r="AL143" s="59"/>
      <x:c r="AM143" s="59"/>
      <x:c r="AN143" s="59"/>
    </x:row>
    <x:row r="144">
      <x:c r="A144" s="59"/>
      <x:c r="B144" s="59"/>
      <x:c r="C144" s="59"/>
      <x:c r="D144" s="59"/>
      <x:c r="E144" s="59"/>
      <x:c r="F144" s="59"/>
      <x:c r="G144" s="59"/>
      <x:c r="H144" s="59"/>
      <x:c r="I144" s="59"/>
      <x:c r="J144" s="59"/>
      <x:c r="K144" s="59"/>
      <x:c r="L144" s="59"/>
      <x:c r="M144" s="59"/>
      <x:c r="N144" s="59"/>
      <x:c r="O144" s="59"/>
      <x:c r="P144" s="59"/>
      <x:c r="Q144" s="59"/>
      <x:c r="R144" s="59"/>
      <x:c r="S144" s="59"/>
      <x:c r="T144" s="59"/>
      <x:c r="U144" s="59"/>
      <x:c r="V144" s="59"/>
      <x:c r="W144" s="59"/>
      <x:c r="X144" s="59"/>
      <x:c r="Y144" s="59"/>
      <x:c r="Z144" s="59"/>
      <x:c r="AA144" s="59"/>
      <x:c r="AB144" s="59"/>
      <x:c r="AC144" s="59"/>
      <x:c r="AD144" s="59"/>
      <x:c r="AE144" s="59"/>
      <x:c r="AF144" s="59"/>
      <x:c r="AG144" s="59"/>
      <x:c r="AH144" s="59"/>
      <x:c r="AI144" s="59"/>
      <x:c r="AJ144" s="59"/>
      <x:c r="AK144" s="59"/>
      <x:c r="AL144" s="59"/>
      <x:c r="AM144" s="59"/>
      <x:c r="AN144" s="59"/>
    </x:row>
    <x:row r="145">
      <x:c r="A145" s="59"/>
      <x:c r="B145" s="59"/>
      <x:c r="C145" s="59"/>
      <x:c r="D145" s="59"/>
      <x:c r="E145" s="59"/>
      <x:c r="F145" s="59"/>
      <x:c r="G145" s="59"/>
      <x:c r="H145" s="59"/>
      <x:c r="I145" s="59"/>
      <x:c r="J145" s="59"/>
      <x:c r="K145" s="59"/>
      <x:c r="L145" s="59"/>
      <x:c r="M145" s="59"/>
      <x:c r="N145" s="59"/>
      <x:c r="O145" s="59"/>
      <x:c r="P145" s="59"/>
      <x:c r="Q145" s="59"/>
      <x:c r="R145" s="59"/>
      <x:c r="S145" s="59"/>
      <x:c r="T145" s="59"/>
      <x:c r="U145" s="59"/>
      <x:c r="V145" s="59"/>
      <x:c r="W145" s="59"/>
      <x:c r="X145" s="59"/>
      <x:c r="Y145" s="59"/>
      <x:c r="Z145" s="59"/>
      <x:c r="AA145" s="59"/>
      <x:c r="AB145" s="59"/>
      <x:c r="AC145" s="59"/>
      <x:c r="AD145" s="59"/>
      <x:c r="AE145" s="59"/>
      <x:c r="AF145" s="59"/>
      <x:c r="AG145" s="59"/>
      <x:c r="AH145" s="59"/>
      <x:c r="AI145" s="59"/>
      <x:c r="AJ145" s="59"/>
      <x:c r="AK145" s="59"/>
      <x:c r="AL145" s="59"/>
      <x:c r="AM145" s="59"/>
      <x:c r="AN145" s="59"/>
    </x:row>
    <x:row r="146">
      <x:c r="A146" s="59"/>
      <x:c r="B146" s="59"/>
      <x:c r="C146" s="59"/>
      <x:c r="D146" s="59"/>
      <x:c r="E146" s="59"/>
      <x:c r="F146" s="59"/>
      <x:c r="G146" s="59"/>
      <x:c r="H146" s="59"/>
      <x:c r="I146" s="59"/>
      <x:c r="J146" s="59"/>
      <x:c r="K146" s="59"/>
      <x:c r="L146" s="59"/>
      <x:c r="M146" s="59"/>
      <x:c r="N146" s="59"/>
      <x:c r="O146" s="59"/>
      <x:c r="P146" s="59"/>
      <x:c r="Q146" s="59"/>
      <x:c r="R146" s="59"/>
      <x:c r="S146" s="59"/>
      <x:c r="T146" s="59"/>
      <x:c r="U146" s="59"/>
      <x:c r="V146" s="59"/>
      <x:c r="W146" s="59"/>
      <x:c r="X146" s="59"/>
      <x:c r="Y146" s="59"/>
      <x:c r="Z146" s="59"/>
      <x:c r="AA146" s="59"/>
      <x:c r="AB146" s="59"/>
      <x:c r="AC146" s="59"/>
      <x:c r="AD146" s="59"/>
      <x:c r="AE146" s="59"/>
      <x:c r="AF146" s="59"/>
      <x:c r="AG146" s="59"/>
      <x:c r="AH146" s="59"/>
      <x:c r="AI146" s="59"/>
      <x:c r="AJ146" s="59"/>
      <x:c r="AK146" s="59"/>
      <x:c r="AL146" s="59"/>
      <x:c r="AM146" s="59"/>
      <x:c r="AN146" s="59"/>
    </x:row>
    <x:row r="147">
      <x:c r="A147" s="59"/>
      <x:c r="B147" s="59"/>
      <x:c r="C147" s="59"/>
      <x:c r="D147" s="59"/>
      <x:c r="E147" s="59"/>
      <x:c r="F147" s="59"/>
      <x:c r="G147" s="59"/>
      <x:c r="H147" s="59"/>
      <x:c r="I147" s="59"/>
      <x:c r="J147" s="59"/>
      <x:c r="K147" s="59"/>
      <x:c r="L147" s="59"/>
      <x:c r="M147" s="59"/>
      <x:c r="N147" s="59"/>
      <x:c r="O147" s="59"/>
      <x:c r="P147" s="59"/>
      <x:c r="Q147" s="59"/>
      <x:c r="R147" s="59"/>
      <x:c r="S147" s="59"/>
      <x:c r="T147" s="59"/>
      <x:c r="U147" s="59"/>
      <x:c r="V147" s="59"/>
      <x:c r="W147" s="59"/>
      <x:c r="X147" s="59"/>
      <x:c r="Y147" s="59"/>
      <x:c r="Z147" s="59"/>
      <x:c r="AA147" s="59"/>
      <x:c r="AB147" s="59"/>
      <x:c r="AC147" s="59"/>
      <x:c r="AD147" s="59"/>
      <x:c r="AE147" s="59"/>
      <x:c r="AF147" s="59"/>
      <x:c r="AG147" s="59"/>
      <x:c r="AH147" s="59"/>
      <x:c r="AI147" s="59"/>
      <x:c r="AJ147" s="59"/>
      <x:c r="AK147" s="59"/>
      <x:c r="AL147" s="59"/>
      <x:c r="AM147" s="59"/>
      <x:c r="AN147" s="59"/>
    </x:row>
    <x:row r="148">
      <x:c r="A148" s="59"/>
      <x:c r="B148" s="59"/>
      <x:c r="C148" s="59"/>
      <x:c r="D148" s="59"/>
      <x:c r="E148" s="59"/>
      <x:c r="F148" s="59"/>
      <x:c r="G148" s="59"/>
      <x:c r="H148" s="59"/>
      <x:c r="I148" s="59"/>
      <x:c r="J148" s="59"/>
      <x:c r="K148" s="59"/>
      <x:c r="L148" s="59"/>
      <x:c r="M148" s="59"/>
      <x:c r="N148" s="59"/>
      <x:c r="O148" s="59"/>
      <x:c r="P148" s="59"/>
      <x:c r="Q148" s="59"/>
      <x:c r="R148" s="59"/>
      <x:c r="S148" s="59"/>
      <x:c r="T148" s="59"/>
      <x:c r="U148" s="59"/>
      <x:c r="V148" s="59"/>
      <x:c r="W148" s="59"/>
      <x:c r="X148" s="59"/>
      <x:c r="Y148" s="59"/>
      <x:c r="Z148" s="59"/>
      <x:c r="AA148" s="59"/>
      <x:c r="AB148" s="59"/>
      <x:c r="AC148" s="59"/>
      <x:c r="AD148" s="59"/>
      <x:c r="AE148" s="59"/>
      <x:c r="AF148" s="59"/>
      <x:c r="AG148" s="59"/>
      <x:c r="AH148" s="59"/>
      <x:c r="AI148" s="59"/>
      <x:c r="AJ148" s="59"/>
      <x:c r="AK148" s="59"/>
      <x:c r="AL148" s="59"/>
      <x:c r="AM148" s="59"/>
      <x:c r="AN148" s="59"/>
    </x:row>
    <x:row r="149">
      <x:c r="A149" s="59"/>
      <x:c r="B149" s="59"/>
      <x:c r="C149" s="59"/>
      <x:c r="D149" s="59"/>
      <x:c r="E149" s="59"/>
      <x:c r="F149" s="59"/>
      <x:c r="G149" s="59"/>
      <x:c r="H149" s="59"/>
      <x:c r="I149" s="59"/>
      <x:c r="J149" s="59"/>
      <x:c r="K149" s="59"/>
      <x:c r="L149" s="59"/>
      <x:c r="M149" s="59"/>
      <x:c r="N149" s="59"/>
      <x:c r="O149" s="59"/>
      <x:c r="P149" s="59"/>
      <x:c r="Q149" s="59"/>
      <x:c r="R149" s="59"/>
      <x:c r="S149" s="59"/>
      <x:c r="T149" s="59"/>
      <x:c r="U149" s="59"/>
      <x:c r="V149" s="59"/>
      <x:c r="W149" s="59"/>
      <x:c r="X149" s="59"/>
      <x:c r="Y149" s="59"/>
      <x:c r="Z149" s="59"/>
      <x:c r="AA149" s="59"/>
      <x:c r="AB149" s="59"/>
      <x:c r="AC149" s="59"/>
      <x:c r="AD149" s="59"/>
      <x:c r="AE149" s="59"/>
      <x:c r="AF149" s="59"/>
      <x:c r="AG149" s="59"/>
      <x:c r="AH149" s="59"/>
      <x:c r="AI149" s="59"/>
      <x:c r="AJ149" s="59"/>
      <x:c r="AK149" s="59"/>
      <x:c r="AL149" s="59"/>
      <x:c r="AM149" s="59"/>
      <x:c r="AN149" s="59"/>
    </x:row>
    <x:row r="150">
      <x:c r="A150" s="59"/>
      <x:c r="B150" s="59"/>
      <x:c r="C150" s="59"/>
      <x:c r="D150" s="59"/>
      <x:c r="E150" s="59"/>
      <x:c r="F150" s="59"/>
      <x:c r="G150" s="59"/>
      <x:c r="H150" s="59"/>
      <x:c r="I150" s="59"/>
      <x:c r="J150" s="59"/>
      <x:c r="K150" s="59"/>
      <x:c r="L150" s="59"/>
      <x:c r="M150" s="59"/>
      <x:c r="N150" s="59"/>
      <x:c r="O150" s="59"/>
      <x:c r="P150" s="59"/>
      <x:c r="Q150" s="59"/>
      <x:c r="R150" s="59"/>
      <x:c r="S150" s="59"/>
      <x:c r="T150" s="59"/>
      <x:c r="U150" s="59"/>
      <x:c r="V150" s="59"/>
      <x:c r="W150" s="59"/>
      <x:c r="X150" s="59"/>
      <x:c r="Y150" s="59"/>
      <x:c r="Z150" s="59"/>
      <x:c r="AA150" s="59"/>
      <x:c r="AB150" s="59"/>
      <x:c r="AC150" s="59"/>
      <x:c r="AD150" s="59"/>
      <x:c r="AE150" s="59"/>
      <x:c r="AF150" s="59"/>
      <x:c r="AG150" s="59"/>
      <x:c r="AH150" s="59"/>
      <x:c r="AI150" s="59"/>
      <x:c r="AJ150" s="59"/>
      <x:c r="AK150" s="59"/>
      <x:c r="AL150" s="59"/>
      <x:c r="AM150" s="59"/>
      <x:c r="AN150" s="59"/>
    </x:row>
    <x:row r="151">
      <x:c r="A151" s="59"/>
      <x:c r="B151" s="59"/>
      <x:c r="C151" s="59"/>
      <x:c r="D151" s="59"/>
      <x:c r="E151" s="59"/>
      <x:c r="F151" s="59"/>
      <x:c r="G151" s="59"/>
      <x:c r="H151" s="59"/>
      <x:c r="I151" s="59"/>
      <x:c r="J151" s="59"/>
      <x:c r="K151" s="59"/>
      <x:c r="L151" s="59"/>
      <x:c r="M151" s="59"/>
      <x:c r="N151" s="59"/>
      <x:c r="O151" s="59"/>
      <x:c r="P151" s="59"/>
      <x:c r="Q151" s="59"/>
      <x:c r="R151" s="59"/>
      <x:c r="S151" s="59"/>
      <x:c r="T151" s="59"/>
      <x:c r="U151" s="59"/>
      <x:c r="V151" s="59"/>
      <x:c r="W151" s="59"/>
      <x:c r="X151" s="59"/>
      <x:c r="Y151" s="59"/>
      <x:c r="Z151" s="59"/>
      <x:c r="AA151" s="59"/>
      <x:c r="AB151" s="59"/>
      <x:c r="AC151" s="59"/>
      <x:c r="AD151" s="59"/>
      <x:c r="AE151" s="59"/>
      <x:c r="AF151" s="59"/>
      <x:c r="AG151" s="59"/>
      <x:c r="AH151" s="59"/>
      <x:c r="AI151" s="59"/>
      <x:c r="AJ151" s="59"/>
      <x:c r="AK151" s="59"/>
      <x:c r="AL151" s="59"/>
      <x:c r="AM151" s="59"/>
      <x:c r="AN151" s="59"/>
    </x:row>
    <x:row r="152">
      <x:c r="A152" s="59"/>
      <x:c r="B152" s="59"/>
      <x:c r="C152" s="59"/>
      <x:c r="D152" s="59"/>
      <x:c r="E152" s="59"/>
      <x:c r="F152" s="59"/>
      <x:c r="G152" s="59"/>
      <x:c r="H152" s="59"/>
      <x:c r="I152" s="59"/>
      <x:c r="J152" s="59"/>
      <x:c r="K152" s="59"/>
      <x:c r="L152" s="59"/>
      <x:c r="M152" s="59"/>
      <x:c r="N152" s="59"/>
      <x:c r="O152" s="59"/>
      <x:c r="P152" s="59"/>
      <x:c r="Q152" s="59"/>
      <x:c r="R152" s="59"/>
      <x:c r="S152" s="59"/>
      <x:c r="T152" s="59"/>
      <x:c r="U152" s="59"/>
      <x:c r="V152" s="59"/>
      <x:c r="W152" s="59"/>
      <x:c r="X152" s="59"/>
      <x:c r="Y152" s="59"/>
      <x:c r="Z152" s="59"/>
      <x:c r="AA152" s="59"/>
      <x:c r="AB152" s="59"/>
      <x:c r="AC152" s="59"/>
      <x:c r="AD152" s="59"/>
      <x:c r="AE152" s="59"/>
      <x:c r="AF152" s="59"/>
      <x:c r="AG152" s="59"/>
      <x:c r="AH152" s="59"/>
      <x:c r="AI152" s="59"/>
      <x:c r="AJ152" s="59"/>
      <x:c r="AK152" s="59"/>
      <x:c r="AL152" s="59"/>
      <x:c r="AM152" s="59"/>
      <x:c r="AN152" s="59"/>
    </x:row>
    <x:row r="153">
      <x:c r="A153" s="59"/>
      <x:c r="B153" s="59"/>
      <x:c r="C153" s="59"/>
      <x:c r="D153" s="59"/>
      <x:c r="E153" s="59"/>
      <x:c r="F153" s="59"/>
      <x:c r="G153" s="59"/>
      <x:c r="H153" s="59"/>
      <x:c r="I153" s="59"/>
      <x:c r="J153" s="59"/>
      <x:c r="K153" s="59"/>
      <x:c r="L153" s="59"/>
      <x:c r="M153" s="59"/>
      <x:c r="N153" s="59"/>
      <x:c r="O153" s="59"/>
      <x:c r="P153" s="59"/>
      <x:c r="Q153" s="59"/>
      <x:c r="R153" s="59"/>
      <x:c r="S153" s="59"/>
      <x:c r="T153" s="59"/>
      <x:c r="U153" s="59"/>
      <x:c r="V153" s="59"/>
      <x:c r="W153" s="59"/>
      <x:c r="X153" s="59"/>
      <x:c r="Y153" s="59"/>
      <x:c r="Z153" s="59"/>
      <x:c r="AA153" s="59"/>
      <x:c r="AB153" s="59"/>
      <x:c r="AC153" s="59"/>
      <x:c r="AD153" s="59"/>
      <x:c r="AE153" s="59"/>
      <x:c r="AF153" s="59"/>
      <x:c r="AG153" s="59"/>
      <x:c r="AH153" s="59"/>
      <x:c r="AI153" s="59"/>
      <x:c r="AJ153" s="59"/>
      <x:c r="AK153" s="59"/>
      <x:c r="AL153" s="59"/>
      <x:c r="AM153" s="59"/>
      <x:c r="AN153" s="59"/>
    </x:row>
    <x:row r="154">
      <x:c r="A154" s="59"/>
      <x:c r="B154" s="59"/>
      <x:c r="C154" s="59"/>
      <x:c r="D154" s="59"/>
      <x:c r="E154" s="59"/>
      <x:c r="F154" s="59"/>
      <x:c r="G154" s="59"/>
      <x:c r="H154" s="59"/>
      <x:c r="I154" s="59"/>
      <x:c r="J154" s="59"/>
      <x:c r="K154" s="59"/>
      <x:c r="L154" s="59"/>
      <x:c r="M154" s="59"/>
      <x:c r="N154" s="59"/>
      <x:c r="O154" s="59"/>
      <x:c r="P154" s="59"/>
      <x:c r="Q154" s="59"/>
      <x:c r="R154" s="59"/>
      <x:c r="S154" s="59"/>
      <x:c r="T154" s="59"/>
      <x:c r="U154" s="59"/>
      <x:c r="V154" s="59"/>
      <x:c r="W154" s="59"/>
      <x:c r="X154" s="59"/>
      <x:c r="Y154" s="59"/>
      <x:c r="Z154" s="59"/>
      <x:c r="AA154" s="59"/>
      <x:c r="AB154" s="59"/>
      <x:c r="AC154" s="59"/>
      <x:c r="AD154" s="59"/>
      <x:c r="AE154" s="59"/>
      <x:c r="AF154" s="59"/>
      <x:c r="AG154" s="59"/>
      <x:c r="AH154" s="59"/>
      <x:c r="AI154" s="59"/>
      <x:c r="AJ154" s="59"/>
      <x:c r="AK154" s="59"/>
      <x:c r="AL154" s="59"/>
      <x:c r="AM154" s="59"/>
      <x:c r="AN154" s="59"/>
    </x:row>
    <x:row r="155">
      <x:c r="A155" s="59"/>
      <x:c r="B155" s="59"/>
      <x:c r="C155" s="59"/>
      <x:c r="D155" s="59"/>
      <x:c r="E155" s="59"/>
      <x:c r="F155" s="59"/>
      <x:c r="G155" s="59"/>
      <x:c r="H155" s="59"/>
      <x:c r="I155" s="59"/>
      <x:c r="J155" s="59"/>
      <x:c r="K155" s="59"/>
      <x:c r="L155" s="59"/>
      <x:c r="M155" s="59"/>
      <x:c r="N155" s="59"/>
      <x:c r="O155" s="59"/>
      <x:c r="P155" s="59"/>
      <x:c r="Q155" s="59"/>
      <x:c r="R155" s="59"/>
      <x:c r="S155" s="59"/>
      <x:c r="T155" s="59"/>
      <x:c r="U155" s="59"/>
      <x:c r="V155" s="59"/>
      <x:c r="W155" s="59"/>
      <x:c r="X155" s="59"/>
      <x:c r="Y155" s="59"/>
      <x:c r="Z155" s="59"/>
      <x:c r="AA155" s="59"/>
      <x:c r="AB155" s="59"/>
      <x:c r="AC155" s="59"/>
      <x:c r="AD155" s="59"/>
      <x:c r="AE155" s="59"/>
      <x:c r="AF155" s="59"/>
      <x:c r="AG155" s="59"/>
      <x:c r="AH155" s="59"/>
      <x:c r="AI155" s="59"/>
      <x:c r="AJ155" s="59"/>
      <x:c r="AK155" s="59"/>
      <x:c r="AL155" s="59"/>
      <x:c r="AM155" s="59"/>
      <x:c r="AN155" s="59"/>
    </x:row>
    <x:row r="156">
      <x:c r="A156" s="59"/>
      <x:c r="B156" s="59"/>
      <x:c r="C156" s="59"/>
      <x:c r="D156" s="59"/>
      <x:c r="E156" s="59"/>
      <x:c r="F156" s="59"/>
      <x:c r="G156" s="59"/>
      <x:c r="H156" s="59"/>
      <x:c r="I156" s="59"/>
      <x:c r="J156" s="59"/>
      <x:c r="K156" s="59"/>
      <x:c r="L156" s="59"/>
      <x:c r="M156" s="59"/>
      <x:c r="N156" s="59"/>
      <x:c r="O156" s="59"/>
      <x:c r="P156" s="59"/>
      <x:c r="Q156" s="59"/>
      <x:c r="R156" s="59"/>
      <x:c r="S156" s="59"/>
      <x:c r="T156" s="59"/>
      <x:c r="U156" s="59"/>
      <x:c r="V156" s="59"/>
      <x:c r="W156" s="59"/>
      <x:c r="X156" s="59"/>
      <x:c r="Y156" s="59"/>
      <x:c r="Z156" s="59"/>
      <x:c r="AA156" s="59"/>
      <x:c r="AB156" s="59"/>
      <x:c r="AC156" s="59"/>
      <x:c r="AD156" s="59"/>
      <x:c r="AE156" s="59"/>
      <x:c r="AF156" s="59"/>
      <x:c r="AG156" s="59"/>
      <x:c r="AH156" s="59"/>
      <x:c r="AI156" s="59"/>
      <x:c r="AJ156" s="59"/>
      <x:c r="AK156" s="59"/>
      <x:c r="AL156" s="59"/>
      <x:c r="AM156" s="59"/>
      <x:c r="AN156" s="59"/>
    </x:row>
    <x:row r="157">
      <x:c r="A157" s="59"/>
      <x:c r="B157" s="59"/>
      <x:c r="C157" s="59"/>
      <x:c r="D157" s="59"/>
      <x:c r="E157" s="59"/>
      <x:c r="F157" s="59"/>
      <x:c r="G157" s="59"/>
      <x:c r="H157" s="59"/>
      <x:c r="I157" s="59"/>
      <x:c r="J157" s="59"/>
      <x:c r="K157" s="59"/>
      <x:c r="L157" s="59"/>
      <x:c r="M157" s="59"/>
      <x:c r="N157" s="59"/>
      <x:c r="O157" s="59"/>
      <x:c r="P157" s="59"/>
      <x:c r="Q157" s="59"/>
      <x:c r="R157" s="59"/>
      <x:c r="S157" s="59"/>
      <x:c r="T157" s="59"/>
      <x:c r="U157" s="59"/>
      <x:c r="V157" s="59"/>
      <x:c r="W157" s="59"/>
      <x:c r="X157" s="59"/>
      <x:c r="Y157" s="59"/>
      <x:c r="Z157" s="59"/>
      <x:c r="AA157" s="59"/>
      <x:c r="AB157" s="59"/>
      <x:c r="AC157" s="59"/>
      <x:c r="AD157" s="59"/>
      <x:c r="AE157" s="59"/>
      <x:c r="AF157" s="59"/>
      <x:c r="AG157" s="59"/>
      <x:c r="AH157" s="59"/>
      <x:c r="AI157" s="59"/>
      <x:c r="AJ157" s="59"/>
      <x:c r="AK157" s="59"/>
      <x:c r="AL157" s="59"/>
      <x:c r="AM157" s="59"/>
      <x:c r="AN157" s="59"/>
    </x:row>
    <x:row r="158">
      <x:c r="A158" s="59"/>
      <x:c r="B158" s="59"/>
      <x:c r="C158" s="59"/>
      <x:c r="D158" s="59"/>
      <x:c r="E158" s="59"/>
      <x:c r="F158" s="59"/>
      <x:c r="G158" s="59"/>
      <x:c r="H158" s="59"/>
      <x:c r="I158" s="59"/>
      <x:c r="J158" s="59"/>
      <x:c r="K158" s="59"/>
      <x:c r="L158" s="59"/>
      <x:c r="M158" s="59"/>
      <x:c r="N158" s="59"/>
      <x:c r="O158" s="59"/>
      <x:c r="P158" s="59"/>
      <x:c r="Q158" s="59"/>
      <x:c r="R158" s="59"/>
      <x:c r="S158" s="59"/>
      <x:c r="T158" s="59"/>
      <x:c r="U158" s="59"/>
      <x:c r="V158" s="59"/>
      <x:c r="W158" s="59"/>
      <x:c r="X158" s="59"/>
      <x:c r="Y158" s="59"/>
      <x:c r="Z158" s="59"/>
      <x:c r="AA158" s="59"/>
      <x:c r="AB158" s="59"/>
      <x:c r="AC158" s="59"/>
      <x:c r="AD158" s="59"/>
      <x:c r="AE158" s="59"/>
      <x:c r="AF158" s="59"/>
      <x:c r="AG158" s="59"/>
      <x:c r="AH158" s="59"/>
      <x:c r="AI158" s="59"/>
      <x:c r="AJ158" s="59"/>
      <x:c r="AK158" s="59"/>
      <x:c r="AL158" s="59"/>
      <x:c r="AM158" s="59"/>
      <x:c r="AN158" s="59"/>
    </x:row>
    <x:row r="159">
      <x:c r="A159" s="59"/>
      <x:c r="B159" s="59"/>
      <x:c r="C159" s="59"/>
      <x:c r="D159" s="59"/>
      <x:c r="E159" s="59"/>
      <x:c r="F159" s="59"/>
      <x:c r="G159" s="59"/>
      <x:c r="H159" s="59"/>
      <x:c r="I159" s="59"/>
      <x:c r="J159" s="59"/>
      <x:c r="K159" s="59"/>
      <x:c r="L159" s="59"/>
      <x:c r="M159" s="59"/>
      <x:c r="N159" s="59"/>
      <x:c r="O159" s="59"/>
      <x:c r="P159" s="59"/>
      <x:c r="Q159" s="59"/>
      <x:c r="R159" s="59"/>
      <x:c r="S159" s="59"/>
      <x:c r="T159" s="59"/>
      <x:c r="U159" s="59"/>
      <x:c r="V159" s="59"/>
      <x:c r="W159" s="59"/>
      <x:c r="X159" s="59"/>
      <x:c r="Y159" s="59"/>
      <x:c r="Z159" s="59"/>
      <x:c r="AA159" s="59"/>
      <x:c r="AB159" s="59"/>
      <x:c r="AC159" s="59"/>
      <x:c r="AD159" s="59"/>
      <x:c r="AE159" s="59"/>
      <x:c r="AF159" s="59"/>
      <x:c r="AG159" s="59"/>
      <x:c r="AH159" s="59"/>
      <x:c r="AI159" s="59"/>
      <x:c r="AJ159" s="59"/>
      <x:c r="AK159" s="59"/>
      <x:c r="AL159" s="59"/>
      <x:c r="AM159" s="59"/>
      <x:c r="AN159" s="59"/>
    </x:row>
    <x:row r="160">
      <x:c r="A160" s="59"/>
      <x:c r="B160" s="59"/>
      <x:c r="C160" s="59"/>
      <x:c r="D160" s="59"/>
      <x:c r="E160" s="59"/>
      <x:c r="F160" s="59"/>
      <x:c r="G160" s="59"/>
      <x:c r="H160" s="59"/>
      <x:c r="I160" s="59"/>
      <x:c r="J160" s="59"/>
      <x:c r="K160" s="59"/>
      <x:c r="L160" s="59"/>
      <x:c r="M160" s="59"/>
      <x:c r="N160" s="59"/>
      <x:c r="O160" s="59"/>
      <x:c r="P160" s="59"/>
      <x:c r="Q160" s="59"/>
      <x:c r="R160" s="59"/>
      <x:c r="S160" s="59"/>
      <x:c r="T160" s="59"/>
      <x:c r="U160" s="59"/>
      <x:c r="V160" s="59"/>
      <x:c r="W160" s="59"/>
      <x:c r="X160" s="59"/>
      <x:c r="Y160" s="59"/>
      <x:c r="Z160" s="59"/>
      <x:c r="AA160" s="59"/>
      <x:c r="AB160" s="59"/>
      <x:c r="AC160" s="59"/>
      <x:c r="AD160" s="59"/>
      <x:c r="AE160" s="59"/>
      <x:c r="AF160" s="59"/>
      <x:c r="AG160" s="59"/>
      <x:c r="AH160" s="59"/>
      <x:c r="AI160" s="59"/>
      <x:c r="AJ160" s="59"/>
      <x:c r="AK160" s="59"/>
      <x:c r="AL160" s="59"/>
      <x:c r="AM160" s="59"/>
      <x:c r="AN160" s="59"/>
    </x:row>
    <x:row r="161">
      <x:c r="A161" s="59"/>
      <x:c r="B161" s="59"/>
      <x:c r="C161" s="59"/>
      <x:c r="D161" s="59"/>
      <x:c r="E161" s="59"/>
      <x:c r="F161" s="59"/>
      <x:c r="G161" s="59"/>
      <x:c r="H161" s="59"/>
      <x:c r="I161" s="59"/>
      <x:c r="J161" s="59"/>
      <x:c r="K161" s="59"/>
      <x:c r="L161" s="59"/>
      <x:c r="M161" s="59"/>
      <x:c r="N161" s="59"/>
      <x:c r="O161" s="59"/>
      <x:c r="P161" s="59"/>
      <x:c r="Q161" s="59"/>
      <x:c r="R161" s="59"/>
      <x:c r="S161" s="59"/>
      <x:c r="T161" s="59"/>
      <x:c r="U161" s="59"/>
      <x:c r="V161" s="59"/>
      <x:c r="W161" s="59"/>
      <x:c r="X161" s="59"/>
      <x:c r="Y161" s="59"/>
      <x:c r="Z161" s="59"/>
      <x:c r="AA161" s="59"/>
      <x:c r="AB161" s="59"/>
      <x:c r="AC161" s="59"/>
      <x:c r="AD161" s="59"/>
      <x:c r="AE161" s="59"/>
      <x:c r="AF161" s="59"/>
      <x:c r="AG161" s="59"/>
      <x:c r="AH161" s="59"/>
      <x:c r="AI161" s="59"/>
      <x:c r="AJ161" s="59"/>
      <x:c r="AK161" s="59"/>
      <x:c r="AL161" s="59"/>
      <x:c r="AM161" s="59"/>
      <x:c r="AN161" s="59"/>
    </x:row>
    <x:row r="162">
      <x:c r="A162" s="59"/>
      <x:c r="B162" s="59"/>
      <x:c r="C162" s="59"/>
      <x:c r="D162" s="59"/>
      <x:c r="E162" s="59"/>
      <x:c r="F162" s="59"/>
      <x:c r="G162" s="59"/>
      <x:c r="H162" s="59"/>
      <x:c r="I162" s="59"/>
      <x:c r="J162" s="59"/>
      <x:c r="K162" s="59"/>
      <x:c r="L162" s="59"/>
      <x:c r="M162" s="59"/>
      <x:c r="N162" s="59"/>
      <x:c r="O162" s="59"/>
      <x:c r="P162" s="59"/>
      <x:c r="Q162" s="59"/>
      <x:c r="R162" s="59"/>
      <x:c r="S162" s="59"/>
      <x:c r="T162" s="59"/>
      <x:c r="U162" s="59"/>
      <x:c r="V162" s="59"/>
      <x:c r="W162" s="59"/>
      <x:c r="X162" s="59"/>
      <x:c r="Y162" s="59"/>
      <x:c r="Z162" s="59"/>
      <x:c r="AA162" s="59"/>
      <x:c r="AB162" s="59"/>
      <x:c r="AC162" s="59"/>
      <x:c r="AD162" s="59"/>
      <x:c r="AE162" s="59"/>
      <x:c r="AF162" s="59"/>
      <x:c r="AG162" s="59"/>
      <x:c r="AH162" s="59"/>
      <x:c r="AI162" s="59"/>
      <x:c r="AJ162" s="59"/>
      <x:c r="AK162" s="59"/>
      <x:c r="AL162" s="59"/>
      <x:c r="AM162" s="59"/>
      <x:c r="AN162" s="59"/>
    </x:row>
    <x:row r="163">
      <x:c r="A163" s="59"/>
      <x:c r="B163" s="59"/>
      <x:c r="C163" s="59"/>
      <x:c r="D163" s="59"/>
      <x:c r="E163" s="59"/>
      <x:c r="F163" s="59"/>
      <x:c r="G163" s="59"/>
      <x:c r="H163" s="59"/>
      <x:c r="I163" s="59"/>
      <x:c r="J163" s="59"/>
      <x:c r="K163" s="59"/>
      <x:c r="L163" s="59"/>
      <x:c r="M163" s="59"/>
      <x:c r="N163" s="59"/>
      <x:c r="O163" s="59"/>
      <x:c r="P163" s="59"/>
      <x:c r="Q163" s="59"/>
      <x:c r="R163" s="59"/>
      <x:c r="S163" s="59"/>
      <x:c r="T163" s="59"/>
      <x:c r="U163" s="59"/>
      <x:c r="V163" s="59"/>
      <x:c r="W163" s="59"/>
      <x:c r="X163" s="59"/>
      <x:c r="Y163" s="59"/>
      <x:c r="Z163" s="59"/>
      <x:c r="AA163" s="59"/>
      <x:c r="AB163" s="59"/>
      <x:c r="AC163" s="59"/>
      <x:c r="AD163" s="59"/>
      <x:c r="AE163" s="59"/>
      <x:c r="AF163" s="59"/>
      <x:c r="AG163" s="59"/>
      <x:c r="AH163" s="59"/>
      <x:c r="AI163" s="59"/>
      <x:c r="AJ163" s="59"/>
      <x:c r="AK163" s="59"/>
      <x:c r="AL163" s="59"/>
      <x:c r="AM163" s="59"/>
      <x:c r="AN163" s="59"/>
    </x:row>
    <x:row r="164">
      <x:c r="A164" s="59"/>
      <x:c r="B164" s="59"/>
      <x:c r="C164" s="59"/>
      <x:c r="D164" s="59"/>
      <x:c r="E164" s="59"/>
      <x:c r="F164" s="59"/>
      <x:c r="G164" s="59"/>
      <x:c r="H164" s="59"/>
      <x:c r="I164" s="59"/>
      <x:c r="J164" s="59"/>
      <x:c r="K164" s="59"/>
      <x:c r="L164" s="59"/>
      <x:c r="M164" s="59"/>
      <x:c r="N164" s="59"/>
      <x:c r="O164" s="59"/>
      <x:c r="P164" s="59"/>
      <x:c r="Q164" s="59"/>
      <x:c r="R164" s="59"/>
      <x:c r="S164" s="59"/>
      <x:c r="T164" s="59"/>
      <x:c r="U164" s="59"/>
      <x:c r="V164" s="59"/>
      <x:c r="W164" s="59"/>
      <x:c r="X164" s="59"/>
      <x:c r="Y164" s="59"/>
      <x:c r="Z164" s="59"/>
      <x:c r="AA164" s="59"/>
      <x:c r="AB164" s="59"/>
      <x:c r="AC164" s="59"/>
      <x:c r="AD164" s="59"/>
      <x:c r="AE164" s="59"/>
      <x:c r="AF164" s="59"/>
      <x:c r="AG164" s="59"/>
      <x:c r="AH164" s="59"/>
      <x:c r="AI164" s="59"/>
      <x:c r="AJ164" s="59"/>
      <x:c r="AK164" s="59"/>
      <x:c r="AL164" s="59"/>
      <x:c r="AM164" s="59"/>
      <x:c r="AN164" s="59"/>
    </x:row>
    <x:row r="165">
      <x:c r="A165" s="59"/>
      <x:c r="B165" s="59"/>
      <x:c r="C165" s="59"/>
      <x:c r="D165" s="59"/>
      <x:c r="E165" s="59"/>
      <x:c r="F165" s="59"/>
      <x:c r="G165" s="59"/>
      <x:c r="H165" s="59"/>
      <x:c r="I165" s="59"/>
      <x:c r="J165" s="59"/>
      <x:c r="K165" s="59"/>
      <x:c r="L165" s="59"/>
      <x:c r="M165" s="59"/>
      <x:c r="N165" s="59"/>
      <x:c r="O165" s="59"/>
      <x:c r="P165" s="59"/>
      <x:c r="Q165" s="59"/>
      <x:c r="R165" s="59"/>
      <x:c r="S165" s="59"/>
      <x:c r="T165" s="59"/>
      <x:c r="U165" s="59"/>
      <x:c r="V165" s="59"/>
      <x:c r="W165" s="59"/>
      <x:c r="X165" s="59"/>
      <x:c r="Y165" s="59"/>
      <x:c r="Z165" s="59"/>
      <x:c r="AA165" s="59"/>
      <x:c r="AB165" s="59"/>
      <x:c r="AC165" s="59"/>
      <x:c r="AD165" s="59"/>
      <x:c r="AE165" s="59"/>
      <x:c r="AF165" s="59"/>
      <x:c r="AG165" s="59"/>
      <x:c r="AH165" s="59"/>
      <x:c r="AI165" s="59"/>
      <x:c r="AJ165" s="59"/>
      <x:c r="AK165" s="59"/>
      <x:c r="AL165" s="59"/>
      <x:c r="AM165" s="59"/>
      <x:c r="AN165" s="59"/>
    </x:row>
    <x:row r="166">
      <x:c r="A166" s="59"/>
      <x:c r="B166" s="59"/>
      <x:c r="C166" s="59"/>
      <x:c r="D166" s="59"/>
      <x:c r="E166" s="59"/>
      <x:c r="F166" s="59"/>
      <x:c r="G166" s="59"/>
      <x:c r="H166" s="59"/>
      <x:c r="I166" s="59"/>
      <x:c r="J166" s="59"/>
      <x:c r="K166" s="59"/>
      <x:c r="L166" s="59"/>
      <x:c r="M166" s="59"/>
      <x:c r="N166" s="59"/>
      <x:c r="O166" s="59"/>
      <x:c r="P166" s="59"/>
      <x:c r="Q166" s="59"/>
      <x:c r="R166" s="59"/>
      <x:c r="S166" s="59"/>
      <x:c r="T166" s="59"/>
      <x:c r="U166" s="59"/>
      <x:c r="V166" s="59"/>
      <x:c r="W166" s="59"/>
      <x:c r="X166" s="59"/>
      <x:c r="Y166" s="59"/>
      <x:c r="Z166" s="59"/>
      <x:c r="AA166" s="59"/>
      <x:c r="AB166" s="59"/>
      <x:c r="AC166" s="59"/>
      <x:c r="AD166" s="59"/>
      <x:c r="AE166" s="59"/>
      <x:c r="AF166" s="59"/>
      <x:c r="AG166" s="59"/>
      <x:c r="AH166" s="59"/>
      <x:c r="AI166" s="59"/>
      <x:c r="AJ166" s="59"/>
      <x:c r="AK166" s="59"/>
      <x:c r="AL166" s="59"/>
      <x:c r="AM166" s="59"/>
      <x:c r="AN166" s="59"/>
    </x:row>
    <x:row r="167">
      <x:c r="A167" s="59"/>
      <x:c r="B167" s="59"/>
      <x:c r="C167" s="59"/>
      <x:c r="D167" s="59"/>
      <x:c r="E167" s="59"/>
      <x:c r="F167" s="59"/>
      <x:c r="G167" s="59"/>
      <x:c r="H167" s="59"/>
      <x:c r="I167" s="59"/>
      <x:c r="J167" s="59"/>
      <x:c r="K167" s="59"/>
      <x:c r="L167" s="59"/>
      <x:c r="M167" s="59"/>
      <x:c r="N167" s="59"/>
      <x:c r="O167" s="59"/>
      <x:c r="P167" s="59"/>
      <x:c r="Q167" s="59"/>
      <x:c r="R167" s="59"/>
      <x:c r="S167" s="59"/>
      <x:c r="T167" s="59"/>
      <x:c r="U167" s="59"/>
      <x:c r="V167" s="59"/>
      <x:c r="W167" s="59"/>
      <x:c r="X167" s="59"/>
      <x:c r="Y167" s="59"/>
      <x:c r="Z167" s="59"/>
      <x:c r="AA167" s="59"/>
      <x:c r="AB167" s="59"/>
      <x:c r="AC167" s="59"/>
      <x:c r="AD167" s="59"/>
      <x:c r="AE167" s="59"/>
      <x:c r="AF167" s="59"/>
      <x:c r="AG167" s="59"/>
      <x:c r="AH167" s="59"/>
      <x:c r="AI167" s="59"/>
      <x:c r="AJ167" s="59"/>
      <x:c r="AK167" s="59"/>
      <x:c r="AL167" s="59"/>
      <x:c r="AM167" s="59"/>
      <x:c r="AN167" s="59"/>
    </x:row>
    <x:row r="168">
      <x:c r="A168" s="59"/>
      <x:c r="B168" s="59"/>
      <x:c r="C168" s="59"/>
      <x:c r="D168" s="59"/>
      <x:c r="E168" s="59"/>
      <x:c r="F168" s="59"/>
      <x:c r="G168" s="59"/>
      <x:c r="H168" s="59"/>
      <x:c r="I168" s="59"/>
      <x:c r="J168" s="59"/>
      <x:c r="K168" s="59"/>
      <x:c r="L168" s="59"/>
      <x:c r="M168" s="59"/>
      <x:c r="N168" s="59"/>
      <x:c r="O168" s="59"/>
      <x:c r="P168" s="59"/>
      <x:c r="Q168" s="59"/>
      <x:c r="R168" s="59"/>
      <x:c r="S168" s="59"/>
      <x:c r="T168" s="59"/>
      <x:c r="U168" s="59"/>
      <x:c r="V168" s="59"/>
      <x:c r="W168" s="59"/>
      <x:c r="X168" s="59"/>
      <x:c r="Y168" s="59"/>
      <x:c r="Z168" s="59"/>
      <x:c r="AA168" s="59"/>
      <x:c r="AB168" s="59"/>
      <x:c r="AC168" s="59"/>
      <x:c r="AD168" s="59"/>
      <x:c r="AE168" s="59"/>
      <x:c r="AF168" s="59"/>
      <x:c r="AG168" s="59"/>
      <x:c r="AH168" s="59"/>
      <x:c r="AI168" s="59"/>
      <x:c r="AJ168" s="59"/>
      <x:c r="AK168" s="59"/>
      <x:c r="AL168" s="59"/>
      <x:c r="AM168" s="59"/>
      <x:c r="AN168" s="59"/>
    </x:row>
    <x:row r="169">
      <x:c r="A169" s="59"/>
      <x:c r="B169" s="59"/>
      <x:c r="C169" s="59"/>
      <x:c r="D169" s="59"/>
      <x:c r="E169" s="59"/>
      <x:c r="F169" s="59"/>
      <x:c r="G169" s="59"/>
      <x:c r="H169" s="59"/>
      <x:c r="I169" s="59"/>
      <x:c r="J169" s="59"/>
      <x:c r="K169" s="59"/>
      <x:c r="L169" s="59"/>
      <x:c r="M169" s="59"/>
      <x:c r="N169" s="59"/>
      <x:c r="O169" s="59"/>
      <x:c r="P169" s="59"/>
      <x:c r="Q169" s="59"/>
      <x:c r="R169" s="59"/>
      <x:c r="S169" s="59"/>
      <x:c r="T169" s="59"/>
      <x:c r="U169" s="59"/>
      <x:c r="V169" s="59"/>
      <x:c r="W169" s="59"/>
      <x:c r="X169" s="59"/>
      <x:c r="Y169" s="59"/>
      <x:c r="Z169" s="59"/>
      <x:c r="AA169" s="59"/>
      <x:c r="AB169" s="59"/>
      <x:c r="AC169" s="59"/>
      <x:c r="AD169" s="59"/>
      <x:c r="AE169" s="59"/>
      <x:c r="AF169" s="59"/>
      <x:c r="AG169" s="59"/>
      <x:c r="AH169" s="59"/>
      <x:c r="AI169" s="59"/>
      <x:c r="AJ169" s="59"/>
      <x:c r="AK169" s="59"/>
      <x:c r="AL169" s="59"/>
      <x:c r="AM169" s="59"/>
      <x:c r="AN169" s="59"/>
    </x:row>
    <x:row r="170">
      <x:c r="A170" s="59"/>
      <x:c r="B170" s="59"/>
      <x:c r="C170" s="59"/>
      <x:c r="D170" s="59"/>
      <x:c r="E170" s="59"/>
      <x:c r="F170" s="59"/>
      <x:c r="G170" s="59"/>
      <x:c r="H170" s="59"/>
      <x:c r="I170" s="59"/>
      <x:c r="J170" s="59"/>
      <x:c r="K170" s="59"/>
      <x:c r="L170" s="59"/>
      <x:c r="M170" s="59"/>
      <x:c r="N170" s="59"/>
      <x:c r="O170" s="59"/>
      <x:c r="P170" s="59"/>
      <x:c r="Q170" s="59"/>
      <x:c r="R170" s="59"/>
      <x:c r="S170" s="59"/>
      <x:c r="T170" s="59"/>
      <x:c r="U170" s="59"/>
      <x:c r="V170" s="59"/>
      <x:c r="W170" s="59"/>
      <x:c r="X170" s="59"/>
      <x:c r="Y170" s="59"/>
      <x:c r="Z170" s="59"/>
      <x:c r="AA170" s="59"/>
      <x:c r="AB170" s="59"/>
      <x:c r="AC170" s="59"/>
      <x:c r="AD170" s="59"/>
      <x:c r="AE170" s="59"/>
      <x:c r="AF170" s="59"/>
      <x:c r="AG170" s="59"/>
      <x:c r="AH170" s="59"/>
      <x:c r="AI170" s="59"/>
      <x:c r="AJ170" s="59"/>
      <x:c r="AK170" s="59"/>
      <x:c r="AL170" s="59"/>
      <x:c r="AM170" s="59"/>
      <x:c r="AN170" s="59"/>
    </x:row>
    <x:row r="171">
      <x:c r="A171" s="59"/>
      <x:c r="B171" s="59"/>
      <x:c r="C171" s="59"/>
      <x:c r="D171" s="59"/>
      <x:c r="E171" s="59"/>
      <x:c r="F171" s="59"/>
      <x:c r="G171" s="59"/>
      <x:c r="H171" s="59"/>
      <x:c r="I171" s="59"/>
      <x:c r="J171" s="59"/>
      <x:c r="K171" s="59"/>
      <x:c r="L171" s="59"/>
      <x:c r="M171" s="59"/>
      <x:c r="N171" s="59"/>
      <x:c r="O171" s="59"/>
      <x:c r="P171" s="59"/>
      <x:c r="Q171" s="59"/>
      <x:c r="R171" s="59"/>
      <x:c r="S171" s="59"/>
      <x:c r="T171" s="59"/>
      <x:c r="U171" s="59"/>
      <x:c r="V171" s="59"/>
      <x:c r="W171" s="59"/>
      <x:c r="X171" s="59"/>
      <x:c r="Y171" s="59"/>
      <x:c r="Z171" s="59"/>
      <x:c r="AA171" s="59"/>
      <x:c r="AB171" s="59"/>
      <x:c r="AC171" s="59"/>
      <x:c r="AD171" s="59"/>
      <x:c r="AE171" s="59"/>
      <x:c r="AF171" s="59"/>
      <x:c r="AG171" s="59"/>
      <x:c r="AH171" s="59"/>
      <x:c r="AI171" s="59"/>
      <x:c r="AJ171" s="59"/>
      <x:c r="AK171" s="59"/>
      <x:c r="AL171" s="59"/>
      <x:c r="AM171" s="59"/>
      <x:c r="AN171" s="59"/>
    </x:row>
    <x:row r="172">
      <x:c r="A172" s="59"/>
      <x:c r="B172" s="59"/>
      <x:c r="C172" s="59"/>
      <x:c r="D172" s="59"/>
      <x:c r="E172" s="59"/>
      <x:c r="F172" s="59"/>
      <x:c r="G172" s="59"/>
      <x:c r="H172" s="59"/>
      <x:c r="I172" s="59"/>
      <x:c r="J172" s="59"/>
      <x:c r="K172" s="59"/>
      <x:c r="L172" s="59"/>
      <x:c r="M172" s="59"/>
      <x:c r="N172" s="59"/>
      <x:c r="O172" s="59"/>
      <x:c r="P172" s="59"/>
      <x:c r="Q172" s="59"/>
      <x:c r="R172" s="59"/>
      <x:c r="S172" s="59"/>
      <x:c r="T172" s="59"/>
      <x:c r="U172" s="59"/>
      <x:c r="V172" s="59"/>
      <x:c r="W172" s="59"/>
      <x:c r="X172" s="59"/>
      <x:c r="Y172" s="59"/>
      <x:c r="Z172" s="59"/>
      <x:c r="AA172" s="59"/>
      <x:c r="AB172" s="59"/>
      <x:c r="AC172" s="59"/>
      <x:c r="AD172" s="59"/>
      <x:c r="AE172" s="59"/>
      <x:c r="AF172" s="59"/>
      <x:c r="AG172" s="59"/>
      <x:c r="AH172" s="59"/>
      <x:c r="AI172" s="59"/>
      <x:c r="AJ172" s="59"/>
      <x:c r="AK172" s="59"/>
      <x:c r="AL172" s="59"/>
      <x:c r="AM172" s="59"/>
      <x:c r="AN172" s="59"/>
    </x:row>
    <x:row r="173">
      <x:c r="A173" s="59"/>
      <x:c r="B173" s="59"/>
      <x:c r="C173" s="59"/>
      <x:c r="D173" s="59"/>
      <x:c r="E173" s="59"/>
      <x:c r="F173" s="59"/>
      <x:c r="G173" s="59"/>
      <x:c r="H173" s="59"/>
      <x:c r="I173" s="59"/>
      <x:c r="J173" s="59"/>
      <x:c r="K173" s="59"/>
      <x:c r="L173" s="59"/>
      <x:c r="M173" s="59"/>
      <x:c r="N173" s="59"/>
      <x:c r="O173" s="59"/>
      <x:c r="P173" s="59"/>
      <x:c r="Q173" s="59"/>
      <x:c r="R173" s="59"/>
      <x:c r="S173" s="59"/>
      <x:c r="T173" s="59"/>
      <x:c r="U173" s="59"/>
      <x:c r="V173" s="59"/>
      <x:c r="W173" s="59"/>
      <x:c r="X173" s="59"/>
      <x:c r="Y173" s="59"/>
      <x:c r="Z173" s="59"/>
      <x:c r="AA173" s="59"/>
      <x:c r="AB173" s="59"/>
      <x:c r="AC173" s="59"/>
      <x:c r="AD173" s="59"/>
      <x:c r="AE173" s="59"/>
      <x:c r="AF173" s="59"/>
      <x:c r="AG173" s="59"/>
      <x:c r="AH173" s="59"/>
      <x:c r="AI173" s="59"/>
      <x:c r="AJ173" s="59"/>
      <x:c r="AK173" s="59"/>
      <x:c r="AL173" s="59"/>
      <x:c r="AM173" s="59"/>
      <x:c r="AN173" s="59"/>
    </x:row>
    <x:row r="174">
      <x:c r="A174" s="59"/>
      <x:c r="B174" s="59"/>
      <x:c r="C174" s="59"/>
      <x:c r="D174" s="59"/>
      <x:c r="E174" s="59"/>
      <x:c r="F174" s="59"/>
      <x:c r="G174" s="59"/>
      <x:c r="H174" s="59"/>
      <x:c r="I174" s="59"/>
      <x:c r="J174" s="59"/>
      <x:c r="K174" s="59"/>
      <x:c r="L174" s="59"/>
      <x:c r="M174" s="59"/>
      <x:c r="N174" s="59"/>
      <x:c r="O174" s="59"/>
      <x:c r="P174" s="59"/>
      <x:c r="Q174" s="59"/>
      <x:c r="R174" s="59"/>
      <x:c r="S174" s="59"/>
      <x:c r="T174" s="59"/>
      <x:c r="U174" s="59"/>
      <x:c r="V174" s="59"/>
      <x:c r="W174" s="59"/>
      <x:c r="X174" s="59"/>
      <x:c r="Y174" s="59"/>
      <x:c r="Z174" s="59"/>
      <x:c r="AA174" s="59"/>
      <x:c r="AB174" s="59"/>
      <x:c r="AC174" s="59"/>
      <x:c r="AD174" s="59"/>
      <x:c r="AE174" s="59"/>
      <x:c r="AF174" s="59"/>
      <x:c r="AG174" s="59"/>
      <x:c r="AH174" s="59"/>
      <x:c r="AI174" s="59"/>
      <x:c r="AJ174" s="59"/>
      <x:c r="AK174" s="59"/>
      <x:c r="AL174" s="59"/>
      <x:c r="AM174" s="59"/>
      <x:c r="AN174" s="59"/>
    </x:row>
    <x:row r="175">
      <x:c r="A175" s="59"/>
      <x:c r="B175" s="59"/>
      <x:c r="C175" s="59"/>
      <x:c r="D175" s="59"/>
      <x:c r="E175" s="59"/>
      <x:c r="F175" s="59"/>
      <x:c r="G175" s="59"/>
      <x:c r="H175" s="59"/>
      <x:c r="I175" s="59"/>
      <x:c r="J175" s="59"/>
      <x:c r="K175" s="59"/>
      <x:c r="L175" s="59"/>
      <x:c r="M175" s="59"/>
      <x:c r="N175" s="59"/>
      <x:c r="O175" s="59"/>
      <x:c r="P175" s="59"/>
      <x:c r="Q175" s="59"/>
      <x:c r="R175" s="59"/>
      <x:c r="S175" s="59"/>
      <x:c r="T175" s="59"/>
      <x:c r="U175" s="59"/>
      <x:c r="V175" s="59"/>
      <x:c r="W175" s="59"/>
      <x:c r="X175" s="59"/>
      <x:c r="Y175" s="59"/>
      <x:c r="Z175" s="59"/>
      <x:c r="AA175" s="59"/>
      <x:c r="AB175" s="59"/>
      <x:c r="AC175" s="59"/>
      <x:c r="AD175" s="59"/>
      <x:c r="AE175" s="59"/>
      <x:c r="AF175" s="59"/>
      <x:c r="AG175" s="59"/>
      <x:c r="AH175" s="59"/>
      <x:c r="AI175" s="59"/>
      <x:c r="AJ175" s="59"/>
      <x:c r="AK175" s="59"/>
      <x:c r="AL175" s="59"/>
      <x:c r="AM175" s="59"/>
      <x:c r="AN175" s="59"/>
    </x:row>
    <x:row r="176">
      <x:c r="A176" s="59"/>
      <x:c r="B176" s="59"/>
      <x:c r="C176" s="59"/>
      <x:c r="D176" s="59"/>
      <x:c r="E176" s="59"/>
      <x:c r="F176" s="59"/>
      <x:c r="G176" s="59"/>
      <x:c r="H176" s="59"/>
      <x:c r="I176" s="59"/>
      <x:c r="J176" s="59"/>
      <x:c r="K176" s="59"/>
      <x:c r="L176" s="59"/>
      <x:c r="M176" s="59"/>
      <x:c r="N176" s="59"/>
      <x:c r="O176" s="59"/>
      <x:c r="P176" s="59"/>
      <x:c r="Q176" s="59"/>
      <x:c r="R176" s="59"/>
      <x:c r="S176" s="59"/>
      <x:c r="T176" s="59"/>
      <x:c r="U176" s="59"/>
      <x:c r="V176" s="59"/>
      <x:c r="W176" s="59"/>
      <x:c r="X176" s="59"/>
      <x:c r="Y176" s="59"/>
      <x:c r="Z176" s="59"/>
      <x:c r="AA176" s="59"/>
      <x:c r="AB176" s="59"/>
      <x:c r="AC176" s="59"/>
      <x:c r="AD176" s="59"/>
      <x:c r="AE176" s="59"/>
      <x:c r="AF176" s="59"/>
      <x:c r="AG176" s="59"/>
      <x:c r="AH176" s="59"/>
      <x:c r="AI176" s="59"/>
      <x:c r="AJ176" s="59"/>
      <x:c r="AK176" s="59"/>
      <x:c r="AL176" s="59"/>
      <x:c r="AM176" s="59"/>
      <x:c r="AN176" s="59"/>
    </x:row>
    <x:row r="177">
      <x:c r="A177" s="59"/>
      <x:c r="B177" s="59"/>
      <x:c r="C177" s="59"/>
      <x:c r="D177" s="59"/>
      <x:c r="E177" s="59"/>
      <x:c r="F177" s="59"/>
      <x:c r="G177" s="59"/>
      <x:c r="H177" s="59"/>
      <x:c r="I177" s="59"/>
      <x:c r="J177" s="59"/>
      <x:c r="K177" s="59"/>
      <x:c r="L177" s="59"/>
      <x:c r="M177" s="59"/>
      <x:c r="N177" s="59"/>
      <x:c r="O177" s="59"/>
      <x:c r="P177" s="59"/>
      <x:c r="Q177" s="59"/>
      <x:c r="R177" s="59"/>
      <x:c r="S177" s="59"/>
      <x:c r="T177" s="59"/>
      <x:c r="U177" s="59"/>
      <x:c r="V177" s="59"/>
      <x:c r="W177" s="59"/>
      <x:c r="X177" s="59"/>
      <x:c r="Y177" s="59"/>
      <x:c r="Z177" s="59"/>
      <x:c r="AA177" s="59"/>
      <x:c r="AB177" s="59"/>
      <x:c r="AC177" s="59"/>
      <x:c r="AD177" s="59"/>
      <x:c r="AE177" s="59"/>
      <x:c r="AF177" s="59"/>
      <x:c r="AG177" s="59"/>
      <x:c r="AH177" s="59"/>
      <x:c r="AI177" s="59"/>
      <x:c r="AJ177" s="59"/>
      <x:c r="AK177" s="59"/>
      <x:c r="AL177" s="59"/>
      <x:c r="AM177" s="59"/>
      <x:c r="AN177" s="59"/>
    </x:row>
    <x:row r="178">
      <x:c r="A178" s="59"/>
      <x:c r="B178" s="59"/>
      <x:c r="C178" s="59"/>
      <x:c r="D178" s="59"/>
      <x:c r="E178" s="59"/>
      <x:c r="F178" s="59"/>
      <x:c r="G178" s="59"/>
      <x:c r="H178" s="59"/>
      <x:c r="I178" s="59"/>
      <x:c r="J178" s="59"/>
      <x:c r="K178" s="59"/>
      <x:c r="L178" s="59"/>
      <x:c r="M178" s="59"/>
      <x:c r="N178" s="59"/>
      <x:c r="O178" s="59"/>
      <x:c r="P178" s="59"/>
      <x:c r="Q178" s="59"/>
      <x:c r="R178" s="59"/>
      <x:c r="S178" s="59"/>
      <x:c r="T178" s="59"/>
      <x:c r="U178" s="59"/>
      <x:c r="V178" s="59"/>
      <x:c r="W178" s="59"/>
      <x:c r="X178" s="59"/>
      <x:c r="Y178" s="59"/>
      <x:c r="Z178" s="59"/>
      <x:c r="AA178" s="59"/>
      <x:c r="AB178" s="59"/>
      <x:c r="AC178" s="59"/>
      <x:c r="AD178" s="59"/>
      <x:c r="AE178" s="59"/>
      <x:c r="AF178" s="59"/>
      <x:c r="AG178" s="59"/>
      <x:c r="AH178" s="59"/>
      <x:c r="AI178" s="59"/>
      <x:c r="AJ178" s="59"/>
      <x:c r="AK178" s="59"/>
      <x:c r="AL178" s="59"/>
      <x:c r="AM178" s="59"/>
      <x:c r="AN178" s="59"/>
    </x:row>
    <x:row r="179">
      <x:c r="A179" s="59"/>
      <x:c r="B179" s="59"/>
      <x:c r="C179" s="59"/>
      <x:c r="D179" s="59"/>
      <x:c r="E179" s="59"/>
      <x:c r="F179" s="59"/>
      <x:c r="G179" s="59"/>
      <x:c r="H179" s="59"/>
      <x:c r="I179" s="59"/>
      <x:c r="J179" s="59"/>
      <x:c r="K179" s="59"/>
      <x:c r="L179" s="59"/>
      <x:c r="M179" s="59"/>
      <x:c r="N179" s="59"/>
      <x:c r="O179" s="59"/>
      <x:c r="P179" s="59"/>
      <x:c r="Q179" s="59"/>
      <x:c r="R179" s="59"/>
      <x:c r="S179" s="59"/>
      <x:c r="T179" s="59"/>
      <x:c r="U179" s="59"/>
      <x:c r="V179" s="59"/>
      <x:c r="W179" s="59"/>
      <x:c r="X179" s="59"/>
      <x:c r="Y179" s="59"/>
      <x:c r="Z179" s="59"/>
      <x:c r="AA179" s="59"/>
      <x:c r="AB179" s="59"/>
      <x:c r="AC179" s="59"/>
      <x:c r="AD179" s="59"/>
      <x:c r="AE179" s="59"/>
      <x:c r="AF179" s="59"/>
      <x:c r="AG179" s="59"/>
      <x:c r="AH179" s="59"/>
      <x:c r="AI179" s="59"/>
      <x:c r="AJ179" s="59"/>
      <x:c r="AK179" s="59"/>
      <x:c r="AL179" s="59"/>
      <x:c r="AM179" s="59"/>
      <x:c r="AN179" s="59"/>
    </x:row>
    <x:row r="180">
      <x:c r="A180" s="59"/>
      <x:c r="B180" s="59"/>
      <x:c r="C180" s="59"/>
      <x:c r="D180" s="59"/>
      <x:c r="E180" s="59"/>
      <x:c r="F180" s="59"/>
      <x:c r="G180" s="59"/>
      <x:c r="H180" s="59"/>
      <x:c r="I180" s="59"/>
      <x:c r="J180" s="59"/>
      <x:c r="K180" s="59"/>
      <x:c r="L180" s="59"/>
      <x:c r="M180" s="59"/>
      <x:c r="N180" s="59"/>
      <x:c r="O180" s="59"/>
      <x:c r="P180" s="59"/>
      <x:c r="Q180" s="59"/>
      <x:c r="R180" s="59"/>
      <x:c r="S180" s="59"/>
      <x:c r="T180" s="59"/>
      <x:c r="U180" s="59"/>
      <x:c r="V180" s="59"/>
      <x:c r="W180" s="59"/>
      <x:c r="X180" s="59"/>
      <x:c r="Y180" s="59"/>
      <x:c r="Z180" s="59"/>
      <x:c r="AA180" s="59"/>
      <x:c r="AB180" s="59"/>
      <x:c r="AC180" s="59"/>
      <x:c r="AD180" s="59"/>
      <x:c r="AE180" s="59"/>
      <x:c r="AF180" s="59"/>
      <x:c r="AG180" s="59"/>
      <x:c r="AH180" s="59"/>
      <x:c r="AI180" s="59"/>
      <x:c r="AJ180" s="59"/>
      <x:c r="AK180" s="59"/>
      <x:c r="AL180" s="59"/>
      <x:c r="AM180" s="59"/>
      <x:c r="AN180" s="59"/>
    </x:row>
    <x:row r="181">
      <x:c r="A181" s="59"/>
      <x:c r="B181" s="59"/>
      <x:c r="C181" s="59"/>
      <x:c r="D181" s="59"/>
      <x:c r="E181" s="59"/>
      <x:c r="F181" s="59"/>
      <x:c r="G181" s="59"/>
      <x:c r="H181" s="59"/>
      <x:c r="I181" s="59"/>
      <x:c r="J181" s="59"/>
      <x:c r="K181" s="59"/>
      <x:c r="L181" s="59"/>
      <x:c r="M181" s="59"/>
      <x:c r="N181" s="59"/>
      <x:c r="O181" s="59"/>
      <x:c r="P181" s="59"/>
      <x:c r="Q181" s="59"/>
      <x:c r="R181" s="59"/>
      <x:c r="S181" s="59"/>
      <x:c r="T181" s="59"/>
      <x:c r="U181" s="59"/>
      <x:c r="V181" s="59"/>
      <x:c r="W181" s="59"/>
      <x:c r="X181" s="59"/>
      <x:c r="Y181" s="59"/>
      <x:c r="Z181" s="59"/>
      <x:c r="AA181" s="59"/>
      <x:c r="AB181" s="59"/>
      <x:c r="AC181" s="59"/>
      <x:c r="AD181" s="59"/>
      <x:c r="AE181" s="59"/>
      <x:c r="AF181" s="59"/>
      <x:c r="AG181" s="59"/>
      <x:c r="AH181" s="59"/>
      <x:c r="AI181" s="59"/>
      <x:c r="AJ181" s="59"/>
      <x:c r="AK181" s="59"/>
      <x:c r="AL181" s="59"/>
      <x:c r="AM181" s="59"/>
      <x:c r="AN181" s="59"/>
    </x:row>
    <x:row r="182">
      <x:c r="A182" s="59"/>
      <x:c r="B182" s="59"/>
      <x:c r="C182" s="59"/>
      <x:c r="D182" s="59"/>
      <x:c r="E182" s="59"/>
      <x:c r="F182" s="59"/>
      <x:c r="G182" s="59"/>
      <x:c r="H182" s="59"/>
      <x:c r="I182" s="59"/>
      <x:c r="J182" s="59"/>
      <x:c r="K182" s="59"/>
      <x:c r="L182" s="59"/>
      <x:c r="M182" s="59"/>
      <x:c r="N182" s="59"/>
      <x:c r="O182" s="59"/>
      <x:c r="P182" s="59"/>
      <x:c r="Q182" s="59"/>
      <x:c r="R182" s="59"/>
      <x:c r="S182" s="59"/>
      <x:c r="T182" s="59"/>
      <x:c r="U182" s="59"/>
      <x:c r="V182" s="59"/>
      <x:c r="W182" s="59"/>
      <x:c r="X182" s="59"/>
      <x:c r="Y182" s="59"/>
      <x:c r="Z182" s="59"/>
      <x:c r="AA182" s="59"/>
      <x:c r="AB182" s="59"/>
      <x:c r="AC182" s="59"/>
      <x:c r="AD182" s="59"/>
      <x:c r="AE182" s="59"/>
      <x:c r="AF182" s="59"/>
      <x:c r="AG182" s="59"/>
      <x:c r="AH182" s="59"/>
      <x:c r="AI182" s="59"/>
      <x:c r="AJ182" s="59"/>
      <x:c r="AK182" s="59"/>
      <x:c r="AL182" s="59"/>
      <x:c r="AM182" s="59"/>
      <x:c r="AN182" s="59"/>
    </x:row>
    <x:row r="183">
      <x:c r="A183" s="59"/>
      <x:c r="B183" s="59"/>
      <x:c r="C183" s="59"/>
      <x:c r="D183" s="59"/>
      <x:c r="E183" s="59"/>
      <x:c r="F183" s="59"/>
      <x:c r="G183" s="59"/>
      <x:c r="H183" s="59"/>
      <x:c r="I183" s="59"/>
      <x:c r="J183" s="59"/>
      <x:c r="K183" s="59"/>
      <x:c r="L183" s="59"/>
      <x:c r="M183" s="59"/>
      <x:c r="N183" s="59"/>
      <x:c r="O183" s="59"/>
      <x:c r="P183" s="59"/>
      <x:c r="Q183" s="59"/>
      <x:c r="R183" s="59"/>
      <x:c r="S183" s="59"/>
      <x:c r="T183" s="59"/>
      <x:c r="U183" s="59"/>
      <x:c r="V183" s="59"/>
      <x:c r="W183" s="59"/>
      <x:c r="X183" s="59"/>
      <x:c r="Y183" s="59"/>
      <x:c r="Z183" s="59"/>
      <x:c r="AA183" s="59"/>
      <x:c r="AB183" s="59"/>
      <x:c r="AC183" s="59"/>
      <x:c r="AD183" s="59"/>
      <x:c r="AE183" s="59"/>
      <x:c r="AF183" s="59"/>
      <x:c r="AG183" s="59"/>
      <x:c r="AH183" s="59"/>
      <x:c r="AI183" s="59"/>
      <x:c r="AJ183" s="59"/>
      <x:c r="AK183" s="59"/>
      <x:c r="AL183" s="59"/>
      <x:c r="AM183" s="59"/>
      <x:c r="AN183" s="59"/>
    </x:row>
    <x:row r="184">
      <x:c r="A184" s="59"/>
      <x:c r="B184" s="59"/>
      <x:c r="C184" s="59"/>
      <x:c r="D184" s="59"/>
      <x:c r="E184" s="59"/>
      <x:c r="F184" s="59"/>
      <x:c r="G184" s="59"/>
      <x:c r="H184" s="59"/>
      <x:c r="I184" s="59"/>
      <x:c r="J184" s="59"/>
      <x:c r="K184" s="59"/>
      <x:c r="L184" s="59"/>
      <x:c r="M184" s="59"/>
      <x:c r="N184" s="59"/>
      <x:c r="O184" s="59"/>
      <x:c r="P184" s="59"/>
      <x:c r="Q184" s="59"/>
      <x:c r="R184" s="59"/>
      <x:c r="S184" s="59"/>
      <x:c r="T184" s="59"/>
      <x:c r="U184" s="59"/>
      <x:c r="V184" s="59"/>
      <x:c r="W184" s="59"/>
      <x:c r="X184" s="59"/>
      <x:c r="Y184" s="59"/>
      <x:c r="Z184" s="59"/>
      <x:c r="AA184" s="59"/>
      <x:c r="AB184" s="59"/>
      <x:c r="AC184" s="59"/>
      <x:c r="AD184" s="59"/>
      <x:c r="AE184" s="59"/>
      <x:c r="AF184" s="59"/>
      <x:c r="AG184" s="59"/>
      <x:c r="AH184" s="59"/>
      <x:c r="AI184" s="59"/>
      <x:c r="AJ184" s="59"/>
      <x:c r="AK184" s="59"/>
      <x:c r="AL184" s="59"/>
      <x:c r="AM184" s="59"/>
      <x:c r="AN184" s="59"/>
    </x:row>
    <x:row r="185">
      <x:c r="A185" s="59"/>
      <x:c r="B185" s="59"/>
      <x:c r="C185" s="59"/>
      <x:c r="D185" s="59"/>
      <x:c r="E185" s="59"/>
      <x:c r="F185" s="59"/>
      <x:c r="G185" s="59"/>
      <x:c r="H185" s="59"/>
      <x:c r="I185" s="59"/>
      <x:c r="J185" s="59"/>
      <x:c r="K185" s="59"/>
      <x:c r="L185" s="59"/>
      <x:c r="M185" s="59"/>
      <x:c r="N185" s="59"/>
      <x:c r="O185" s="59"/>
      <x:c r="P185" s="59"/>
      <x:c r="Q185" s="59"/>
      <x:c r="R185" s="59"/>
      <x:c r="S185" s="59"/>
      <x:c r="T185" s="59"/>
      <x:c r="U185" s="59"/>
      <x:c r="V185" s="59"/>
      <x:c r="W185" s="59"/>
      <x:c r="X185" s="59"/>
      <x:c r="Y185" s="59"/>
      <x:c r="Z185" s="59"/>
      <x:c r="AA185" s="59"/>
      <x:c r="AB185" s="59"/>
      <x:c r="AC185" s="59"/>
      <x:c r="AD185" s="59"/>
      <x:c r="AE185" s="59"/>
      <x:c r="AF185" s="59"/>
      <x:c r="AG185" s="59"/>
      <x:c r="AH185" s="59"/>
      <x:c r="AI185" s="59"/>
      <x:c r="AJ185" s="59"/>
      <x:c r="AK185" s="59"/>
      <x:c r="AL185" s="59"/>
      <x:c r="AM185" s="59"/>
      <x:c r="AN185" s="59"/>
    </x:row>
    <x:row r="186">
      <x:c r="A186" s="59"/>
      <x:c r="B186" s="59"/>
      <x:c r="C186" s="59"/>
      <x:c r="D186" s="59"/>
      <x:c r="E186" s="59"/>
      <x:c r="F186" s="59"/>
      <x:c r="G186" s="59"/>
      <x:c r="H186" s="59"/>
      <x:c r="I186" s="59"/>
      <x:c r="J186" s="59"/>
      <x:c r="K186" s="59"/>
      <x:c r="L186" s="59"/>
      <x:c r="M186" s="59"/>
      <x:c r="N186" s="59"/>
      <x:c r="O186" s="59"/>
      <x:c r="P186" s="59"/>
      <x:c r="Q186" s="59"/>
      <x:c r="R186" s="59"/>
      <x:c r="S186" s="59"/>
      <x:c r="T186" s="59"/>
      <x:c r="U186" s="59"/>
      <x:c r="V186" s="59"/>
      <x:c r="W186" s="59"/>
      <x:c r="X186" s="59"/>
      <x:c r="Y186" s="59"/>
      <x:c r="Z186" s="59"/>
      <x:c r="AA186" s="59"/>
      <x:c r="AB186" s="59"/>
      <x:c r="AC186" s="59"/>
      <x:c r="AD186" s="59"/>
      <x:c r="AE186" s="59"/>
      <x:c r="AF186" s="59"/>
      <x:c r="AG186" s="59"/>
      <x:c r="AH186" s="59"/>
      <x:c r="AI186" s="59"/>
      <x:c r="AJ186" s="59"/>
      <x:c r="AK186" s="59"/>
      <x:c r="AL186" s="59"/>
      <x:c r="AM186" s="59"/>
      <x:c r="AN186" s="59"/>
    </x:row>
    <x:row r="187">
      <x:c r="A187" s="59"/>
      <x:c r="B187" s="59"/>
      <x:c r="C187" s="59"/>
      <x:c r="D187" s="59"/>
      <x:c r="E187" s="59"/>
      <x:c r="F187" s="59"/>
      <x:c r="G187" s="59"/>
      <x:c r="H187" s="59"/>
      <x:c r="I187" s="59"/>
      <x:c r="J187" s="59"/>
      <x:c r="K187" s="59"/>
      <x:c r="L187" s="59"/>
      <x:c r="M187" s="59"/>
      <x:c r="N187" s="59"/>
      <x:c r="O187" s="59"/>
      <x:c r="P187" s="59"/>
      <x:c r="Q187" s="59"/>
      <x:c r="R187" s="59"/>
      <x:c r="S187" s="59"/>
      <x:c r="T187" s="59"/>
      <x:c r="U187" s="59"/>
      <x:c r="V187" s="59"/>
      <x:c r="W187" s="59"/>
      <x:c r="X187" s="59"/>
      <x:c r="Y187" s="59"/>
      <x:c r="Z187" s="59"/>
      <x:c r="AA187" s="59"/>
      <x:c r="AB187" s="59"/>
      <x:c r="AC187" s="59"/>
      <x:c r="AD187" s="59"/>
      <x:c r="AE187" s="59"/>
      <x:c r="AF187" s="59"/>
      <x:c r="AG187" s="59"/>
      <x:c r="AH187" s="59"/>
      <x:c r="AI187" s="59"/>
      <x:c r="AJ187" s="59"/>
      <x:c r="AK187" s="59"/>
      <x:c r="AL187" s="59"/>
      <x:c r="AM187" s="59"/>
      <x:c r="AN187" s="59"/>
    </x:row>
    <x:row r="188">
      <x:c r="A188" s="59"/>
      <x:c r="B188" s="59"/>
      <x:c r="C188" s="59"/>
      <x:c r="D188" s="59"/>
      <x:c r="E188" s="59"/>
      <x:c r="F188" s="59"/>
      <x:c r="G188" s="59"/>
      <x:c r="H188" s="59"/>
      <x:c r="I188" s="59"/>
      <x:c r="J188" s="59"/>
      <x:c r="K188" s="59"/>
      <x:c r="L188" s="59"/>
      <x:c r="M188" s="59"/>
      <x:c r="N188" s="59"/>
      <x:c r="O188" s="59"/>
      <x:c r="P188" s="59"/>
      <x:c r="Q188" s="59"/>
      <x:c r="R188" s="59"/>
      <x:c r="S188" s="59"/>
      <x:c r="T188" s="59"/>
      <x:c r="U188" s="59"/>
      <x:c r="V188" s="59"/>
      <x:c r="W188" s="59"/>
      <x:c r="X188" s="59"/>
      <x:c r="Y188" s="59"/>
      <x:c r="Z188" s="59"/>
      <x:c r="AA188" s="59"/>
      <x:c r="AB188" s="59"/>
      <x:c r="AC188" s="59"/>
      <x:c r="AD188" s="59"/>
      <x:c r="AE188" s="59"/>
      <x:c r="AF188" s="59"/>
      <x:c r="AG188" s="59"/>
      <x:c r="AH188" s="59"/>
      <x:c r="AI188" s="59"/>
      <x:c r="AJ188" s="59"/>
      <x:c r="AK188" s="59"/>
      <x:c r="AL188" s="59"/>
      <x:c r="AM188" s="59"/>
      <x:c r="AN188" s="59"/>
    </x:row>
    <x:row r="189">
      <x:c r="A189" s="59"/>
      <x:c r="B189" s="59"/>
      <x:c r="C189" s="59"/>
      <x:c r="D189" s="59"/>
      <x:c r="E189" s="59"/>
      <x:c r="F189" s="59"/>
      <x:c r="G189" s="59"/>
      <x:c r="H189" s="59"/>
      <x:c r="I189" s="59"/>
      <x:c r="J189" s="59"/>
      <x:c r="K189" s="59"/>
      <x:c r="L189" s="59"/>
      <x:c r="M189" s="59"/>
      <x:c r="N189" s="59"/>
      <x:c r="O189" s="59"/>
      <x:c r="P189" s="59"/>
      <x:c r="Q189" s="59"/>
      <x:c r="R189" s="59"/>
      <x:c r="S189" s="59"/>
      <x:c r="T189" s="59"/>
      <x:c r="U189" s="59"/>
      <x:c r="V189" s="59"/>
      <x:c r="W189" s="59"/>
      <x:c r="X189" s="59"/>
      <x:c r="Y189" s="59"/>
      <x:c r="Z189" s="59"/>
      <x:c r="AA189" s="59"/>
      <x:c r="AB189" s="59"/>
      <x:c r="AC189" s="59"/>
      <x:c r="AD189" s="59"/>
      <x:c r="AE189" s="59"/>
      <x:c r="AF189" s="59"/>
      <x:c r="AG189" s="59"/>
      <x:c r="AH189" s="59"/>
      <x:c r="AI189" s="59"/>
      <x:c r="AJ189" s="59"/>
      <x:c r="AK189" s="59"/>
      <x:c r="AL189" s="59"/>
      <x:c r="AM189" s="59"/>
      <x:c r="AN189" s="59"/>
    </x:row>
    <x:row r="190">
      <x:c r="A190" s="59"/>
      <x:c r="B190" s="59"/>
      <x:c r="C190" s="59"/>
      <x:c r="D190" s="59"/>
      <x:c r="E190" s="59"/>
      <x:c r="F190" s="59"/>
      <x:c r="G190" s="59"/>
      <x:c r="H190" s="59"/>
      <x:c r="I190" s="59"/>
      <x:c r="J190" s="59"/>
      <x:c r="K190" s="59"/>
      <x:c r="L190" s="59"/>
      <x:c r="M190" s="59"/>
      <x:c r="N190" s="59"/>
      <x:c r="O190" s="59"/>
      <x:c r="P190" s="59"/>
      <x:c r="Q190" s="59"/>
      <x:c r="R190" s="59"/>
      <x:c r="S190" s="59"/>
      <x:c r="T190" s="59"/>
      <x:c r="U190" s="59"/>
      <x:c r="V190" s="59"/>
      <x:c r="W190" s="59"/>
      <x:c r="X190" s="59"/>
      <x:c r="Y190" s="59"/>
      <x:c r="Z190" s="59"/>
      <x:c r="AA190" s="59"/>
      <x:c r="AB190" s="59"/>
      <x:c r="AC190" s="59"/>
      <x:c r="AD190" s="59"/>
      <x:c r="AE190" s="59"/>
      <x:c r="AF190" s="59"/>
      <x:c r="AG190" s="59"/>
      <x:c r="AH190" s="59"/>
      <x:c r="AI190" s="59"/>
      <x:c r="AJ190" s="59"/>
      <x:c r="AK190" s="59"/>
      <x:c r="AL190" s="59"/>
      <x:c r="AM190" s="59"/>
      <x:c r="AN190" s="59"/>
    </x:row>
    <x:row r="191">
      <x:c r="A191" s="59"/>
      <x:c r="B191" s="59"/>
      <x:c r="C191" s="59"/>
      <x:c r="D191" s="59"/>
      <x:c r="E191" s="59"/>
      <x:c r="F191" s="59"/>
      <x:c r="G191" s="59"/>
      <x:c r="H191" s="59"/>
      <x:c r="I191" s="59"/>
      <x:c r="J191" s="59"/>
      <x:c r="K191" s="59"/>
      <x:c r="L191" s="59"/>
      <x:c r="M191" s="59"/>
      <x:c r="N191" s="59"/>
      <x:c r="O191" s="59"/>
      <x:c r="P191" s="59"/>
      <x:c r="Q191" s="59"/>
      <x:c r="R191" s="59"/>
      <x:c r="S191" s="59"/>
      <x:c r="T191" s="59"/>
      <x:c r="U191" s="59"/>
      <x:c r="V191" s="59"/>
      <x:c r="W191" s="59"/>
      <x:c r="X191" s="59"/>
      <x:c r="Y191" s="59"/>
      <x:c r="Z191" s="59"/>
      <x:c r="AA191" s="59"/>
      <x:c r="AB191" s="59"/>
      <x:c r="AC191" s="59"/>
      <x:c r="AD191" s="59"/>
      <x:c r="AE191" s="59"/>
      <x:c r="AF191" s="59"/>
      <x:c r="AG191" s="59"/>
      <x:c r="AH191" s="59"/>
      <x:c r="AI191" s="59"/>
      <x:c r="AJ191" s="59"/>
      <x:c r="AK191" s="59"/>
      <x:c r="AL191" s="59"/>
      <x:c r="AM191" s="59"/>
      <x:c r="AN191" s="59"/>
    </x:row>
    <x:row r="192">
      <x:c r="A192" s="59"/>
      <x:c r="B192" s="59"/>
      <x:c r="C192" s="59"/>
      <x:c r="D192" s="59"/>
      <x:c r="E192" s="59"/>
      <x:c r="F192" s="59"/>
      <x:c r="G192" s="59"/>
      <x:c r="H192" s="59"/>
      <x:c r="I192" s="59"/>
      <x:c r="J192" s="59"/>
      <x:c r="K192" s="59"/>
      <x:c r="L192" s="59"/>
      <x:c r="M192" s="59"/>
      <x:c r="N192" s="59"/>
      <x:c r="O192" s="59"/>
      <x:c r="P192" s="59"/>
      <x:c r="Q192" s="59"/>
      <x:c r="R192" s="59"/>
      <x:c r="S192" s="59"/>
      <x:c r="T192" s="59"/>
      <x:c r="U192" s="59"/>
      <x:c r="V192" s="59"/>
      <x:c r="W192" s="59"/>
      <x:c r="X192" s="59"/>
      <x:c r="Y192" s="59"/>
      <x:c r="Z192" s="59"/>
      <x:c r="AA192" s="59"/>
      <x:c r="AB192" s="59"/>
      <x:c r="AC192" s="59"/>
      <x:c r="AD192" s="59"/>
      <x:c r="AE192" s="59"/>
      <x:c r="AF192" s="59"/>
      <x:c r="AG192" s="59"/>
      <x:c r="AH192" s="59"/>
      <x:c r="AI192" s="59"/>
      <x:c r="AJ192" s="59"/>
      <x:c r="AK192" s="59"/>
      <x:c r="AL192" s="59"/>
      <x:c r="AM192" s="59"/>
      <x:c r="AN192" s="59"/>
    </x:row>
    <x:row r="193">
      <x:c r="A193" s="59"/>
      <x:c r="B193" s="59"/>
      <x:c r="C193" s="59"/>
      <x:c r="D193" s="59"/>
      <x:c r="E193" s="59"/>
      <x:c r="F193" s="59"/>
      <x:c r="G193" s="59"/>
      <x:c r="H193" s="59"/>
      <x:c r="I193" s="59"/>
      <x:c r="J193" s="59"/>
      <x:c r="K193" s="59"/>
      <x:c r="L193" s="59"/>
      <x:c r="M193" s="59"/>
      <x:c r="N193" s="59"/>
      <x:c r="O193" s="59"/>
      <x:c r="P193" s="59"/>
      <x:c r="Q193" s="59"/>
      <x:c r="R193" s="59"/>
      <x:c r="S193" s="59"/>
      <x:c r="T193" s="59"/>
      <x:c r="U193" s="59"/>
      <x:c r="V193" s="59"/>
      <x:c r="W193" s="59"/>
      <x:c r="X193" s="59"/>
      <x:c r="Y193" s="59"/>
      <x:c r="Z193" s="59"/>
      <x:c r="AA193" s="59"/>
      <x:c r="AB193" s="59"/>
      <x:c r="AC193" s="59"/>
      <x:c r="AD193" s="59"/>
      <x:c r="AE193" s="59"/>
      <x:c r="AF193" s="59"/>
      <x:c r="AG193" s="59"/>
      <x:c r="AH193" s="59"/>
      <x:c r="AI193" s="59"/>
      <x:c r="AJ193" s="59"/>
      <x:c r="AK193" s="59"/>
      <x:c r="AL193" s="59"/>
      <x:c r="AM193" s="59"/>
      <x:c r="AN193" s="59"/>
    </x:row>
    <x:row r="194">
      <x:c r="A194" s="59"/>
      <x:c r="B194" s="59"/>
      <x:c r="C194" s="59"/>
      <x:c r="D194" s="59"/>
      <x:c r="E194" s="59"/>
      <x:c r="F194" s="59"/>
      <x:c r="G194" s="59"/>
      <x:c r="H194" s="59"/>
      <x:c r="I194" s="59"/>
      <x:c r="J194" s="59"/>
      <x:c r="K194" s="59"/>
      <x:c r="L194" s="59"/>
      <x:c r="M194" s="59"/>
      <x:c r="N194" s="59"/>
      <x:c r="O194" s="59"/>
      <x:c r="P194" s="59"/>
      <x:c r="Q194" s="59"/>
      <x:c r="R194" s="59"/>
      <x:c r="S194" s="59"/>
      <x:c r="T194" s="59"/>
      <x:c r="U194" s="59"/>
      <x:c r="V194" s="59"/>
      <x:c r="W194" s="59"/>
      <x:c r="X194" s="59"/>
      <x:c r="Y194" s="59"/>
      <x:c r="Z194" s="59"/>
      <x:c r="AA194" s="59"/>
      <x:c r="AB194" s="59"/>
      <x:c r="AC194" s="59"/>
      <x:c r="AD194" s="59"/>
      <x:c r="AE194" s="59"/>
      <x:c r="AF194" s="59"/>
      <x:c r="AG194" s="59"/>
      <x:c r="AH194" s="59"/>
      <x:c r="AI194" s="59"/>
      <x:c r="AJ194" s="59"/>
      <x:c r="AK194" s="59"/>
      <x:c r="AL194" s="59"/>
      <x:c r="AM194" s="59"/>
      <x:c r="AN194" s="59"/>
    </x:row>
    <x:row r="195">
      <x:c r="A195" s="59"/>
      <x:c r="B195" s="59"/>
      <x:c r="C195" s="59"/>
      <x:c r="D195" s="59"/>
      <x:c r="E195" s="59"/>
      <x:c r="F195" s="59"/>
      <x:c r="G195" s="59"/>
      <x:c r="H195" s="59"/>
      <x:c r="I195" s="59"/>
      <x:c r="J195" s="59"/>
      <x:c r="K195" s="59"/>
      <x:c r="L195" s="59"/>
      <x:c r="M195" s="59"/>
      <x:c r="N195" s="59"/>
      <x:c r="O195" s="59"/>
      <x:c r="P195" s="59"/>
      <x:c r="Q195" s="59"/>
      <x:c r="R195" s="59"/>
      <x:c r="S195" s="59"/>
      <x:c r="T195" s="59"/>
      <x:c r="U195" s="59"/>
      <x:c r="V195" s="59"/>
      <x:c r="W195" s="59"/>
      <x:c r="X195" s="59"/>
      <x:c r="Y195" s="59"/>
      <x:c r="Z195" s="59"/>
      <x:c r="AA195" s="59"/>
      <x:c r="AB195" s="59"/>
      <x:c r="AC195" s="59"/>
      <x:c r="AD195" s="59"/>
      <x:c r="AE195" s="59"/>
      <x:c r="AF195" s="59"/>
      <x:c r="AG195" s="59"/>
      <x:c r="AH195" s="59"/>
      <x:c r="AI195" s="59"/>
      <x:c r="AJ195" s="59"/>
      <x:c r="AK195" s="59"/>
      <x:c r="AL195" s="59"/>
      <x:c r="AM195" s="59"/>
      <x:c r="AN195" s="59"/>
    </x:row>
    <x:row r="196">
      <x:c r="A196" s="59"/>
      <x:c r="B196" s="59"/>
      <x:c r="C196" s="59"/>
      <x:c r="D196" s="59"/>
      <x:c r="E196" s="59"/>
      <x:c r="F196" s="59"/>
      <x:c r="G196" s="59"/>
      <x:c r="H196" s="59"/>
      <x:c r="I196" s="59"/>
      <x:c r="J196" s="59"/>
      <x:c r="K196" s="59"/>
      <x:c r="L196" s="59"/>
      <x:c r="M196" s="59"/>
      <x:c r="N196" s="59"/>
      <x:c r="O196" s="59"/>
      <x:c r="P196" s="59"/>
      <x:c r="Q196" s="59"/>
      <x:c r="R196" s="59"/>
      <x:c r="S196" s="59"/>
      <x:c r="T196" s="59"/>
      <x:c r="U196" s="59"/>
      <x:c r="V196" s="59"/>
      <x:c r="W196" s="59"/>
      <x:c r="X196" s="59"/>
      <x:c r="Y196" s="59"/>
      <x:c r="Z196" s="59"/>
      <x:c r="AA196" s="59"/>
      <x:c r="AB196" s="59"/>
      <x:c r="AC196" s="59"/>
      <x:c r="AD196" s="59"/>
      <x:c r="AE196" s="59"/>
      <x:c r="AF196" s="59"/>
      <x:c r="AG196" s="59"/>
      <x:c r="AH196" s="59"/>
      <x:c r="AI196" s="59"/>
      <x:c r="AJ196" s="59"/>
      <x:c r="AK196" s="59"/>
      <x:c r="AL196" s="59"/>
      <x:c r="AM196" s="59"/>
      <x:c r="AN196" s="59"/>
    </x:row>
    <x:row r="197">
      <x:c r="A197" s="59"/>
      <x:c r="B197" s="59"/>
      <x:c r="C197" s="59"/>
      <x:c r="D197" s="59"/>
      <x:c r="E197" s="59"/>
      <x:c r="F197" s="59"/>
      <x:c r="G197" s="59"/>
      <x:c r="H197" s="59"/>
      <x:c r="I197" s="59"/>
      <x:c r="J197" s="59"/>
      <x:c r="K197" s="59"/>
      <x:c r="L197" s="59"/>
      <x:c r="M197" s="59"/>
      <x:c r="N197" s="59"/>
      <x:c r="O197" s="59"/>
      <x:c r="P197" s="59"/>
      <x:c r="Q197" s="59"/>
      <x:c r="R197" s="59"/>
      <x:c r="S197" s="59"/>
      <x:c r="T197" s="59"/>
      <x:c r="U197" s="59"/>
      <x:c r="V197" s="59"/>
      <x:c r="W197" s="59"/>
      <x:c r="X197" s="59"/>
      <x:c r="Y197" s="59"/>
      <x:c r="Z197" s="59"/>
      <x:c r="AA197" s="59"/>
      <x:c r="AB197" s="59"/>
      <x:c r="AC197" s="59"/>
      <x:c r="AD197" s="59"/>
      <x:c r="AE197" s="59"/>
      <x:c r="AF197" s="59"/>
      <x:c r="AG197" s="59"/>
      <x:c r="AH197" s="59"/>
      <x:c r="AI197" s="59"/>
      <x:c r="AJ197" s="59"/>
      <x:c r="AK197" s="59"/>
      <x:c r="AL197" s="59"/>
      <x:c r="AM197" s="59"/>
      <x:c r="AN197" s="59"/>
    </x:row>
    <x:row r="198">
      <x:c r="A198" s="59"/>
      <x:c r="B198" s="59"/>
      <x:c r="C198" s="59"/>
      <x:c r="D198" s="59"/>
      <x:c r="E198" s="59"/>
      <x:c r="F198" s="59"/>
      <x:c r="G198" s="59"/>
      <x:c r="H198" s="59"/>
      <x:c r="I198" s="59"/>
      <x:c r="J198" s="59"/>
      <x:c r="K198" s="59"/>
      <x:c r="L198" s="59"/>
      <x:c r="M198" s="59"/>
      <x:c r="N198" s="59"/>
      <x:c r="O198" s="59"/>
      <x:c r="P198" s="59"/>
      <x:c r="Q198" s="59"/>
      <x:c r="R198" s="59"/>
      <x:c r="S198" s="59"/>
      <x:c r="T198" s="59"/>
      <x:c r="U198" s="59"/>
      <x:c r="V198" s="59"/>
      <x:c r="W198" s="59"/>
      <x:c r="X198" s="59"/>
      <x:c r="Y198" s="59"/>
      <x:c r="Z198" s="59"/>
      <x:c r="AA198" s="59"/>
      <x:c r="AB198" s="59"/>
      <x:c r="AC198" s="59"/>
      <x:c r="AD198" s="59"/>
      <x:c r="AE198" s="59"/>
      <x:c r="AF198" s="59"/>
      <x:c r="AG198" s="59"/>
      <x:c r="AH198" s="59"/>
      <x:c r="AI198" s="59"/>
      <x:c r="AJ198" s="59"/>
      <x:c r="AK198" s="59"/>
      <x:c r="AL198" s="59"/>
      <x:c r="AM198" s="59"/>
      <x:c r="AN198" s="59"/>
    </x:row>
    <x:row r="199">
      <x:c r="A199" s="59"/>
      <x:c r="B199" s="59"/>
      <x:c r="C199" s="59"/>
      <x:c r="D199" s="59"/>
      <x:c r="E199" s="59"/>
      <x:c r="F199" s="59"/>
      <x:c r="G199" s="59"/>
      <x:c r="H199" s="59"/>
      <x:c r="I199" s="59"/>
      <x:c r="J199" s="59"/>
      <x:c r="K199" s="59"/>
      <x:c r="L199" s="59"/>
      <x:c r="M199" s="59"/>
      <x:c r="N199" s="59"/>
      <x:c r="O199" s="59"/>
      <x:c r="P199" s="59"/>
      <x:c r="Q199" s="59"/>
      <x:c r="R199" s="59"/>
      <x:c r="S199" s="59"/>
      <x:c r="T199" s="59"/>
      <x:c r="U199" s="59"/>
      <x:c r="V199" s="59"/>
      <x:c r="W199" s="59"/>
      <x:c r="X199" s="59"/>
      <x:c r="Y199" s="59"/>
      <x:c r="Z199" s="59"/>
      <x:c r="AA199" s="59"/>
      <x:c r="AB199" s="59"/>
      <x:c r="AC199" s="59"/>
      <x:c r="AD199" s="59"/>
      <x:c r="AE199" s="59"/>
      <x:c r="AF199" s="59"/>
      <x:c r="AG199" s="59"/>
      <x:c r="AH199" s="59"/>
      <x:c r="AI199" s="59"/>
      <x:c r="AJ199" s="59"/>
      <x:c r="AK199" s="59"/>
      <x:c r="AL199" s="59"/>
      <x:c r="AM199" s="59"/>
      <x:c r="AN199" s="59"/>
    </x:row>
    <x:row r="200">
      <x:c r="A200" s="59"/>
      <x:c r="B200" s="59"/>
      <x:c r="C200" s="59"/>
      <x:c r="D200" s="59"/>
      <x:c r="E200" s="59"/>
      <x:c r="F200" s="59"/>
      <x:c r="G200" s="59"/>
      <x:c r="H200" s="59"/>
      <x:c r="I200" s="59"/>
      <x:c r="J200" s="59"/>
      <x:c r="K200" s="59"/>
      <x:c r="L200" s="59"/>
      <x:c r="M200" s="59"/>
      <x:c r="N200" s="59"/>
      <x:c r="O200" s="59"/>
      <x:c r="P200" s="59"/>
      <x:c r="Q200" s="59"/>
      <x:c r="R200" s="59"/>
      <x:c r="S200" s="59"/>
      <x:c r="T200" s="59"/>
      <x:c r="U200" s="59"/>
      <x:c r="V200" s="59"/>
      <x:c r="W200" s="59"/>
      <x:c r="X200" s="59"/>
      <x:c r="Y200" s="59"/>
      <x:c r="Z200" s="59"/>
      <x:c r="AA200" s="59"/>
      <x:c r="AB200" s="59"/>
      <x:c r="AC200" s="59"/>
      <x:c r="AD200" s="59"/>
      <x:c r="AE200" s="59"/>
      <x:c r="AF200" s="59"/>
      <x:c r="AG200" s="59"/>
      <x:c r="AH200" s="59"/>
      <x:c r="AI200" s="59"/>
      <x:c r="AJ200" s="59"/>
      <x:c r="AK200" s="59"/>
      <x:c r="AL200" s="59"/>
      <x:c r="AM200" s="59"/>
      <x:c r="AN200" s="59"/>
    </x:row>
  </x:sheetData>
  <x:pageMargins left="0.7" right="0.7" top="0.75" bottom="0.75" header="0.3" footer="0.3"/>
  <x:tableParts count="1">
    <x:tablePart xmlns:r="http://schemas.openxmlformats.org/officeDocument/2006/relationships" r:id="R6951665db8f743e1"/>
  </x:tableParts>
</x:worksheet>
</file>

<file path=xl/worksheets/sheet6.xml><?xml version="1.0" encoding="utf-8"?>
<x:worksheet xmlns:x="http://schemas.openxmlformats.org/spreadsheetml/2006/main">
  <x:sheetFormatPr defaultRowHeight="15"/>
  <x:cols>
    <x:col min="1" max="1" width="18" hidden="0" customWidth="1"/>
    <x:col min="2" max="2" width="14" hidden="0" customWidth="1"/>
    <x:col min="3" max="3" width="95" hidden="0" customWidth="1"/>
    <x:col min="4" max="4" width="35" hidden="0" customWidth="1"/>
  </x:cols>
  <x:sheetData>
    <x:row r="1">
      <x:c r="A1" s="56" t="str">
        <x:v>NIST AI RMF ID</x:v>
      </x:c>
      <x:c r="B1" s="56" t="str">
        <x:v>Function</x:v>
      </x:c>
      <x:c r="C1" s="56" t="str">
        <x:v>Control Language / Playbook Actions</x:v>
      </x:c>
      <x:c r="D1" s="56" t="str">
        <x:v>Source</x:v>
      </x:c>
      <x:c r="E1" s="59"/>
      <x:c r="F1" s="59"/>
      <x:c r="G1" s="59"/>
      <x:c r="H1" s="59"/>
      <x:c r="I1" s="59"/>
      <x:c r="J1" s="59"/>
      <x:c r="K1" s="59"/>
      <x:c r="L1" s="59"/>
      <x:c r="M1" s="59"/>
      <x:c r="N1" s="59"/>
      <x:c r="O1" s="59"/>
      <x:c r="P1" s="59"/>
      <x:c r="Q1" s="59"/>
      <x:c r="R1" s="59"/>
      <x:c r="S1" s="59"/>
      <x:c r="T1" s="59"/>
      <x:c r="U1" s="59"/>
      <x:c r="V1" s="59"/>
      <x:c r="W1" s="59"/>
      <x:c r="X1" s="59"/>
      <x:c r="Y1" s="59"/>
      <x:c r="Z1" s="59"/>
      <x:c r="AA1" s="59"/>
      <x:c r="AB1" s="59"/>
      <x:c r="AC1" s="59"/>
      <x:c r="AD1" s="59"/>
      <x:c r="AE1" s="59"/>
      <x:c r="AF1" s="59"/>
      <x:c r="AG1" s="59"/>
      <x:c r="AH1" s="59"/>
      <x:c r="AI1" s="59"/>
      <x:c r="AJ1" s="59"/>
      <x:c r="AK1" s="59"/>
      <x:c r="AL1" s="59"/>
      <x:c r="AM1" s="59"/>
      <x:c r="AN1" s="59"/>
    </x:row>
    <x:row r="2">
      <x:c r="A2" s="21" t="str">
        <x:v>GOVERN 1.1</x:v>
      </x:c>
      <x:c r="B2" s="21" t="str">
        <x:v>GOVERN</x:v>
      </x:c>
      <x:c r="C2" s="21" t="str">
        <x:v>GOVERN 1.1: * Maintain awareness of the applicable legal and regulatory considerations and requirements specific to industry, sector, and business purpose, as well as the application context of the deployed AI system. * Align risk management efforts with applicable legal standards. * Maintain policies for training (and re-training) organizational staff about necessary legal or regulatory considerations that may impact AI-related design, development and deployment activities.</x:v>
      </x:c>
      <x:c r="D2" s="21" t="str">
        <x:v>Uploaded NIST AI RMF Playbook spreadsheet</x:v>
      </x:c>
      <x:c r="E2" s="59"/>
      <x:c r="F2" s="59"/>
      <x:c r="G2" s="59"/>
      <x:c r="H2" s="59"/>
      <x:c r="I2" s="59"/>
      <x:c r="J2" s="59"/>
      <x:c r="K2" s="59"/>
      <x:c r="L2" s="59"/>
      <x:c r="M2" s="59"/>
      <x:c r="N2" s="59"/>
      <x:c r="O2" s="59"/>
      <x:c r="P2" s="59"/>
      <x:c r="Q2" s="59"/>
      <x:c r="R2" s="59"/>
      <x:c r="S2" s="59"/>
      <x:c r="T2" s="59"/>
      <x:c r="U2" s="59"/>
      <x:c r="V2" s="59"/>
      <x:c r="W2" s="59"/>
      <x:c r="X2" s="59"/>
      <x:c r="Y2" s="59"/>
      <x:c r="Z2" s="59"/>
      <x:c r="AA2" s="59"/>
      <x:c r="AB2" s="59"/>
      <x:c r="AC2" s="59"/>
      <x:c r="AD2" s="59"/>
      <x:c r="AE2" s="59"/>
      <x:c r="AF2" s="59"/>
      <x:c r="AG2" s="59"/>
      <x:c r="AH2" s="59"/>
      <x:c r="AI2" s="59"/>
      <x:c r="AJ2" s="59"/>
      <x:c r="AK2" s="59"/>
      <x:c r="AL2" s="59"/>
      <x:c r="AM2" s="59"/>
      <x:c r="AN2" s="59"/>
    </x:row>
    <x:row r="3">
      <x:c r="A3" s="21" t="str">
        <x:v>GOVERN 1.2</x:v>
      </x:c>
      <x:c r="B3" s="21" t="str">
        <x:v>GOVERN</x:v>
      </x:c>
      <x:c r="C3" s="21" t="str">
        <x:v>GOVERN 1.2: Organizational AI risk management policies should be designed to: - Define key terms and concepts related to AI systems and the scope of their purposes and intended uses. - Connect AI governance to existing organizational governance and risk controls. - Align to broader data governance policies and practices, particularly the use of sensitive or otherwise risky data. - Detail standards for experimental design, data quality, and model training. - Outline and document risk mapping and measurement processes and standards. - Detail model testing and validation processes. - Detail review processes for legal and risk functions. - Establish the frequency of and detail for monitoring, auditing and review processes. - Outline change management requirements. - Outline processes for internal and external stakeholder engagement.…</x:v>
      </x:c>
      <x:c r="D3" s="21" t="str">
        <x:v>Uploaded NIST AI RMF Playbook spreadsheet</x:v>
      </x:c>
      <x:c r="E3" s="59"/>
      <x:c r="F3" s="59"/>
      <x:c r="G3" s="59"/>
      <x:c r="H3" s="59"/>
      <x:c r="I3" s="59"/>
      <x:c r="J3" s="59"/>
      <x:c r="K3" s="59"/>
      <x:c r="L3" s="59"/>
      <x:c r="M3" s="59"/>
      <x:c r="N3" s="59"/>
      <x:c r="O3" s="59"/>
      <x:c r="P3" s="59"/>
      <x:c r="Q3" s="59"/>
      <x:c r="R3" s="59"/>
      <x:c r="S3" s="59"/>
      <x:c r="T3" s="59"/>
      <x:c r="U3" s="59"/>
      <x:c r="V3" s="59"/>
      <x:c r="W3" s="59"/>
      <x:c r="X3" s="59"/>
      <x:c r="Y3" s="59"/>
      <x:c r="Z3" s="59"/>
      <x:c r="AA3" s="59"/>
      <x:c r="AB3" s="59"/>
      <x:c r="AC3" s="59"/>
      <x:c r="AD3" s="59"/>
      <x:c r="AE3" s="59"/>
      <x:c r="AF3" s="59"/>
      <x:c r="AG3" s="59"/>
      <x:c r="AH3" s="59"/>
      <x:c r="AI3" s="59"/>
      <x:c r="AJ3" s="59"/>
      <x:c r="AK3" s="59"/>
      <x:c r="AL3" s="59"/>
      <x:c r="AM3" s="59"/>
      <x:c r="AN3" s="59"/>
    </x:row>
    <x:row r="4">
      <x:c r="A4" s="21" t="str">
        <x:v>GOVERN 1.3</x:v>
      </x:c>
      <x:c r="B4" s="21" t="str">
        <x:v>GOVERN</x:v>
      </x:c>
      <x:c r="C4" s="21" t="str">
        <x:v>GOVERN 1.3: - Establish policies to define mechanisms for measuring or understanding an AI system’s potential impacts, e.g., via regular impact assessments at key stages in the AI lifecycle, connected to system impacts and frequency of system updates. - Establish policies to define mechanisms for measuring or understanding the likelihood of an AI system’s impacts and their magnitude at key stages in the AI lifecycle. - Establish policies that define assessment scales for measuring potential AI system impact. Scales may be qualitative, such as red-amber-green (RAG), or may entail simulations or econometric approaches. - Establish policies for assigning an overall risk measurement approach for an AI system, or its important components, e.g., via multiplication or combination of a mapped risk’s impact and likelihood (risk ≈ impact x likelihood).…</x:v>
      </x:c>
      <x:c r="D4" s="21" t="str">
        <x:v>Uploaded NIST AI RMF Playbook spreadsheet</x:v>
      </x:c>
      <x:c r="E4" s="59"/>
      <x:c r="F4" s="59"/>
      <x:c r="G4" s="59"/>
      <x:c r="H4" s="59"/>
      <x:c r="I4" s="59"/>
      <x:c r="J4" s="59"/>
      <x:c r="K4" s="59"/>
      <x:c r="L4" s="59"/>
      <x:c r="M4" s="59"/>
      <x:c r="N4" s="59"/>
      <x:c r="O4" s="59"/>
      <x:c r="P4" s="59"/>
      <x:c r="Q4" s="59"/>
      <x:c r="R4" s="59"/>
      <x:c r="S4" s="59"/>
      <x:c r="T4" s="59"/>
      <x:c r="U4" s="59"/>
      <x:c r="V4" s="59"/>
      <x:c r="W4" s="59"/>
      <x:c r="X4" s="59"/>
      <x:c r="Y4" s="59"/>
      <x:c r="Z4" s="59"/>
      <x:c r="AA4" s="59"/>
      <x:c r="AB4" s="59"/>
      <x:c r="AC4" s="59"/>
      <x:c r="AD4" s="59"/>
      <x:c r="AE4" s="59"/>
      <x:c r="AF4" s="59"/>
      <x:c r="AG4" s="59"/>
      <x:c r="AH4" s="59"/>
      <x:c r="AI4" s="59"/>
      <x:c r="AJ4" s="59"/>
      <x:c r="AK4" s="59"/>
      <x:c r="AL4" s="59"/>
      <x:c r="AM4" s="59"/>
      <x:c r="AN4" s="59"/>
    </x:row>
    <x:row r="5">
      <x:c r="A5" s="21" t="str">
        <x:v>GOVERN 1.4</x:v>
      </x:c>
      <x:c r="B5" s="21" t="str">
        <x:v>GOVERN</x:v>
      </x:c>
      <x:c r="C5" s="21" t="str">
        <x:v>GOVERN 1.4: - Establish and regularly review documentation policies that, among others, address information related to: - AI actors contact informations - Business justification - Scope and usages - Expected and potential risks and impacts - Assumptions and limitations - Description and characterization of training data - Algorithmic methodology - Evaluated alternative approaches - Description of output data - Testing and validation results (including explanatory visualizations and information) - Down- and up-stream dependencies - Plans for deployment, monitoring, and change management - Stakeholder engagement plans - Verify documentation policies for AI systems are standardized across the organization and remain current. - Establish policies for a model documentation inventory system and regularly review its completeness, usability, and efficacy.…</x:v>
      </x:c>
      <x:c r="D5" s="21" t="str">
        <x:v>Uploaded NIST AI RMF Playbook spreadsheet</x:v>
      </x:c>
      <x:c r="E5" s="59"/>
      <x:c r="F5" s="59"/>
      <x:c r="G5" s="59"/>
      <x:c r="H5" s="59"/>
      <x:c r="I5" s="59"/>
      <x:c r="J5" s="59"/>
      <x:c r="K5" s="59"/>
      <x:c r="L5" s="59"/>
      <x:c r="M5" s="59"/>
      <x:c r="N5" s="59"/>
      <x:c r="O5" s="59"/>
      <x:c r="P5" s="59"/>
      <x:c r="Q5" s="59"/>
      <x:c r="R5" s="59"/>
      <x:c r="S5" s="59"/>
      <x:c r="T5" s="59"/>
      <x:c r="U5" s="59"/>
      <x:c r="V5" s="59"/>
      <x:c r="W5" s="59"/>
      <x:c r="X5" s="59"/>
      <x:c r="Y5" s="59"/>
      <x:c r="Z5" s="59"/>
      <x:c r="AA5" s="59"/>
      <x:c r="AB5" s="59"/>
      <x:c r="AC5" s="59"/>
      <x:c r="AD5" s="59"/>
      <x:c r="AE5" s="59"/>
      <x:c r="AF5" s="59"/>
      <x:c r="AG5" s="59"/>
      <x:c r="AH5" s="59"/>
      <x:c r="AI5" s="59"/>
      <x:c r="AJ5" s="59"/>
      <x:c r="AK5" s="59"/>
      <x:c r="AL5" s="59"/>
      <x:c r="AM5" s="59"/>
      <x:c r="AN5" s="59"/>
    </x:row>
    <x:row r="6">
      <x:c r="A6" s="21" t="str">
        <x:v>GOVERN 1.5</x:v>
      </x:c>
      <x:c r="B6" s="21" t="str">
        <x:v>GOVERN</x:v>
      </x:c>
      <x:c r="C6" s="21" t="str">
        <x:v>GOVERN 1.5: - Establish policies to allocate appropriate resources and capacity for assessing impacts of AI systems on individuals, communities and society. - Establish policies and procedures for monitoring and addressing AI system performance and trustworthiness, including bias and security problems, across the lifecycle of the system. - Establish policies for AI system incident response, or confirm that existing incident response policies apply to AI systems. - Establish policies to define organizational functions and personnel responsible for AI system monitoring and incident response activities. - Establish mechanisms to enable the sharing of feedback from impacted individuals or communities about negative impacts from AI systems. - Establish mechanisms to provide recourse for impacted individuals or communities to contest problematic AI system outcomes. - Establish opt-out mechanisms.</x:v>
      </x:c>
      <x:c r="D6" s="21" t="str">
        <x:v>Uploaded NIST AI RMF Playbook spreadsheet</x:v>
      </x:c>
      <x:c r="E6" s="59"/>
      <x:c r="F6" s="59"/>
      <x:c r="G6" s="59"/>
      <x:c r="H6" s="59"/>
      <x:c r="I6" s="59"/>
      <x:c r="J6" s="59"/>
      <x:c r="K6" s="59"/>
      <x:c r="L6" s="59"/>
      <x:c r="M6" s="59"/>
      <x:c r="N6" s="59"/>
      <x:c r="O6" s="59"/>
      <x:c r="P6" s="59"/>
      <x:c r="Q6" s="59"/>
      <x:c r="R6" s="59"/>
      <x:c r="S6" s="59"/>
      <x:c r="T6" s="59"/>
      <x:c r="U6" s="59"/>
      <x:c r="V6" s="59"/>
      <x:c r="W6" s="59"/>
      <x:c r="X6" s="59"/>
      <x:c r="Y6" s="59"/>
      <x:c r="Z6" s="59"/>
      <x:c r="AA6" s="59"/>
      <x:c r="AB6" s="59"/>
      <x:c r="AC6" s="59"/>
      <x:c r="AD6" s="59"/>
      <x:c r="AE6" s="59"/>
      <x:c r="AF6" s="59"/>
      <x:c r="AG6" s="59"/>
      <x:c r="AH6" s="59"/>
      <x:c r="AI6" s="59"/>
      <x:c r="AJ6" s="59"/>
      <x:c r="AK6" s="59"/>
      <x:c r="AL6" s="59"/>
      <x:c r="AM6" s="59"/>
      <x:c r="AN6" s="59"/>
    </x:row>
    <x:row r="7">
      <x:c r="A7" s="21" t="str">
        <x:v>GOVERN 1.6</x:v>
      </x:c>
      <x:c r="B7" s="21" t="str">
        <x:v>GOVERN</x:v>
      </x:c>
      <x:c r="C7" s="21" t="str">
        <x:v>GOVERN 1.6: - Establish policies that define the creation and maintenance of AI system inventories. - Establish policies that define a specific individual or team that is responsible for maintaining the inventory. - Establish policies that define which models or systems are inventoried, with preference to inventorying all models or systems, or minimally, to high risk models or systems, or systems deployed in high-stakes settings. - Establish policies that define model or system attributes to be inventoried, e.g, documentation, links to source code, incident response plans, data dictionaries, AI actor contact information.</x:v>
      </x:c>
      <x:c r="D7" s="21" t="str">
        <x:v>Uploaded NIST AI RMF Playbook spreadsheet</x:v>
      </x:c>
      <x:c r="E7" s="59"/>
      <x:c r="F7" s="59"/>
      <x:c r="G7" s="59"/>
      <x:c r="H7" s="59"/>
      <x:c r="I7" s="59"/>
      <x:c r="J7" s="59"/>
      <x:c r="K7" s="59"/>
      <x:c r="L7" s="59"/>
      <x:c r="M7" s="59"/>
      <x:c r="N7" s="59"/>
      <x:c r="O7" s="59"/>
      <x:c r="P7" s="59"/>
      <x:c r="Q7" s="59"/>
      <x:c r="R7" s="59"/>
      <x:c r="S7" s="59"/>
      <x:c r="T7" s="59"/>
      <x:c r="U7" s="59"/>
      <x:c r="V7" s="59"/>
      <x:c r="W7" s="59"/>
      <x:c r="X7" s="59"/>
      <x:c r="Y7" s="59"/>
      <x:c r="Z7" s="59"/>
      <x:c r="AA7" s="59"/>
      <x:c r="AB7" s="59"/>
      <x:c r="AC7" s="59"/>
      <x:c r="AD7" s="59"/>
      <x:c r="AE7" s="59"/>
      <x:c r="AF7" s="59"/>
      <x:c r="AG7" s="59"/>
      <x:c r="AH7" s="59"/>
      <x:c r="AI7" s="59"/>
      <x:c r="AJ7" s="59"/>
      <x:c r="AK7" s="59"/>
      <x:c r="AL7" s="59"/>
      <x:c r="AM7" s="59"/>
      <x:c r="AN7" s="59"/>
    </x:row>
    <x:row r="8">
      <x:c r="A8" s="21" t="str">
        <x:v>GOVERN 1.7</x:v>
      </x:c>
      <x:c r="B8" s="21" t="str">
        <x:v>GOVERN</x:v>
      </x:c>
      <x:c r="C8" s="21" t="str">
        <x:v>GOVERN 1.7: - Establish policies for decommissioning AI systems. Such policies typically address: - User and community concerns, and reputational risks. - Business continuity and financial risks. - Up and downstream system dependencies. - Regulatory requirements (e.g., data retention). - Potential future legal, regulatory, security or forensic investigations. - Migration to the replacement system, if appropriate. - Establish policies that delineate where and for how long decommissioned systems, models and related artifacts are stored. - Establish practices to track accountability and consider how decommission and other adaptations or changes in system deployment contribute to downstream impacts for individuals, groups and communities.…</x:v>
      </x:c>
      <x:c r="D8" s="21" t="str">
        <x:v>Uploaded NIST AI RMF Playbook spreadsheet</x:v>
      </x:c>
      <x:c r="E8" s="59"/>
      <x:c r="F8" s="59"/>
      <x:c r="G8" s="59"/>
      <x:c r="H8" s="59"/>
      <x:c r="I8" s="59"/>
      <x:c r="J8" s="59"/>
      <x:c r="K8" s="59"/>
      <x:c r="L8" s="59"/>
      <x:c r="M8" s="59"/>
      <x:c r="N8" s="59"/>
      <x:c r="O8" s="59"/>
      <x:c r="P8" s="59"/>
      <x:c r="Q8" s="59"/>
      <x:c r="R8" s="59"/>
      <x:c r="S8" s="59"/>
      <x:c r="T8" s="59"/>
      <x:c r="U8" s="59"/>
      <x:c r="V8" s="59"/>
      <x:c r="W8" s="59"/>
      <x:c r="X8" s="59"/>
      <x:c r="Y8" s="59"/>
      <x:c r="Z8" s="59"/>
      <x:c r="AA8" s="59"/>
      <x:c r="AB8" s="59"/>
      <x:c r="AC8" s="59"/>
      <x:c r="AD8" s="59"/>
      <x:c r="AE8" s="59"/>
      <x:c r="AF8" s="59"/>
      <x:c r="AG8" s="59"/>
      <x:c r="AH8" s="59"/>
      <x:c r="AI8" s="59"/>
      <x:c r="AJ8" s="59"/>
      <x:c r="AK8" s="59"/>
      <x:c r="AL8" s="59"/>
      <x:c r="AM8" s="59"/>
      <x:c r="AN8" s="59"/>
    </x:row>
    <x:row r="9">
      <x:c r="A9" s="21" t="str">
        <x:v>GOVERN 2.1</x:v>
      </x:c>
      <x:c r="B9" s="21" t="str">
        <x:v>GOVERN</x:v>
      </x:c>
      <x:c r="C9" s="21" t="str">
        <x:v>GOVERN 2.1: - Establish policies that define the AI risk management roles and responsibilities for positions directly and indirectly related to AI systems, including, but not limited to - Boards of directors or advisory committees - Senior management - AI audit functions - Product management - Project management - AI design - AI development - Human-AI interaction - AI testing and evaluation - AI acquisition and procurement - Impact assessment functions - Oversight functions - Establish policies that promote regular communication among AI actors participating in AI risk management efforts. - Establish policies that separate management of AI system development functions from AI system testing functions, to enable independent course-correction of AI systems. - Establish policies to identify, increase the transparency of, and prevent conflicts of interest in AI risk management efforts.…</x:v>
      </x:c>
      <x:c r="D9" s="21" t="str">
        <x:v>Uploaded NIST AI RMF Playbook spreadsheet</x:v>
      </x:c>
      <x:c r="E9" s="59"/>
      <x:c r="F9" s="59"/>
      <x:c r="G9" s="59"/>
      <x:c r="H9" s="59"/>
      <x:c r="I9" s="59"/>
      <x:c r="J9" s="59"/>
      <x:c r="K9" s="59"/>
      <x:c r="L9" s="59"/>
      <x:c r="M9" s="59"/>
      <x:c r="N9" s="59"/>
      <x:c r="O9" s="59"/>
      <x:c r="P9" s="59"/>
      <x:c r="Q9" s="59"/>
      <x:c r="R9" s="59"/>
      <x:c r="S9" s="59"/>
      <x:c r="T9" s="59"/>
      <x:c r="U9" s="59"/>
      <x:c r="V9" s="59"/>
      <x:c r="W9" s="59"/>
      <x:c r="X9" s="59"/>
      <x:c r="Y9" s="59"/>
      <x:c r="Z9" s="59"/>
      <x:c r="AA9" s="59"/>
      <x:c r="AB9" s="59"/>
      <x:c r="AC9" s="59"/>
      <x:c r="AD9" s="59"/>
      <x:c r="AE9" s="59"/>
      <x:c r="AF9" s="59"/>
      <x:c r="AG9" s="59"/>
      <x:c r="AH9" s="59"/>
      <x:c r="AI9" s="59"/>
      <x:c r="AJ9" s="59"/>
      <x:c r="AK9" s="59"/>
      <x:c r="AL9" s="59"/>
      <x:c r="AM9" s="59"/>
      <x:c r="AN9" s="59"/>
    </x:row>
    <x:row r="10">
      <x:c r="A10" s="21" t="str">
        <x:v>GOVERN 2.2</x:v>
      </x:c>
      <x:c r="B10" s="21" t="str">
        <x:v>GOVERN</x:v>
      </x:c>
      <x:c r="C10" s="21" t="str">
        <x:v>GOVERN 2.2: - Establish policies for personnel addressing ongoing education about: - Applicable laws and regulations for AI systems. - Potential negative impacts that may arise from AI systems. - Organizational AI policies. - Trustworthy AI characteristics. - Ensure that trainings are suitable across AI actor sub-groups - for AI actors carrying out technical tasks (e.g., developers, operators, etc.) as compared to AI actors in oversight roles (e.g., legal, compliance, audit, etc.). - Ensure that trainings comprehensively address technical and socio-technical aspects of AI risk management. - Verify that organizational AI policies include mechanisms for internal AI personnel to acknowledge and commit to their roles and responsibilities. - Verify that organizational policies address change management and include mechanisms to communicate and acknowledge substantial AI system changes.…</x:v>
      </x:c>
      <x:c r="D10" s="21" t="str">
        <x:v>Uploaded NIST AI RMF Playbook spreadsheet</x:v>
      </x:c>
      <x:c r="E10" s="59"/>
      <x:c r="F10" s="59"/>
      <x:c r="G10" s="59"/>
      <x:c r="H10" s="59"/>
      <x:c r="I10" s="59"/>
      <x:c r="J10" s="59"/>
      <x:c r="K10" s="59"/>
      <x:c r="L10" s="59"/>
      <x:c r="M10" s="59"/>
      <x:c r="N10" s="59"/>
      <x:c r="O10" s="59"/>
      <x:c r="P10" s="59"/>
      <x:c r="Q10" s="59"/>
      <x:c r="R10" s="59"/>
      <x:c r="S10" s="59"/>
      <x:c r="T10" s="59"/>
      <x:c r="U10" s="59"/>
      <x:c r="V10" s="59"/>
      <x:c r="W10" s="59"/>
      <x:c r="X10" s="59"/>
      <x:c r="Y10" s="59"/>
      <x:c r="Z10" s="59"/>
      <x:c r="AA10" s="59"/>
      <x:c r="AB10" s="59"/>
      <x:c r="AC10" s="59"/>
      <x:c r="AD10" s="59"/>
      <x:c r="AE10" s="59"/>
      <x:c r="AF10" s="59"/>
      <x:c r="AG10" s="59"/>
      <x:c r="AH10" s="59"/>
      <x:c r="AI10" s="59"/>
      <x:c r="AJ10" s="59"/>
      <x:c r="AK10" s="59"/>
      <x:c r="AL10" s="59"/>
      <x:c r="AM10" s="59"/>
      <x:c r="AN10" s="59"/>
    </x:row>
    <x:row r="11">
      <x:c r="A11" s="21" t="str">
        <x:v>GOVERN 2.3</x:v>
      </x:c>
      <x:c r="B11" s="21" t="str">
        <x:v>GOVERN</x:v>
      </x:c>
      <x:c r="C11" s="21" t="str">
        <x:v>GOVERN 2.3: - Organizational management can: - Declare risk tolerances for developing or using AI systems. - Support AI risk management efforts, and play an active role in such efforts. - Integrate a risk and harm prevention mindset throughout the AI lifecycle as part of organizational culture - Support competent risk management executives. - Delegate the power, resources, and authorization to perform risk management to each appropriate level throughout the management chain. - Organizations can establish board committees for AI risk management and oversight functions and integrate those functions within the organization’s broader enterprise risk management approaches.</x:v>
      </x:c>
      <x:c r="D11" s="21" t="str">
        <x:v>Uploaded NIST AI RMF Playbook spreadsheet</x:v>
      </x:c>
      <x:c r="E11" s="59"/>
      <x:c r="F11" s="59"/>
      <x:c r="G11" s="59"/>
      <x:c r="H11" s="59"/>
      <x:c r="I11" s="59"/>
      <x:c r="J11" s="59"/>
      <x:c r="K11" s="59"/>
      <x:c r="L11" s="59"/>
      <x:c r="M11" s="59"/>
      <x:c r="N11" s="59"/>
      <x:c r="O11" s="59"/>
      <x:c r="P11" s="59"/>
      <x:c r="Q11" s="59"/>
      <x:c r="R11" s="59"/>
      <x:c r="S11" s="59"/>
      <x:c r="T11" s="59"/>
      <x:c r="U11" s="59"/>
      <x:c r="V11" s="59"/>
      <x:c r="W11" s="59"/>
      <x:c r="X11" s="59"/>
      <x:c r="Y11" s="59"/>
      <x:c r="Z11" s="59"/>
      <x:c r="AA11" s="59"/>
      <x:c r="AB11" s="59"/>
      <x:c r="AC11" s="59"/>
      <x:c r="AD11" s="59"/>
      <x:c r="AE11" s="59"/>
      <x:c r="AF11" s="59"/>
      <x:c r="AG11" s="59"/>
      <x:c r="AH11" s="59"/>
      <x:c r="AI11" s="59"/>
      <x:c r="AJ11" s="59"/>
      <x:c r="AK11" s="59"/>
      <x:c r="AL11" s="59"/>
      <x:c r="AM11" s="59"/>
      <x:c r="AN11" s="59"/>
    </x:row>
    <x:row r="12">
      <x:c r="A12" s="21" t="str">
        <x:v>GOVERN 3.1</x:v>
      </x:c>
      <x:c r="B12" s="21" t="str">
        <x:v>GOVERN</x:v>
      </x:c>
      <x:c r="C12" s="21" t="str">
        <x:v>GOVERN 3.1: Organizational management can: - Define policies and hiring practices at the outset that promote interdisciplinary roles, competencies, skills, and capacity for AI efforts. - Define policies and hiring practices that lead to demographic and domain expertise diversity; empower staff with necessary resources and support, and facilitate the contribution of staff feedback and concerns without fear of reprisal. - Establish policies that facilitate inclusivity and the integration of new insights into existing practice. - Seek external expertise to supplement organizational diversity, equity, inclusion, and accessibility where internal expertise is lacking.…</x:v>
      </x:c>
      <x:c r="D12" s="21" t="str">
        <x:v>Uploaded NIST AI RMF Playbook spreadsheet</x:v>
      </x:c>
      <x:c r="E12" s="59"/>
      <x:c r="F12" s="59"/>
      <x:c r="G12" s="59"/>
      <x:c r="H12" s="59"/>
      <x:c r="I12" s="59"/>
      <x:c r="J12" s="59"/>
      <x:c r="K12" s="59"/>
      <x:c r="L12" s="59"/>
      <x:c r="M12" s="59"/>
      <x:c r="N12" s="59"/>
      <x:c r="O12" s="59"/>
      <x:c r="P12" s="59"/>
      <x:c r="Q12" s="59"/>
      <x:c r="R12" s="59"/>
      <x:c r="S12" s="59"/>
      <x:c r="T12" s="59"/>
      <x:c r="U12" s="59"/>
      <x:c r="V12" s="59"/>
      <x:c r="W12" s="59"/>
      <x:c r="X12" s="59"/>
      <x:c r="Y12" s="59"/>
      <x:c r="Z12" s="59"/>
      <x:c r="AA12" s="59"/>
      <x:c r="AB12" s="59"/>
      <x:c r="AC12" s="59"/>
      <x:c r="AD12" s="59"/>
      <x:c r="AE12" s="59"/>
      <x:c r="AF12" s="59"/>
      <x:c r="AG12" s="59"/>
      <x:c r="AH12" s="59"/>
      <x:c r="AI12" s="59"/>
      <x:c r="AJ12" s="59"/>
      <x:c r="AK12" s="59"/>
      <x:c r="AL12" s="59"/>
      <x:c r="AM12" s="59"/>
      <x:c r="AN12" s="59"/>
    </x:row>
    <x:row r="13">
      <x:c r="A13" s="21" t="str">
        <x:v>GOVERN 3.2</x:v>
      </x:c>
      <x:c r="B13" s="21" t="str">
        <x:v>GOVERN</x:v>
      </x:c>
      <x:c r="C13" s="21" t="str">
        <x:v>GOVERN 3.2: - Establish policies and procedures that define and differentiate the various human roles and responsibilities when using, interacting with, or monitoring AI systems. - Establish procedures for capturing and tracking risk information related to human-AI configurations and associated outcomes. - Establish policies for the development of proficiency standards for AI actors carrying out system operation tasks and system oversight tasks. - Establish specified risk management training protocols for AI actors carrying out system operation tasks and system oversight tasks. - Establish policies and procedures regarding AI actor roles, and responsibilities for human oversight of deployed systems.…</x:v>
      </x:c>
      <x:c r="D13" s="21" t="str">
        <x:v>Uploaded NIST AI RMF Playbook spreadsheet</x:v>
      </x:c>
      <x:c r="E13" s="59"/>
      <x:c r="F13" s="59"/>
      <x:c r="G13" s="59"/>
      <x:c r="H13" s="59"/>
      <x:c r="I13" s="59"/>
      <x:c r="J13" s="59"/>
      <x:c r="K13" s="59"/>
      <x:c r="L13" s="59"/>
      <x:c r="M13" s="59"/>
      <x:c r="N13" s="59"/>
      <x:c r="O13" s="59"/>
      <x:c r="P13" s="59"/>
      <x:c r="Q13" s="59"/>
      <x:c r="R13" s="59"/>
      <x:c r="S13" s="59"/>
      <x:c r="T13" s="59"/>
      <x:c r="U13" s="59"/>
      <x:c r="V13" s="59"/>
      <x:c r="W13" s="59"/>
      <x:c r="X13" s="59"/>
      <x:c r="Y13" s="59"/>
      <x:c r="Z13" s="59"/>
      <x:c r="AA13" s="59"/>
      <x:c r="AB13" s="59"/>
      <x:c r="AC13" s="59"/>
      <x:c r="AD13" s="59"/>
      <x:c r="AE13" s="59"/>
      <x:c r="AF13" s="59"/>
      <x:c r="AG13" s="59"/>
      <x:c r="AH13" s="59"/>
      <x:c r="AI13" s="59"/>
      <x:c r="AJ13" s="59"/>
      <x:c r="AK13" s="59"/>
      <x:c r="AL13" s="59"/>
      <x:c r="AM13" s="59"/>
      <x:c r="AN13" s="59"/>
    </x:row>
    <x:row r="14">
      <x:c r="A14" s="21" t="str">
        <x:v>GOVERN 4.1</x:v>
      </x:c>
      <x:c r="B14" s="21" t="str">
        <x:v>GOVERN</x:v>
      </x:c>
      <x:c r="C14" s="21" t="str">
        <x:v>GOVERN 4.1: - Establish policies that require inclusion of oversight functions (legal, compliance, risk management) from the outset of the system design process. - Establish policies that promote effective challenge of AI system design, implementation, and deployment decisions, via mechanisms such as the three lines of defense, model audits, or red-teaming – to minimize workplace risks such as groupthink. - Establish policies that incentivize safety-first mindset and general critical thinking and review at an organizational and procedural level. - Establish whistleblower protections for insiders who report on perceived serious problems with AI systems. - Establish policies to integrate a harm and risk prevention mindset throughout the AI lifecycle.</x:v>
      </x:c>
      <x:c r="D14" s="21" t="str">
        <x:v>Uploaded NIST AI RMF Playbook spreadsheet</x:v>
      </x:c>
      <x:c r="E14" s="59"/>
      <x:c r="F14" s="59"/>
      <x:c r="G14" s="59"/>
      <x:c r="H14" s="59"/>
      <x:c r="I14" s="59"/>
      <x:c r="J14" s="59"/>
      <x:c r="K14" s="59"/>
      <x:c r="L14" s="59"/>
      <x:c r="M14" s="59"/>
      <x:c r="N14" s="59"/>
      <x:c r="O14" s="59"/>
      <x:c r="P14" s="59"/>
      <x:c r="Q14" s="59"/>
      <x:c r="R14" s="59"/>
      <x:c r="S14" s="59"/>
      <x:c r="T14" s="59"/>
      <x:c r="U14" s="59"/>
      <x:c r="V14" s="59"/>
      <x:c r="W14" s="59"/>
      <x:c r="X14" s="59"/>
      <x:c r="Y14" s="59"/>
      <x:c r="Z14" s="59"/>
      <x:c r="AA14" s="59"/>
      <x:c r="AB14" s="59"/>
      <x:c r="AC14" s="59"/>
      <x:c r="AD14" s="59"/>
      <x:c r="AE14" s="59"/>
      <x:c r="AF14" s="59"/>
      <x:c r="AG14" s="59"/>
      <x:c r="AH14" s="59"/>
      <x:c r="AI14" s="59"/>
      <x:c r="AJ14" s="59"/>
      <x:c r="AK14" s="59"/>
      <x:c r="AL14" s="59"/>
      <x:c r="AM14" s="59"/>
      <x:c r="AN14" s="59"/>
    </x:row>
    <x:row r="15">
      <x:c r="A15" s="21" t="str">
        <x:v>GOVERN 4.2</x:v>
      </x:c>
      <x:c r="B15" s="21" t="str">
        <x:v>GOVERN</x:v>
      </x:c>
      <x:c r="C15" s="21" t="str">
        <x:v>GOVERN 4.2: - Establish impact assessment policies and processes for AI systems used by the organization. - Align organizational impact assessment activities with relevant regulatory or legal requirements. - Verify that impact assessment activities are appropriate to evaluate the potential negative impact of a system and how quickly a system changes, and that assessments are applied on a regular basis. - Utilize impact assessments to inform broader evaluations of AI system risk.</x:v>
      </x:c>
      <x:c r="D15" s="21" t="str">
        <x:v>Uploaded NIST AI RMF Playbook spreadsheet</x:v>
      </x:c>
      <x:c r="E15" s="59"/>
      <x:c r="F15" s="59"/>
      <x:c r="G15" s="59"/>
      <x:c r="H15" s="59"/>
      <x:c r="I15" s="59"/>
      <x:c r="J15" s="59"/>
      <x:c r="K15" s="59"/>
      <x:c r="L15" s="59"/>
      <x:c r="M15" s="59"/>
      <x:c r="N15" s="59"/>
      <x:c r="O15" s="59"/>
      <x:c r="P15" s="59"/>
      <x:c r="Q15" s="59"/>
      <x:c r="R15" s="59"/>
      <x:c r="S15" s="59"/>
      <x:c r="T15" s="59"/>
      <x:c r="U15" s="59"/>
      <x:c r="V15" s="59"/>
      <x:c r="W15" s="59"/>
      <x:c r="X15" s="59"/>
      <x:c r="Y15" s="59"/>
      <x:c r="Z15" s="59"/>
      <x:c r="AA15" s="59"/>
      <x:c r="AB15" s="59"/>
      <x:c r="AC15" s="59"/>
      <x:c r="AD15" s="59"/>
      <x:c r="AE15" s="59"/>
      <x:c r="AF15" s="59"/>
      <x:c r="AG15" s="59"/>
      <x:c r="AH15" s="59"/>
      <x:c r="AI15" s="59"/>
      <x:c r="AJ15" s="59"/>
      <x:c r="AK15" s="59"/>
      <x:c r="AL15" s="59"/>
      <x:c r="AM15" s="59"/>
      <x:c r="AN15" s="59"/>
    </x:row>
    <x:row r="16">
      <x:c r="A16" s="21" t="str">
        <x:v>GOVERN 4.3</x:v>
      </x:c>
      <x:c r="B16" s="21" t="str">
        <x:v>GOVERN</x:v>
      </x:c>
      <x:c r="C16" s="21" t="str">
        <x:v>GOVERN 4.3: - Establish policies and procedures to facilitate and equip AI system testing. - Establish organizational commitment to identifying AI system limitations and sharing of insights about limitations within appropriate AI actor groups. - Establish policies for reporting and documenting incident response. - Establish policies and processes regarding public disclosure of incidents and information sharing. - Establish guidelines for incident handling related to AI system risks and performance.</x:v>
      </x:c>
      <x:c r="D16" s="21" t="str">
        <x:v>Uploaded NIST AI RMF Playbook spreadsheet</x:v>
      </x:c>
      <x:c r="E16" s="59"/>
      <x:c r="F16" s="59"/>
      <x:c r="G16" s="59"/>
      <x:c r="H16" s="59"/>
      <x:c r="I16" s="59"/>
      <x:c r="J16" s="59"/>
      <x:c r="K16" s="59"/>
      <x:c r="L16" s="59"/>
      <x:c r="M16" s="59"/>
      <x:c r="N16" s="59"/>
      <x:c r="O16" s="59"/>
      <x:c r="P16" s="59"/>
      <x:c r="Q16" s="59"/>
      <x:c r="R16" s="59"/>
      <x:c r="S16" s="59"/>
      <x:c r="T16" s="59"/>
      <x:c r="U16" s="59"/>
      <x:c r="V16" s="59"/>
      <x:c r="W16" s="59"/>
      <x:c r="X16" s="59"/>
      <x:c r="Y16" s="59"/>
      <x:c r="Z16" s="59"/>
      <x:c r="AA16" s="59"/>
      <x:c r="AB16" s="59"/>
      <x:c r="AC16" s="59"/>
      <x:c r="AD16" s="59"/>
      <x:c r="AE16" s="59"/>
      <x:c r="AF16" s="59"/>
      <x:c r="AG16" s="59"/>
      <x:c r="AH16" s="59"/>
      <x:c r="AI16" s="59"/>
      <x:c r="AJ16" s="59"/>
      <x:c r="AK16" s="59"/>
      <x:c r="AL16" s="59"/>
      <x:c r="AM16" s="59"/>
      <x:c r="AN16" s="59"/>
    </x:row>
    <x:row r="17">
      <x:c r="A17" s="21" t="str">
        <x:v>GOVERN 5.1</x:v>
      </x:c>
      <x:c r="B17" s="21" t="str">
        <x:v>GOVERN</x:v>
      </x:c>
      <x:c r="C17" s="21" t="str">
        <x:v>GOVERN 5.1: - Establish AI risk management policies that explicitly address mechanisms for collecting, evaluating, and incorporating stakeholder and user feedback that could include: - Recourse mechanisms for faulty AI system outputs. - Bug bounties. - Human-centered design. - User-interaction and experience research. - Participatory stakeholder engagement with individuals and communities that may experience negative impacts. - Verify that stakeholder feedback is considered and addressed, including environmental concerns, and across the entire population of intended users, including historically excluded populations, people with disabilities, older people, and those with limited access to the internet and other basic technologies.…</x:v>
      </x:c>
      <x:c r="D17" s="21" t="str">
        <x:v>Uploaded NIST AI RMF Playbook spreadsheet</x:v>
      </x:c>
      <x:c r="E17" s="59"/>
      <x:c r="F17" s="59"/>
      <x:c r="G17" s="59"/>
      <x:c r="H17" s="59"/>
      <x:c r="I17" s="59"/>
      <x:c r="J17" s="59"/>
      <x:c r="K17" s="59"/>
      <x:c r="L17" s="59"/>
      <x:c r="M17" s="59"/>
      <x:c r="N17" s="59"/>
      <x:c r="O17" s="59"/>
      <x:c r="P17" s="59"/>
      <x:c r="Q17" s="59"/>
      <x:c r="R17" s="59"/>
      <x:c r="S17" s="59"/>
      <x:c r="T17" s="59"/>
      <x:c r="U17" s="59"/>
      <x:c r="V17" s="59"/>
      <x:c r="W17" s="59"/>
      <x:c r="X17" s="59"/>
      <x:c r="Y17" s="59"/>
      <x:c r="Z17" s="59"/>
      <x:c r="AA17" s="59"/>
      <x:c r="AB17" s="59"/>
      <x:c r="AC17" s="59"/>
      <x:c r="AD17" s="59"/>
      <x:c r="AE17" s="59"/>
      <x:c r="AF17" s="59"/>
      <x:c r="AG17" s="59"/>
      <x:c r="AH17" s="59"/>
      <x:c r="AI17" s="59"/>
      <x:c r="AJ17" s="59"/>
      <x:c r="AK17" s="59"/>
      <x:c r="AL17" s="59"/>
      <x:c r="AM17" s="59"/>
      <x:c r="AN17" s="59"/>
    </x:row>
    <x:row r="18">
      <x:c r="A18" s="21" t="str">
        <x:v>GOVERN 5.2</x:v>
      </x:c>
      <x:c r="B18" s="21" t="str">
        <x:v>GOVERN</x:v>
      </x:c>
      <x:c r="C18" s="21" t="str">
        <x:v>GOVERN 5.2: - Explicitly acknowledge that AI systems, and the use of AI, present inherent costs and risks along with potential benefits. - Define reasonable risk tolerances for AI systems informed by laws, regulation, best practices, or industry standards. - Establish policies that ensure all relevant AI actors are provided with meaningful opportunities to provide feedback on system design and implementation. - Establish policies that define how to assign AI systems to established risk tolerance levels by combining system impact assessments with the likelihood that an impact occurs. Such assessment often entails some combination of: - Econometric evaluations of impacts and impact likelihoods to assess AI system risk. - Red-amber-green (RAG) scales for impact severity and likelihood to assess AI system risk.…</x:v>
      </x:c>
      <x:c r="D18" s="21" t="str">
        <x:v>Uploaded NIST AI RMF Playbook spreadsheet</x:v>
      </x:c>
      <x:c r="E18" s="59"/>
      <x:c r="F18" s="59"/>
      <x:c r="G18" s="59"/>
      <x:c r="H18" s="59"/>
      <x:c r="I18" s="59"/>
      <x:c r="J18" s="59"/>
      <x:c r="K18" s="59"/>
      <x:c r="L18" s="59"/>
      <x:c r="M18" s="59"/>
      <x:c r="N18" s="59"/>
      <x:c r="O18" s="59"/>
      <x:c r="P18" s="59"/>
      <x:c r="Q18" s="59"/>
      <x:c r="R18" s="59"/>
      <x:c r="S18" s="59"/>
      <x:c r="T18" s="59"/>
      <x:c r="U18" s="59"/>
      <x:c r="V18" s="59"/>
      <x:c r="W18" s="59"/>
      <x:c r="X18" s="59"/>
      <x:c r="Y18" s="59"/>
      <x:c r="Z18" s="59"/>
      <x:c r="AA18" s="59"/>
      <x:c r="AB18" s="59"/>
      <x:c r="AC18" s="59"/>
      <x:c r="AD18" s="59"/>
      <x:c r="AE18" s="59"/>
      <x:c r="AF18" s="59"/>
      <x:c r="AG18" s="59"/>
      <x:c r="AH18" s="59"/>
      <x:c r="AI18" s="59"/>
      <x:c r="AJ18" s="59"/>
      <x:c r="AK18" s="59"/>
      <x:c r="AL18" s="59"/>
      <x:c r="AM18" s="59"/>
      <x:c r="AN18" s="59"/>
    </x:row>
    <x:row r="19">
      <x:c r="A19" s="21" t="str">
        <x:v>GOVERN 6.1</x:v>
      </x:c>
      <x:c r="B19" s="21" t="str">
        <x:v>GOVERN</x:v>
      </x:c>
      <x:c r="C19" s="21" t="str">
        <x:v>GOVERN 6.1: - Collaboratively establish policies that address third-party AI systems and data. - Establish policies related to: - Transparency into third-party system functions, including knowledge about training data, training and inference algorithms, and assumptions and limitations. - Thorough testing of third-party AI systems. (See MEASURE for more detail) - Requirements for clear and complete instructions for third-party system usage. - Evaluate policies for third-party technology. - Establish policies that address supply chain, full product lifecycle and associated processes, including legal, ethical, and other issues concerning procurement and use of third-party software or hardware systems and data.</x:v>
      </x:c>
      <x:c r="D19" s="21" t="str">
        <x:v>Uploaded NIST AI RMF Playbook spreadsheet</x:v>
      </x:c>
      <x:c r="E19" s="59"/>
      <x:c r="F19" s="59"/>
      <x:c r="G19" s="59"/>
      <x:c r="H19" s="59"/>
      <x:c r="I19" s="59"/>
      <x:c r="J19" s="59"/>
      <x:c r="K19" s="59"/>
      <x:c r="L19" s="59"/>
      <x:c r="M19" s="59"/>
      <x:c r="N19" s="59"/>
      <x:c r="O19" s="59"/>
      <x:c r="P19" s="59"/>
      <x:c r="Q19" s="59"/>
      <x:c r="R19" s="59"/>
      <x:c r="S19" s="59"/>
      <x:c r="T19" s="59"/>
      <x:c r="U19" s="59"/>
      <x:c r="V19" s="59"/>
      <x:c r="W19" s="59"/>
      <x:c r="X19" s="59"/>
      <x:c r="Y19" s="59"/>
      <x:c r="Z19" s="59"/>
      <x:c r="AA19" s="59"/>
      <x:c r="AB19" s="59"/>
      <x:c r="AC19" s="59"/>
      <x:c r="AD19" s="59"/>
      <x:c r="AE19" s="59"/>
      <x:c r="AF19" s="59"/>
      <x:c r="AG19" s="59"/>
      <x:c r="AH19" s="59"/>
      <x:c r="AI19" s="59"/>
      <x:c r="AJ19" s="59"/>
      <x:c r="AK19" s="59"/>
      <x:c r="AL19" s="59"/>
      <x:c r="AM19" s="59"/>
      <x:c r="AN19" s="59"/>
    </x:row>
    <x:row r="20">
      <x:c r="A20" s="21" t="str">
        <x:v>GOVERN 6.2</x:v>
      </x:c>
      <x:c r="B20" s="21" t="str">
        <x:v>GOVERN</x:v>
      </x:c>
      <x:c r="C20" s="21" t="str">
        <x:v>GOVERN 6.2: - Establish policies for handling third-party system failures to include consideration of redundancy mechanisms for vital third-party AI systems. - Verify that incident response plans address third-party AI systems.</x:v>
      </x:c>
      <x:c r="D20" s="21" t="str">
        <x:v>Uploaded NIST AI RMF Playbook spreadsheet</x:v>
      </x:c>
      <x:c r="E20" s="59"/>
      <x:c r="F20" s="59"/>
      <x:c r="G20" s="59"/>
      <x:c r="H20" s="59"/>
      <x:c r="I20" s="59"/>
      <x:c r="J20" s="59"/>
      <x:c r="K20" s="59"/>
      <x:c r="L20" s="59"/>
      <x:c r="M20" s="59"/>
      <x:c r="N20" s="59"/>
      <x:c r="O20" s="59"/>
      <x:c r="P20" s="59"/>
      <x:c r="Q20" s="59"/>
      <x:c r="R20" s="59"/>
      <x:c r="S20" s="59"/>
      <x:c r="T20" s="59"/>
      <x:c r="U20" s="59"/>
      <x:c r="V20" s="59"/>
      <x:c r="W20" s="59"/>
      <x:c r="X20" s="59"/>
      <x:c r="Y20" s="59"/>
      <x:c r="Z20" s="59"/>
      <x:c r="AA20" s="59"/>
      <x:c r="AB20" s="59"/>
      <x:c r="AC20" s="59"/>
      <x:c r="AD20" s="59"/>
      <x:c r="AE20" s="59"/>
      <x:c r="AF20" s="59"/>
      <x:c r="AG20" s="59"/>
      <x:c r="AH20" s="59"/>
      <x:c r="AI20" s="59"/>
      <x:c r="AJ20" s="59"/>
      <x:c r="AK20" s="59"/>
      <x:c r="AL20" s="59"/>
      <x:c r="AM20" s="59"/>
      <x:c r="AN20" s="59"/>
    </x:row>
    <x:row r="21">
      <x:c r="A21" s="21" t="str">
        <x:v>MANAGE 1.1</x:v>
      </x:c>
      <x:c r="B21" s="21" t="str">
        <x:v>MANAGE</x:v>
      </x:c>
      <x:c r="C21" s="21" t="str">
        <x:v>MANAGE 1.1: - Consider trustworthiness characteristics when evaluating AI systems’ negative risks and benefits. - Utilize TEVV outputs from map and measure functions when considering risk treatment. - Regularly track and monitor negative risks and benefits throughout the AI system lifecycle including in post-deployment monitoring. - Regularly assess and document system performance relative to trustworthiness characteristics and tradeoffs between negative risks and opportunities. - Evaluate tradeoffs in connection with real-world use cases and impacts and as enumerated in Map function outcomes.</x:v>
      </x:c>
      <x:c r="D21" s="21" t="str">
        <x:v>Uploaded NIST AI RMF Playbook spreadsheet</x:v>
      </x:c>
      <x:c r="E21" s="59"/>
      <x:c r="F21" s="59"/>
      <x:c r="G21" s="59"/>
      <x:c r="H21" s="59"/>
      <x:c r="I21" s="59"/>
      <x:c r="J21" s="59"/>
      <x:c r="K21" s="59"/>
      <x:c r="L21" s="59"/>
      <x:c r="M21" s="59"/>
      <x:c r="N21" s="59"/>
      <x:c r="O21" s="59"/>
      <x:c r="P21" s="59"/>
      <x:c r="Q21" s="59"/>
      <x:c r="R21" s="59"/>
      <x:c r="S21" s="59"/>
      <x:c r="T21" s="59"/>
      <x:c r="U21" s="59"/>
      <x:c r="V21" s="59"/>
      <x:c r="W21" s="59"/>
      <x:c r="X21" s="59"/>
      <x:c r="Y21" s="59"/>
      <x:c r="Z21" s="59"/>
      <x:c r="AA21" s="59"/>
      <x:c r="AB21" s="59"/>
      <x:c r="AC21" s="59"/>
      <x:c r="AD21" s="59"/>
      <x:c r="AE21" s="59"/>
      <x:c r="AF21" s="59"/>
      <x:c r="AG21" s="59"/>
      <x:c r="AH21" s="59"/>
      <x:c r="AI21" s="59"/>
      <x:c r="AJ21" s="59"/>
      <x:c r="AK21" s="59"/>
      <x:c r="AL21" s="59"/>
      <x:c r="AM21" s="59"/>
      <x:c r="AN21" s="59"/>
    </x:row>
    <x:row r="22">
      <x:c r="A22" s="21" t="str">
        <x:v>MANAGE 1.2</x:v>
      </x:c>
      <x:c r="B22" s="21" t="str">
        <x:v>MANAGE</x:v>
      </x:c>
      <x:c r="C22" s="21" t="str">
        <x:v>MANAGE 1.2: - Assign risk management resources relative to established risk tolerance. AI systems with lower risk tolerances receive greater oversight, mitigation and management resources. - Document AI risk tolerance determination practices and resource decisions. - Regularly review risk tolerances and re-calibrate, as needed, in accordance with information from AI system monitoring and assessment .</x:v>
      </x:c>
      <x:c r="D22" s="21" t="str">
        <x:v>Uploaded NIST AI RMF Playbook spreadsheet</x:v>
      </x:c>
      <x:c r="E22" s="59"/>
      <x:c r="F22" s="59"/>
      <x:c r="G22" s="59"/>
      <x:c r="H22" s="59"/>
      <x:c r="I22" s="59"/>
      <x:c r="J22" s="59"/>
      <x:c r="K22" s="59"/>
      <x:c r="L22" s="59"/>
      <x:c r="M22" s="59"/>
      <x:c r="N22" s="59"/>
      <x:c r="O22" s="59"/>
      <x:c r="P22" s="59"/>
      <x:c r="Q22" s="59"/>
      <x:c r="R22" s="59"/>
      <x:c r="S22" s="59"/>
      <x:c r="T22" s="59"/>
      <x:c r="U22" s="59"/>
      <x:c r="V22" s="59"/>
      <x:c r="W22" s="59"/>
      <x:c r="X22" s="59"/>
      <x:c r="Y22" s="59"/>
      <x:c r="Z22" s="59"/>
      <x:c r="AA22" s="59"/>
      <x:c r="AB22" s="59"/>
      <x:c r="AC22" s="59"/>
      <x:c r="AD22" s="59"/>
      <x:c r="AE22" s="59"/>
      <x:c r="AF22" s="59"/>
      <x:c r="AG22" s="59"/>
      <x:c r="AH22" s="59"/>
      <x:c r="AI22" s="59"/>
      <x:c r="AJ22" s="59"/>
      <x:c r="AK22" s="59"/>
      <x:c r="AL22" s="59"/>
      <x:c r="AM22" s="59"/>
      <x:c r="AN22" s="59"/>
    </x:row>
    <x:row r="23">
      <x:c r="A23" s="21" t="str">
        <x:v>MANAGE 1.3</x:v>
      </x:c>
      <x:c r="B23" s="21" t="str">
        <x:v>MANAGE</x:v>
      </x:c>
      <x:c r="C23" s="21" t="str">
        <x:v>MANAGE 1.3: - Observe regulatory and established organizational, sector, discipline, or professional standards and requirements for applying risk tolerances within the organization. - Document procedures for acting on AI system risks related to trustworthiness characteristics. - Prioritize risks involving physical safety, legal liabilities, regulatory compliance, and negative impacts on individuals, groups, or society. - Identify risk response plans and resources and organizational teams for carrying out response functions. - Store risk management and system documentation in an organized, secure repository that is accessible by relevant AI Actors and appropriate personnel.</x:v>
      </x:c>
      <x:c r="D23" s="21" t="str">
        <x:v>Uploaded NIST AI RMF Playbook spreadsheet</x:v>
      </x:c>
      <x:c r="E23" s="59"/>
      <x:c r="F23" s="59"/>
      <x:c r="G23" s="59"/>
      <x:c r="H23" s="59"/>
      <x:c r="I23" s="59"/>
      <x:c r="J23" s="59"/>
      <x:c r="K23" s="59"/>
      <x:c r="L23" s="59"/>
      <x:c r="M23" s="59"/>
      <x:c r="N23" s="59"/>
      <x:c r="O23" s="59"/>
      <x:c r="P23" s="59"/>
      <x:c r="Q23" s="59"/>
      <x:c r="R23" s="59"/>
      <x:c r="S23" s="59"/>
      <x:c r="T23" s="59"/>
      <x:c r="U23" s="59"/>
      <x:c r="V23" s="59"/>
      <x:c r="W23" s="59"/>
      <x:c r="X23" s="59"/>
      <x:c r="Y23" s="59"/>
      <x:c r="Z23" s="59"/>
      <x:c r="AA23" s="59"/>
      <x:c r="AB23" s="59"/>
      <x:c r="AC23" s="59"/>
      <x:c r="AD23" s="59"/>
      <x:c r="AE23" s="59"/>
      <x:c r="AF23" s="59"/>
      <x:c r="AG23" s="59"/>
      <x:c r="AH23" s="59"/>
      <x:c r="AI23" s="59"/>
      <x:c r="AJ23" s="59"/>
      <x:c r="AK23" s="59"/>
      <x:c r="AL23" s="59"/>
      <x:c r="AM23" s="59"/>
      <x:c r="AN23" s="59"/>
    </x:row>
    <x:row r="24">
      <x:c r="A24" s="21" t="str">
        <x:v>MANAGE 1.4</x:v>
      </x:c>
      <x:c r="B24" s="21" t="str">
        <x:v>MANAGE</x:v>
      </x:c>
      <x:c r="C24" s="21" t="str">
        <x:v>MANAGE 1.4: - Document residual risks within risk response plans, denoting risks that have been accepted, transferred, or subject to minimal mitigation. - Establish procedures for disclosing residual risks to relevant downstream AI actors . - Inform relevant downstream AI actors of requirements for safe operation, known limitations, and suggested warning labels as identified in MAP 3.4.</x:v>
      </x:c>
      <x:c r="D24" s="21" t="str">
        <x:v>Uploaded NIST AI RMF Playbook spreadsheet</x:v>
      </x:c>
      <x:c r="E24" s="59"/>
      <x:c r="F24" s="59"/>
      <x:c r="G24" s="59"/>
      <x:c r="H24" s="59"/>
      <x:c r="I24" s="59"/>
      <x:c r="J24" s="59"/>
      <x:c r="K24" s="59"/>
      <x:c r="L24" s="59"/>
      <x:c r="M24" s="59"/>
      <x:c r="N24" s="59"/>
      <x:c r="O24" s="59"/>
      <x:c r="P24" s="59"/>
      <x:c r="Q24" s="59"/>
      <x:c r="R24" s="59"/>
      <x:c r="S24" s="59"/>
      <x:c r="T24" s="59"/>
      <x:c r="U24" s="59"/>
      <x:c r="V24" s="59"/>
      <x:c r="W24" s="59"/>
      <x:c r="X24" s="59"/>
      <x:c r="Y24" s="59"/>
      <x:c r="Z24" s="59"/>
      <x:c r="AA24" s="59"/>
      <x:c r="AB24" s="59"/>
      <x:c r="AC24" s="59"/>
      <x:c r="AD24" s="59"/>
      <x:c r="AE24" s="59"/>
      <x:c r="AF24" s="59"/>
      <x:c r="AG24" s="59"/>
      <x:c r="AH24" s="59"/>
      <x:c r="AI24" s="59"/>
      <x:c r="AJ24" s="59"/>
      <x:c r="AK24" s="59"/>
      <x:c r="AL24" s="59"/>
      <x:c r="AM24" s="59"/>
      <x:c r="AN24" s="59"/>
    </x:row>
    <x:row r="25">
      <x:c r="A25" s="21" t="str">
        <x:v>MANAGE 2.1</x:v>
      </x:c>
      <x:c r="B25" s="21" t="str">
        <x:v>MANAGE</x:v>
      </x:c>
      <x:c r="C25" s="21" t="str">
        <x:v>MANAGE 2.1: - Plan and implement risk management practices in accordance with established organizational risk tolerances. - Verify risk management teams are resourced to carry out functions, including - Establishing processes for considering methods that are not automated; semi-automated; or other procedural alternatives for AI functions. - Enhance AI system transparency mechanisms for AI teams. - Enable exploration of AI system limitations by AI teams. - Identify, assess, and catalog past failed designs and negative impacts or outcomes to avoid known failure modes. - Identify resource allocation approaches for managing risks in systems: - deemed high-risk, - that self-update (adaptive, online, reinforcement self-supervised learning or similar), - trained without access to ground truth (unsupervised, semi-supervised, learning or similar),…</x:v>
      </x:c>
      <x:c r="D25" s="21" t="str">
        <x:v>Uploaded NIST AI RMF Playbook spreadsheet</x:v>
      </x:c>
      <x:c r="E25" s="59"/>
      <x:c r="F25" s="59"/>
      <x:c r="G25" s="59"/>
      <x:c r="H25" s="59"/>
      <x:c r="I25" s="59"/>
      <x:c r="J25" s="59"/>
      <x:c r="K25" s="59"/>
      <x:c r="L25" s="59"/>
      <x:c r="M25" s="59"/>
      <x:c r="N25" s="59"/>
      <x:c r="O25" s="59"/>
      <x:c r="P25" s="59"/>
      <x:c r="Q25" s="59"/>
      <x:c r="R25" s="59"/>
      <x:c r="S25" s="59"/>
      <x:c r="T25" s="59"/>
      <x:c r="U25" s="59"/>
      <x:c r="V25" s="59"/>
      <x:c r="W25" s="59"/>
      <x:c r="X25" s="59"/>
      <x:c r="Y25" s="59"/>
      <x:c r="Z25" s="59"/>
      <x:c r="AA25" s="59"/>
      <x:c r="AB25" s="59"/>
      <x:c r="AC25" s="59"/>
      <x:c r="AD25" s="59"/>
      <x:c r="AE25" s="59"/>
      <x:c r="AF25" s="59"/>
      <x:c r="AG25" s="59"/>
      <x:c r="AH25" s="59"/>
      <x:c r="AI25" s="59"/>
      <x:c r="AJ25" s="59"/>
      <x:c r="AK25" s="59"/>
      <x:c r="AL25" s="59"/>
      <x:c r="AM25" s="59"/>
      <x:c r="AN25" s="59"/>
    </x:row>
    <x:row r="26">
      <x:c r="A26" s="21" t="str">
        <x:v>MANAGE 2.2</x:v>
      </x:c>
      <x:c r="B26" s="21" t="str">
        <x:v>MANAGE</x:v>
      </x:c>
      <x:c r="C26" s="21" t="str">
        <x:v>MANAGE 2.2: - Establish risk controls considering trustworthiness characteristics, including: - Data management, quality, and privacy (e.g. minimization, rectification or deletion requests) controls as part of organizational data governance policies. - Machine learning and end-point security countermeasures (e.g., robust models, differential privacy, authentication, throttling). - Business rules that augment, limit or restrict AI system outputs within certain contexts - Utilizing domain expertise related to deployment context for continuous improvement and TEVV across the AI lifecycle. - Development and regular tracking of human-AI teaming configurations. - Model assessment and test, evaluation, validation and verification (TEVV) protocols. - Use of standardized documentation and transparency mechanisms. - Software quality assurance practices across AI lifecycle.…</x:v>
      </x:c>
      <x:c r="D26" s="21" t="str">
        <x:v>Uploaded NIST AI RMF Playbook spreadsheet</x:v>
      </x:c>
      <x:c r="E26" s="59"/>
      <x:c r="F26" s="59"/>
      <x:c r="G26" s="59"/>
      <x:c r="H26" s="59"/>
      <x:c r="I26" s="59"/>
      <x:c r="J26" s="59"/>
      <x:c r="K26" s="59"/>
      <x:c r="L26" s="59"/>
      <x:c r="M26" s="59"/>
      <x:c r="N26" s="59"/>
      <x:c r="O26" s="59"/>
      <x:c r="P26" s="59"/>
      <x:c r="Q26" s="59"/>
      <x:c r="R26" s="59"/>
      <x:c r="S26" s="59"/>
      <x:c r="T26" s="59"/>
      <x:c r="U26" s="59"/>
      <x:c r="V26" s="59"/>
      <x:c r="W26" s="59"/>
      <x:c r="X26" s="59"/>
      <x:c r="Y26" s="59"/>
      <x:c r="Z26" s="59"/>
      <x:c r="AA26" s="59"/>
      <x:c r="AB26" s="59"/>
      <x:c r="AC26" s="59"/>
      <x:c r="AD26" s="59"/>
      <x:c r="AE26" s="59"/>
      <x:c r="AF26" s="59"/>
      <x:c r="AG26" s="59"/>
      <x:c r="AH26" s="59"/>
      <x:c r="AI26" s="59"/>
      <x:c r="AJ26" s="59"/>
      <x:c r="AK26" s="59"/>
      <x:c r="AL26" s="59"/>
      <x:c r="AM26" s="59"/>
      <x:c r="AN26" s="59"/>
    </x:row>
    <x:row r="27">
      <x:c r="A27" s="21" t="str">
        <x:v>MANAGE 2.3</x:v>
      </x:c>
      <x:c r="B27" s="21" t="str">
        <x:v>MANAGE</x:v>
      </x:c>
      <x:c r="C27" s="21" t="str">
        <x:v>MANAGE 2.3: - Protocols, resources, and metrics are in place for continual monitoring of AI systems’ performance, trustworthiness, and alignment with contextual norms and values - Establish and regularly review treatment and response plans for incidents, negative impacts, or outcomes. - Establish and maintain procedures to regularly monitor system components for drift, decontextualization, or other AI system behavior factors, - Establish and maintain procedures for capturing feedback about negative impacts. - Verify contingency processes to handle any negative impacts associated with mission-critical AI systems, and to deactivate systems. - Enable preventive and post-hoc exploration of AI system limitations by relevant AI actor groups. - Decommission systems that exceed risk tolerances.</x:v>
      </x:c>
      <x:c r="D27" s="21" t="str">
        <x:v>Uploaded NIST AI RMF Playbook spreadsheet</x:v>
      </x:c>
      <x:c r="E27" s="59"/>
      <x:c r="F27" s="59"/>
      <x:c r="G27" s="59"/>
      <x:c r="H27" s="59"/>
      <x:c r="I27" s="59"/>
      <x:c r="J27" s="59"/>
      <x:c r="K27" s="59"/>
      <x:c r="L27" s="59"/>
      <x:c r="M27" s="59"/>
      <x:c r="N27" s="59"/>
      <x:c r="O27" s="59"/>
      <x:c r="P27" s="59"/>
      <x:c r="Q27" s="59"/>
      <x:c r="R27" s="59"/>
      <x:c r="S27" s="59"/>
      <x:c r="T27" s="59"/>
      <x:c r="U27" s="59"/>
      <x:c r="V27" s="59"/>
      <x:c r="W27" s="59"/>
      <x:c r="X27" s="59"/>
      <x:c r="Y27" s="59"/>
      <x:c r="Z27" s="59"/>
      <x:c r="AA27" s="59"/>
      <x:c r="AB27" s="59"/>
      <x:c r="AC27" s="59"/>
      <x:c r="AD27" s="59"/>
      <x:c r="AE27" s="59"/>
      <x:c r="AF27" s="59"/>
      <x:c r="AG27" s="59"/>
      <x:c r="AH27" s="59"/>
      <x:c r="AI27" s="59"/>
      <x:c r="AJ27" s="59"/>
      <x:c r="AK27" s="59"/>
      <x:c r="AL27" s="59"/>
      <x:c r="AM27" s="59"/>
      <x:c r="AN27" s="59"/>
    </x:row>
    <x:row r="28">
      <x:c r="A28" s="21" t="str">
        <x:v>MANAGE 2.4</x:v>
      </x:c>
      <x:c r="B28" s="21" t="str">
        <x:v>MANAGE</x:v>
      </x:c>
      <x:c r="C28" s="21" t="str">
        <x:v>MANAGE 2.4: - Regularly review established procedures for AI system bypass actions, including plans for redundant or backup systems to ensure continuity of operational and/or business functionality. - Regularly review Identify system incident thresholds for activating bypass or deactivation responses. - Apply change management processes to understand the upstream and downstream consequences of bypassing or deactivating an AI system or AI system components. - Apply protocols, resources and metrics for decisions to supersede, bypass or deactivate AI systems or AI system components. - Preserve materials for forensic, regulatory, and legal review. - Conduct internal root cause analysis and process reviews of bypass or deactivation events. - Decommission and preserve system components that cannot be updated to meet criteria for redeployment.…</x:v>
      </x:c>
      <x:c r="D28" s="21" t="str">
        <x:v>Uploaded NIST AI RMF Playbook spreadsheet</x:v>
      </x:c>
      <x:c r="E28" s="59"/>
      <x:c r="F28" s="59"/>
      <x:c r="G28" s="59"/>
      <x:c r="H28" s="59"/>
      <x:c r="I28" s="59"/>
      <x:c r="J28" s="59"/>
      <x:c r="K28" s="59"/>
      <x:c r="L28" s="59"/>
      <x:c r="M28" s="59"/>
      <x:c r="N28" s="59"/>
      <x:c r="O28" s="59"/>
      <x:c r="P28" s="59"/>
      <x:c r="Q28" s="59"/>
      <x:c r="R28" s="59"/>
      <x:c r="S28" s="59"/>
      <x:c r="T28" s="59"/>
      <x:c r="U28" s="59"/>
      <x:c r="V28" s="59"/>
      <x:c r="W28" s="59"/>
      <x:c r="X28" s="59"/>
      <x:c r="Y28" s="59"/>
      <x:c r="Z28" s="59"/>
      <x:c r="AA28" s="59"/>
      <x:c r="AB28" s="59"/>
      <x:c r="AC28" s="59"/>
      <x:c r="AD28" s="59"/>
      <x:c r="AE28" s="59"/>
      <x:c r="AF28" s="59"/>
      <x:c r="AG28" s="59"/>
      <x:c r="AH28" s="59"/>
      <x:c r="AI28" s="59"/>
      <x:c r="AJ28" s="59"/>
      <x:c r="AK28" s="59"/>
      <x:c r="AL28" s="59"/>
      <x:c r="AM28" s="59"/>
      <x:c r="AN28" s="59"/>
    </x:row>
    <x:row r="29">
      <x:c r="A29" s="21" t="str">
        <x:v>MANAGE 3.1</x:v>
      </x:c>
      <x:c r="B29" s="21" t="str">
        <x:v>MANAGE</x:v>
      </x:c>
      <x:c r="C29" s="21" t="str">
        <x:v>MANAGE 3.1: - Have legal requirements been addressed? - Apply organizational risk tolerance to third-party AI systems. - Apply and document organizational risk management plans and practices to third-party AI technology, personnel, or other resources. - Identify and maintain documentation for third-party AI systems and components. - Establish testing, evaluation, validation and verification processes for third-party AI systems which address the needs for transparency without exposing proprietary algorithms . - Establish processes to identify beneficial use and risk indicators in third-party systems or components, such as inconsistent software release schedule, sparse documentation, and incomplete software change management (e.g., lack of forward or backward compatibility).…</x:v>
      </x:c>
      <x:c r="D29" s="21" t="str">
        <x:v>Uploaded NIST AI RMF Playbook spreadsheet</x:v>
      </x:c>
      <x:c r="E29" s="59"/>
      <x:c r="F29" s="59"/>
      <x:c r="G29" s="59"/>
      <x:c r="H29" s="59"/>
      <x:c r="I29" s="59"/>
      <x:c r="J29" s="59"/>
      <x:c r="K29" s="59"/>
      <x:c r="L29" s="59"/>
      <x:c r="M29" s="59"/>
      <x:c r="N29" s="59"/>
      <x:c r="O29" s="59"/>
      <x:c r="P29" s="59"/>
      <x:c r="Q29" s="59"/>
      <x:c r="R29" s="59"/>
      <x:c r="S29" s="59"/>
      <x:c r="T29" s="59"/>
      <x:c r="U29" s="59"/>
      <x:c r="V29" s="59"/>
      <x:c r="W29" s="59"/>
      <x:c r="X29" s="59"/>
      <x:c r="Y29" s="59"/>
      <x:c r="Z29" s="59"/>
      <x:c r="AA29" s="59"/>
      <x:c r="AB29" s="59"/>
      <x:c r="AC29" s="59"/>
      <x:c r="AD29" s="59"/>
      <x:c r="AE29" s="59"/>
      <x:c r="AF29" s="59"/>
      <x:c r="AG29" s="59"/>
      <x:c r="AH29" s="59"/>
      <x:c r="AI29" s="59"/>
      <x:c r="AJ29" s="59"/>
      <x:c r="AK29" s="59"/>
      <x:c r="AL29" s="59"/>
      <x:c r="AM29" s="59"/>
      <x:c r="AN29" s="59"/>
    </x:row>
    <x:row r="30">
      <x:c r="A30" s="21" t="str">
        <x:v>MANAGE 3.2</x:v>
      </x:c>
      <x:c r="B30" s="21" t="str">
        <x:v>MANAGE</x:v>
      </x:c>
      <x:c r="C30" s="21" t="str">
        <x:v>MANAGE 3.2: - Identify pre-trained models within AI system inventory for risk tracking. - Establish processes to independently and continually monitor performance and trustworthiness of pre-trained models, and as part of third-party risk tracking. - Monitor performance and trustworthiness of AI system components connected to pre-trained models, and as part of third-party risk tracking. - Identify, document and remediate risks arising from AI system components and pre-trained models per organizational risk management procedures, and as part of third-party risk tracking. - Decommission AI system components and pre-trained models which exceed risk tolerances, and as part of third-party risk tracking.</x:v>
      </x:c>
      <x:c r="D30" s="21" t="str">
        <x:v>Uploaded NIST AI RMF Playbook spreadsheet</x:v>
      </x:c>
      <x:c r="E30" s="59"/>
      <x:c r="F30" s="59"/>
      <x:c r="G30" s="59"/>
      <x:c r="H30" s="59"/>
      <x:c r="I30" s="59"/>
      <x:c r="J30" s="59"/>
      <x:c r="K30" s="59"/>
      <x:c r="L30" s="59"/>
      <x:c r="M30" s="59"/>
      <x:c r="N30" s="59"/>
      <x:c r="O30" s="59"/>
      <x:c r="P30" s="59"/>
      <x:c r="Q30" s="59"/>
      <x:c r="R30" s="59"/>
      <x:c r="S30" s="59"/>
      <x:c r="T30" s="59"/>
      <x:c r="U30" s="59"/>
      <x:c r="V30" s="59"/>
      <x:c r="W30" s="59"/>
      <x:c r="X30" s="59"/>
      <x:c r="Y30" s="59"/>
      <x:c r="Z30" s="59"/>
      <x:c r="AA30" s="59"/>
      <x:c r="AB30" s="59"/>
      <x:c r="AC30" s="59"/>
      <x:c r="AD30" s="59"/>
      <x:c r="AE30" s="59"/>
      <x:c r="AF30" s="59"/>
      <x:c r="AG30" s="59"/>
      <x:c r="AH30" s="59"/>
      <x:c r="AI30" s="59"/>
      <x:c r="AJ30" s="59"/>
      <x:c r="AK30" s="59"/>
      <x:c r="AL30" s="59"/>
      <x:c r="AM30" s="59"/>
      <x:c r="AN30" s="59"/>
    </x:row>
    <x:row r="31">
      <x:c r="A31" s="21" t="str">
        <x:v>MANAGE 4.1</x:v>
      </x:c>
      <x:c r="B31" s="21" t="str">
        <x:v>MANAGE</x:v>
      </x:c>
      <x:c r="C31" s="21" t="str">
        <x:v>MANAGE 4.1: - Establish and maintain procedures to monitor AI system performance for risks and negative and positive impacts associated with trustworthiness characteristics. - Perform post-deployment TEVV tasks to evaluate AI system validity and reliability, bias and fairness, privacy, and security and resilience. - Evaluate AI system trustworthiness in conditions similar to deployment context of use, and prior to deployment. - Establish and implement red-teaming exercises at a prescribed cadence, and evaluate their efficacy. - Establish procedures for tracking dataset modifications such as data deletion or rectification requests. - Establish mechanisms for regular communication and feedback between relevant AI actors and internal or external stakeholders to capture information about system performance, trustworthiness and impact.…</x:v>
      </x:c>
      <x:c r="D31" s="21" t="str">
        <x:v>Uploaded NIST AI RMF Playbook spreadsheet</x:v>
      </x:c>
      <x:c r="E31" s="59"/>
      <x:c r="F31" s="59"/>
      <x:c r="G31" s="59"/>
      <x:c r="H31" s="59"/>
      <x:c r="I31" s="59"/>
      <x:c r="J31" s="59"/>
      <x:c r="K31" s="59"/>
      <x:c r="L31" s="59"/>
      <x:c r="M31" s="59"/>
      <x:c r="N31" s="59"/>
      <x:c r="O31" s="59"/>
      <x:c r="P31" s="59"/>
      <x:c r="Q31" s="59"/>
      <x:c r="R31" s="59"/>
      <x:c r="S31" s="59"/>
      <x:c r="T31" s="59"/>
      <x:c r="U31" s="59"/>
      <x:c r="V31" s="59"/>
      <x:c r="W31" s="59"/>
      <x:c r="X31" s="59"/>
      <x:c r="Y31" s="59"/>
      <x:c r="Z31" s="59"/>
      <x:c r="AA31" s="59"/>
      <x:c r="AB31" s="59"/>
      <x:c r="AC31" s="59"/>
      <x:c r="AD31" s="59"/>
      <x:c r="AE31" s="59"/>
      <x:c r="AF31" s="59"/>
      <x:c r="AG31" s="59"/>
      <x:c r="AH31" s="59"/>
      <x:c r="AI31" s="59"/>
      <x:c r="AJ31" s="59"/>
      <x:c r="AK31" s="59"/>
      <x:c r="AL31" s="59"/>
      <x:c r="AM31" s="59"/>
      <x:c r="AN31" s="59"/>
    </x:row>
    <x:row r="32">
      <x:c r="A32" s="21" t="str">
        <x:v>MANAGE 4.2</x:v>
      </x:c>
      <x:c r="B32" s="21" t="str">
        <x:v>MANAGE</x:v>
      </x:c>
      <x:c r="C32" s="21" t="str">
        <x:v>MANAGE 4.2: - Integrate trustworthiness characteristics into protocols and metrics used for continual improvement. - Establish processes for evaluating and integrating feedback into AI system improvements. - Assess and evaluate alignment of proposed improvements with relevant regulatory and legal frameworks - Assess and evaluate alignment of proposed improvements connected to the values and norms within the context of use. - Document the basis for decisions made relative to tradeoffs between trustworthy characteristics, system risks, and system opportunities</x:v>
      </x:c>
      <x:c r="D32" s="21" t="str">
        <x:v>Uploaded NIST AI RMF Playbook spreadsheet</x:v>
      </x:c>
      <x:c r="E32" s="59"/>
      <x:c r="F32" s="59"/>
      <x:c r="G32" s="59"/>
      <x:c r="H32" s="59"/>
      <x:c r="I32" s="59"/>
      <x:c r="J32" s="59"/>
      <x:c r="K32" s="59"/>
      <x:c r="L32" s="59"/>
      <x:c r="M32" s="59"/>
      <x:c r="N32" s="59"/>
      <x:c r="O32" s="59"/>
      <x:c r="P32" s="59"/>
      <x:c r="Q32" s="59"/>
      <x:c r="R32" s="59"/>
      <x:c r="S32" s="59"/>
      <x:c r="T32" s="59"/>
      <x:c r="U32" s="59"/>
      <x:c r="V32" s="59"/>
      <x:c r="W32" s="59"/>
      <x:c r="X32" s="59"/>
      <x:c r="Y32" s="59"/>
      <x:c r="Z32" s="59"/>
      <x:c r="AA32" s="59"/>
      <x:c r="AB32" s="59"/>
      <x:c r="AC32" s="59"/>
      <x:c r="AD32" s="59"/>
      <x:c r="AE32" s="59"/>
      <x:c r="AF32" s="59"/>
      <x:c r="AG32" s="59"/>
      <x:c r="AH32" s="59"/>
      <x:c r="AI32" s="59"/>
      <x:c r="AJ32" s="59"/>
      <x:c r="AK32" s="59"/>
      <x:c r="AL32" s="59"/>
      <x:c r="AM32" s="59"/>
      <x:c r="AN32" s="59"/>
    </x:row>
    <x:row r="33">
      <x:c r="A33" s="21" t="str">
        <x:v>MANAGE 4.3</x:v>
      </x:c>
      <x:c r="B33" s="21" t="str">
        <x:v>MANAGE</x:v>
      </x:c>
      <x:c r="C33" s="21" t="str">
        <x:v>MANAGE 4.3: - Establish procedures to regularly share information about errors, incidents and negative impacts with relevant stakeholders, operators, practitioners and users, and impacted parties. - Maintain a database of reported errors, near-misses, incidents and negative impacts including date reported, number of reports, assessment of impact and severity, and responses. - Maintain a database of system changes, reason for change, and details of how the change was made, tested and deployed. - Maintain version history information and metadata to enable continuous improvement processes. - Verify that relevant AI actors responsible for identifying complex or emergent risks are properly resourced and empowered.</x:v>
      </x:c>
      <x:c r="D33" s="21" t="str">
        <x:v>Uploaded NIST AI RMF Playbook spreadsheet</x:v>
      </x:c>
      <x:c r="E33" s="59"/>
      <x:c r="F33" s="59"/>
      <x:c r="G33" s="59"/>
      <x:c r="H33" s="59"/>
      <x:c r="I33" s="59"/>
      <x:c r="J33" s="59"/>
      <x:c r="K33" s="59"/>
      <x:c r="L33" s="59"/>
      <x:c r="M33" s="59"/>
      <x:c r="N33" s="59"/>
      <x:c r="O33" s="59"/>
      <x:c r="P33" s="59"/>
      <x:c r="Q33" s="59"/>
      <x:c r="R33" s="59"/>
      <x:c r="S33" s="59"/>
      <x:c r="T33" s="59"/>
      <x:c r="U33" s="59"/>
      <x:c r="V33" s="59"/>
      <x:c r="W33" s="59"/>
      <x:c r="X33" s="59"/>
      <x:c r="Y33" s="59"/>
      <x:c r="Z33" s="59"/>
      <x:c r="AA33" s="59"/>
      <x:c r="AB33" s="59"/>
      <x:c r="AC33" s="59"/>
      <x:c r="AD33" s="59"/>
      <x:c r="AE33" s="59"/>
      <x:c r="AF33" s="59"/>
      <x:c r="AG33" s="59"/>
      <x:c r="AH33" s="59"/>
      <x:c r="AI33" s="59"/>
      <x:c r="AJ33" s="59"/>
      <x:c r="AK33" s="59"/>
      <x:c r="AL33" s="59"/>
      <x:c r="AM33" s="59"/>
      <x:c r="AN33" s="59"/>
    </x:row>
    <x:row r="34">
      <x:c r="A34" s="21" t="str">
        <x:v>MAP 1.1</x:v>
      </x:c>
      <x:c r="B34" s="21" t="str">
        <x:v>MAP</x:v>
      </x:c>
      <x:c r="C34" s="21" t="str">
        <x:v>MAP 1.1: - Maintain awareness of industry, technical, and applicable legal standards. - Examine trustworthiness of AI system design and consider, non-AI solutions - Consider intended AI system design tasks along with unanticipated purposes in collaboration with human factors and socio-technical domain experts. - Define and document the task, purpose, minimum functionality, and benefits of the AI system to inform considerations about whether the utility of the project or its lack of. - Identify whether there are non-AI or non-technology alternatives that will lead to more trustworthy outcomes. - Examine how changes in system performance affect downstream events such as decision-making (e.g: changes in an AI model objective function create what types of impacts in how many candidates do/do not get a job interview).…</x:v>
      </x:c>
      <x:c r="D34" s="21" t="str">
        <x:v>Uploaded NIST AI RMF Playbook spreadsheet</x:v>
      </x:c>
      <x:c r="E34" s="59"/>
      <x:c r="F34" s="59"/>
      <x:c r="G34" s="59"/>
      <x:c r="H34" s="59"/>
      <x:c r="I34" s="59"/>
      <x:c r="J34" s="59"/>
      <x:c r="K34" s="59"/>
      <x:c r="L34" s="59"/>
      <x:c r="M34" s="59"/>
      <x:c r="N34" s="59"/>
      <x:c r="O34" s="59"/>
      <x:c r="P34" s="59"/>
      <x:c r="Q34" s="59"/>
      <x:c r="R34" s="59"/>
      <x:c r="S34" s="59"/>
      <x:c r="T34" s="59"/>
      <x:c r="U34" s="59"/>
      <x:c r="V34" s="59"/>
      <x:c r="W34" s="59"/>
      <x:c r="X34" s="59"/>
      <x:c r="Y34" s="59"/>
      <x:c r="Z34" s="59"/>
      <x:c r="AA34" s="59"/>
      <x:c r="AB34" s="59"/>
      <x:c r="AC34" s="59"/>
      <x:c r="AD34" s="59"/>
      <x:c r="AE34" s="59"/>
      <x:c r="AF34" s="59"/>
      <x:c r="AG34" s="59"/>
      <x:c r="AH34" s="59"/>
      <x:c r="AI34" s="59"/>
      <x:c r="AJ34" s="59"/>
      <x:c r="AK34" s="59"/>
      <x:c r="AL34" s="59"/>
      <x:c r="AM34" s="59"/>
      <x:c r="AN34" s="59"/>
    </x:row>
    <x:row r="35">
      <x:c r="A35" s="21" t="str">
        <x:v>MAP 1.2</x:v>
      </x:c>
      <x:c r="B35" s="21" t="str">
        <x:v>MAP</x:v>
      </x:c>
      <x:c r="C35" s="21" t="str">
        <x:v>MAP 1.2: - Establish interdisciplinary teams to reflect a wide range of skills, competencies, and capabilities for AI efforts. Verify that team membership includes demographic diversity, broad domain expertise, and lived experiences. Document team composition. - Create and empower interdisciplinary expert teams to capture, learn, and engage the interdependencies of deployed AI systems and related terminologies and concepts from disciplines outside of AI practice such as law, sociology, psychology, anthropology, public policy, systems design, and engineering.</x:v>
      </x:c>
      <x:c r="D35" s="21" t="str">
        <x:v>Uploaded NIST AI RMF Playbook spreadsheet</x:v>
      </x:c>
      <x:c r="E35" s="59"/>
      <x:c r="F35" s="59"/>
      <x:c r="G35" s="59"/>
      <x:c r="H35" s="59"/>
      <x:c r="I35" s="59"/>
      <x:c r="J35" s="59"/>
      <x:c r="K35" s="59"/>
      <x:c r="L35" s="59"/>
      <x:c r="M35" s="59"/>
      <x:c r="N35" s="59"/>
      <x:c r="O35" s="59"/>
      <x:c r="P35" s="59"/>
      <x:c r="Q35" s="59"/>
      <x:c r="R35" s="59"/>
      <x:c r="S35" s="59"/>
      <x:c r="T35" s="59"/>
      <x:c r="U35" s="59"/>
      <x:c r="V35" s="59"/>
      <x:c r="W35" s="59"/>
      <x:c r="X35" s="59"/>
      <x:c r="Y35" s="59"/>
      <x:c r="Z35" s="59"/>
      <x:c r="AA35" s="59"/>
      <x:c r="AB35" s="59"/>
      <x:c r="AC35" s="59"/>
      <x:c r="AD35" s="59"/>
      <x:c r="AE35" s="59"/>
      <x:c r="AF35" s="59"/>
      <x:c r="AG35" s="59"/>
      <x:c r="AH35" s="59"/>
      <x:c r="AI35" s="59"/>
      <x:c r="AJ35" s="59"/>
      <x:c r="AK35" s="59"/>
      <x:c r="AL35" s="59"/>
      <x:c r="AM35" s="59"/>
      <x:c r="AN35" s="59"/>
    </x:row>
    <x:row r="36">
      <x:c r="A36" s="21" t="str">
        <x:v>MAP 1.3</x:v>
      </x:c>
      <x:c r="B36" s="21" t="str">
        <x:v>MAP</x:v>
      </x:c>
      <x:c r="C36" s="21" t="str">
        <x:v>MAP 1.3: - Build transparent practices into AI system development processes. - Review the documented system purpose from a socio-technical perspective and in consideration of societal values. - Determine possible misalignment between societal values and stated organizational principles and code of ethics. - Flag latent incentives that may contribute to negative impacts. - Evaluate AI system purpose in consideration of potential risks, societal values, and stated organizational principles.</x:v>
      </x:c>
      <x:c r="D36" s="21" t="str">
        <x:v>Uploaded NIST AI RMF Playbook spreadsheet</x:v>
      </x:c>
      <x:c r="E36" s="59"/>
      <x:c r="F36" s="59"/>
      <x:c r="G36" s="59"/>
      <x:c r="H36" s="59"/>
      <x:c r="I36" s="59"/>
      <x:c r="J36" s="59"/>
      <x:c r="K36" s="59"/>
      <x:c r="L36" s="59"/>
      <x:c r="M36" s="59"/>
      <x:c r="N36" s="59"/>
      <x:c r="O36" s="59"/>
      <x:c r="P36" s="59"/>
      <x:c r="Q36" s="59"/>
      <x:c r="R36" s="59"/>
      <x:c r="S36" s="59"/>
      <x:c r="T36" s="59"/>
      <x:c r="U36" s="59"/>
      <x:c r="V36" s="59"/>
      <x:c r="W36" s="59"/>
      <x:c r="X36" s="59"/>
      <x:c r="Y36" s="59"/>
      <x:c r="Z36" s="59"/>
      <x:c r="AA36" s="59"/>
      <x:c r="AB36" s="59"/>
      <x:c r="AC36" s="59"/>
      <x:c r="AD36" s="59"/>
      <x:c r="AE36" s="59"/>
      <x:c r="AF36" s="59"/>
      <x:c r="AG36" s="59"/>
      <x:c r="AH36" s="59"/>
      <x:c r="AI36" s="59"/>
      <x:c r="AJ36" s="59"/>
      <x:c r="AK36" s="59"/>
      <x:c r="AL36" s="59"/>
      <x:c r="AM36" s="59"/>
      <x:c r="AN36" s="59"/>
    </x:row>
    <x:row r="37">
      <x:c r="A37" s="21" t="str">
        <x:v>MAP 1.4</x:v>
      </x:c>
      <x:c r="B37" s="21" t="str">
        <x:v>MAP</x:v>
      </x:c>
      <x:c r="C37" s="21" t="str">
        <x:v>MAP 1.4: - Document business value or context of business use - Reconcile documented concerns about the system’s purpose within the business context of use compared to the organization’s stated values, mission statements, social responsibility commitments, and AI principles. - Reconsider the design, implementation strategy, or deployment of AI systems with potential impacts that do not reflect institutional values.</x:v>
      </x:c>
      <x:c r="D37" s="21" t="str">
        <x:v>Uploaded NIST AI RMF Playbook spreadsheet</x:v>
      </x:c>
      <x:c r="E37" s="59"/>
      <x:c r="F37" s="59"/>
      <x:c r="G37" s="59"/>
      <x:c r="H37" s="59"/>
      <x:c r="I37" s="59"/>
      <x:c r="J37" s="59"/>
      <x:c r="K37" s="59"/>
      <x:c r="L37" s="59"/>
      <x:c r="M37" s="59"/>
      <x:c r="N37" s="59"/>
      <x:c r="O37" s="59"/>
      <x:c r="P37" s="59"/>
      <x:c r="Q37" s="59"/>
      <x:c r="R37" s="59"/>
      <x:c r="S37" s="59"/>
      <x:c r="T37" s="59"/>
      <x:c r="U37" s="59"/>
      <x:c r="V37" s="59"/>
      <x:c r="W37" s="59"/>
      <x:c r="X37" s="59"/>
      <x:c r="Y37" s="59"/>
      <x:c r="Z37" s="59"/>
      <x:c r="AA37" s="59"/>
      <x:c r="AB37" s="59"/>
      <x:c r="AC37" s="59"/>
      <x:c r="AD37" s="59"/>
      <x:c r="AE37" s="59"/>
      <x:c r="AF37" s="59"/>
      <x:c r="AG37" s="59"/>
      <x:c r="AH37" s="59"/>
      <x:c r="AI37" s="59"/>
      <x:c r="AJ37" s="59"/>
      <x:c r="AK37" s="59"/>
      <x:c r="AL37" s="59"/>
      <x:c r="AM37" s="59"/>
      <x:c r="AN37" s="59"/>
    </x:row>
    <x:row r="38">
      <x:c r="A38" s="21" t="str">
        <x:v>MAP 1.5</x:v>
      </x:c>
      <x:c r="B38" s="21" t="str">
        <x:v>MAP</x:v>
      </x:c>
      <x:c r="C38" s="21" t="str">
        <x:v>MAP 1.5: - Utilize existing regulations and guidelines for risk criteria, tolerance and response established by organizational, domain, discipline, sector, or professional requirements. - Establish risk tolerance levels for AI systems and allocate the appropriate oversight resources to each level. - Establish risk criteria in consideration of different sources of risk, (e.g., financial, operational, safety and wellbeing, business, reputational, and model risks) and different levels of risk (e.g., from negligible to critical). - Identify maximum allowable risk tolerance above which the system will not be deployed, or will need to be prematurely decommissioned, within the contextual or application setting. - Articulate and analyze tradeoffs across trustworthiness characteristics as relevant to proposed context of use…</x:v>
      </x:c>
      <x:c r="D38" s="21" t="str">
        <x:v>Uploaded NIST AI RMF Playbook spreadsheet</x:v>
      </x:c>
      <x:c r="E38" s="59"/>
      <x:c r="F38" s="59"/>
      <x:c r="G38" s="59"/>
      <x:c r="H38" s="59"/>
      <x:c r="I38" s="59"/>
      <x:c r="J38" s="59"/>
      <x:c r="K38" s="59"/>
      <x:c r="L38" s="59"/>
      <x:c r="M38" s="59"/>
      <x:c r="N38" s="59"/>
      <x:c r="O38" s="59"/>
      <x:c r="P38" s="59"/>
      <x:c r="Q38" s="59"/>
      <x:c r="R38" s="59"/>
      <x:c r="S38" s="59"/>
      <x:c r="T38" s="59"/>
      <x:c r="U38" s="59"/>
      <x:c r="V38" s="59"/>
      <x:c r="W38" s="59"/>
      <x:c r="X38" s="59"/>
      <x:c r="Y38" s="59"/>
      <x:c r="Z38" s="59"/>
      <x:c r="AA38" s="59"/>
      <x:c r="AB38" s="59"/>
      <x:c r="AC38" s="59"/>
      <x:c r="AD38" s="59"/>
      <x:c r="AE38" s="59"/>
      <x:c r="AF38" s="59"/>
      <x:c r="AG38" s="59"/>
      <x:c r="AH38" s="59"/>
      <x:c r="AI38" s="59"/>
      <x:c r="AJ38" s="59"/>
      <x:c r="AK38" s="59"/>
      <x:c r="AL38" s="59"/>
      <x:c r="AM38" s="59"/>
      <x:c r="AN38" s="59"/>
    </x:row>
    <x:row r="39">
      <x:c r="A39" s="21" t="str">
        <x:v>MAP 1.6</x:v>
      </x:c>
      <x:c r="B39" s="21" t="str">
        <x:v>MAP</x:v>
      </x:c>
      <x:c r="C39" s="21" t="str">
        <x:v>MAP 1.6: - Proactively incorporate trustworthy characteristics into system requirements. - Establish mechanisms for regular communication and feedback between relevant AI actors and internal or external stakeholders related to system design or deployment decisions. - Develop and standardize practices to assess potential impacts at all stages of the AI lifecycle, and in collaboration with interdisciplinary experts, actors external to the team that developed or deployed the AI system, and potentially impacted communities . - Include potentially impacted groups, communities and external entities (e.g. civil society organizations, research institutes, local community groups, and trade associations) in the formulation of priorities, definitions and outcomes during impact assessment activities.…</x:v>
      </x:c>
      <x:c r="D39" s="21" t="str">
        <x:v>Uploaded NIST AI RMF Playbook spreadsheet</x:v>
      </x:c>
      <x:c r="E39" s="59"/>
      <x:c r="F39" s="59"/>
      <x:c r="G39" s="59"/>
      <x:c r="H39" s="59"/>
      <x:c r="I39" s="59"/>
      <x:c r="J39" s="59"/>
      <x:c r="K39" s="59"/>
      <x:c r="L39" s="59"/>
      <x:c r="M39" s="59"/>
      <x:c r="N39" s="59"/>
      <x:c r="O39" s="59"/>
      <x:c r="P39" s="59"/>
      <x:c r="Q39" s="59"/>
      <x:c r="R39" s="59"/>
      <x:c r="S39" s="59"/>
      <x:c r="T39" s="59"/>
      <x:c r="U39" s="59"/>
      <x:c r="V39" s="59"/>
      <x:c r="W39" s="59"/>
      <x:c r="X39" s="59"/>
      <x:c r="Y39" s="59"/>
      <x:c r="Z39" s="59"/>
      <x:c r="AA39" s="59"/>
      <x:c r="AB39" s="59"/>
      <x:c r="AC39" s="59"/>
      <x:c r="AD39" s="59"/>
      <x:c r="AE39" s="59"/>
      <x:c r="AF39" s="59"/>
      <x:c r="AG39" s="59"/>
      <x:c r="AH39" s="59"/>
      <x:c r="AI39" s="59"/>
      <x:c r="AJ39" s="59"/>
      <x:c r="AK39" s="59"/>
      <x:c r="AL39" s="59"/>
      <x:c r="AM39" s="59"/>
      <x:c r="AN39" s="59"/>
    </x:row>
    <x:row r="40">
      <x:c r="A40" s="21" t="str">
        <x:v>MAP 2.1</x:v>
      </x:c>
      <x:c r="B40" s="21" t="str">
        <x:v>MAP</x:v>
      </x:c>
      <x:c r="C40" s="21" t="str">
        <x:v>MAP 2.1: - Define and document AI system’s existing and potential learning task(s) along with known assumptions and limitations.</x:v>
      </x:c>
      <x:c r="D40" s="21" t="str">
        <x:v>Uploaded NIST AI RMF Playbook spreadsheet</x:v>
      </x:c>
      <x:c r="E40" s="59"/>
      <x:c r="F40" s="59"/>
      <x:c r="G40" s="59"/>
      <x:c r="H40" s="59"/>
      <x:c r="I40" s="59"/>
      <x:c r="J40" s="59"/>
      <x:c r="K40" s="59"/>
      <x:c r="L40" s="59"/>
      <x:c r="M40" s="59"/>
      <x:c r="N40" s="59"/>
      <x:c r="O40" s="59"/>
      <x:c r="P40" s="59"/>
      <x:c r="Q40" s="59"/>
      <x:c r="R40" s="59"/>
      <x:c r="S40" s="59"/>
      <x:c r="T40" s="59"/>
      <x:c r="U40" s="59"/>
      <x:c r="V40" s="59"/>
      <x:c r="W40" s="59"/>
      <x:c r="X40" s="59"/>
      <x:c r="Y40" s="59"/>
      <x:c r="Z40" s="59"/>
      <x:c r="AA40" s="59"/>
      <x:c r="AB40" s="59"/>
      <x:c r="AC40" s="59"/>
      <x:c r="AD40" s="59"/>
      <x:c r="AE40" s="59"/>
      <x:c r="AF40" s="59"/>
      <x:c r="AG40" s="59"/>
      <x:c r="AH40" s="59"/>
      <x:c r="AI40" s="59"/>
      <x:c r="AJ40" s="59"/>
      <x:c r="AK40" s="59"/>
      <x:c r="AL40" s="59"/>
      <x:c r="AM40" s="59"/>
      <x:c r="AN40" s="59"/>
    </x:row>
    <x:row r="41">
      <x:c r="A41" s="21" t="str">
        <x:v>MAP 2.2</x:v>
      </x:c>
      <x:c r="B41" s="21" t="str">
        <x:v>MAP</x:v>
      </x:c>
      <x:c r="C41" s="21" t="str">
        <x:v>MAP 2.2: - Document settings, environments and conditions that are outside the AI system’s intended use. - Design for end user workflows and toolsets, concept of operations, and explainability and interpretability criteria in conjunction with end user(s) and associated qualitative feedback. - Plan and test human-AI configurations under close to real-world conditions and document results. - Follow stakeholder feedback processes to determine whether a system achieved its documented purpose within a given use context, and whether end users can correctly comprehend system outputs or results. - Document dependencies on upstream data and other AI systems, including if the specified system is an upstream dependency for another AI system or other data.…</x:v>
      </x:c>
      <x:c r="D41" s="21" t="str">
        <x:v>Uploaded NIST AI RMF Playbook spreadsheet</x:v>
      </x:c>
      <x:c r="E41" s="59"/>
      <x:c r="F41" s="59"/>
      <x:c r="G41" s="59"/>
      <x:c r="H41" s="59"/>
      <x:c r="I41" s="59"/>
      <x:c r="J41" s="59"/>
      <x:c r="K41" s="59"/>
      <x:c r="L41" s="59"/>
      <x:c r="M41" s="59"/>
      <x:c r="N41" s="59"/>
      <x:c r="O41" s="59"/>
      <x:c r="P41" s="59"/>
      <x:c r="Q41" s="59"/>
      <x:c r="R41" s="59"/>
      <x:c r="S41" s="59"/>
      <x:c r="T41" s="59"/>
      <x:c r="U41" s="59"/>
      <x:c r="V41" s="59"/>
      <x:c r="W41" s="59"/>
      <x:c r="X41" s="59"/>
      <x:c r="Y41" s="59"/>
      <x:c r="Z41" s="59"/>
      <x:c r="AA41" s="59"/>
      <x:c r="AB41" s="59"/>
      <x:c r="AC41" s="59"/>
      <x:c r="AD41" s="59"/>
      <x:c r="AE41" s="59"/>
      <x:c r="AF41" s="59"/>
      <x:c r="AG41" s="59"/>
      <x:c r="AH41" s="59"/>
      <x:c r="AI41" s="59"/>
      <x:c r="AJ41" s="59"/>
      <x:c r="AK41" s="59"/>
      <x:c r="AL41" s="59"/>
      <x:c r="AM41" s="59"/>
      <x:c r="AN41" s="59"/>
    </x:row>
    <x:row r="42">
      <x:c r="A42" s="21" t="str">
        <x:v>MAP 2.3</x:v>
      </x:c>
      <x:c r="B42" s="21" t="str">
        <x:v>MAP</x:v>
      </x:c>
      <x:c r="C42" s="21" t="str">
        <x:v>MAP 2.3: - Identify and document experiment design and statistical techniques that are valid for testing complex socio-technical systems like AI, which involve human factors, emergent properties, and dynamic context(s) of use. - Develop and apply TEVV protocols for models, system and its subcomponents, deployment, and operation. - Demonstrate and document that AI system performance and validation metrics are interpretable and unambiguous for downstream decision making tasks, and take socio-technical factors such as context of use into consideration. - Identify and document assumptions, techniques, and metrics used for testing and evaluation throughout the AI lifecycle including experimental design techniques for data collection, selection, and management practices in accordance with data governance policies established in GOVERN.…</x:v>
      </x:c>
      <x:c r="D42" s="21" t="str">
        <x:v>Uploaded NIST AI RMF Playbook spreadsheet</x:v>
      </x:c>
      <x:c r="E42" s="59"/>
      <x:c r="F42" s="59"/>
      <x:c r="G42" s="59"/>
      <x:c r="H42" s="59"/>
      <x:c r="I42" s="59"/>
      <x:c r="J42" s="59"/>
      <x:c r="K42" s="59"/>
      <x:c r="L42" s="59"/>
      <x:c r="M42" s="59"/>
      <x:c r="N42" s="59"/>
      <x:c r="O42" s="59"/>
      <x:c r="P42" s="59"/>
      <x:c r="Q42" s="59"/>
      <x:c r="R42" s="59"/>
      <x:c r="S42" s="59"/>
      <x:c r="T42" s="59"/>
      <x:c r="U42" s="59"/>
      <x:c r="V42" s="59"/>
      <x:c r="W42" s="59"/>
      <x:c r="X42" s="59"/>
      <x:c r="Y42" s="59"/>
      <x:c r="Z42" s="59"/>
      <x:c r="AA42" s="59"/>
      <x:c r="AB42" s="59"/>
      <x:c r="AC42" s="59"/>
      <x:c r="AD42" s="59"/>
      <x:c r="AE42" s="59"/>
      <x:c r="AF42" s="59"/>
      <x:c r="AG42" s="59"/>
      <x:c r="AH42" s="59"/>
      <x:c r="AI42" s="59"/>
      <x:c r="AJ42" s="59"/>
      <x:c r="AK42" s="59"/>
      <x:c r="AL42" s="59"/>
      <x:c r="AM42" s="59"/>
      <x:c r="AN42" s="59"/>
    </x:row>
    <x:row r="43">
      <x:c r="A43" s="21" t="str">
        <x:v>MAP 3.1</x:v>
      </x:c>
      <x:c r="B43" s="21" t="str">
        <x:v>MAP</x:v>
      </x:c>
      <x:c r="C43" s="21" t="str">
        <x:v>MAP 3.1: - Utilize participatory approaches and engage with system end users to understand and document AI systems’ potential benefits, efficacy and interpretability of AI task output. - Maintain awareness and documentation of the individuals, groups, or communities who make up the system’s internal and external stakeholders. - Verify that appropriate skills and practices are available in-house for carrying out participatory activities such as eliciting, capturing, and synthesizing user, operator and external feedback, and translating it for AI design and development functions. - Establish mechanisms for regular communication and feedback between relevant AI actors and internal or external stakeholders related to system design or deployment decisions. - Consider performance to human baseline metrics or other standard benchmarks.…</x:v>
      </x:c>
      <x:c r="D43" s="21" t="str">
        <x:v>Uploaded NIST AI RMF Playbook spreadsheet</x:v>
      </x:c>
      <x:c r="E43" s="59"/>
      <x:c r="F43" s="59"/>
      <x:c r="G43" s="59"/>
      <x:c r="H43" s="59"/>
      <x:c r="I43" s="59"/>
      <x:c r="J43" s="59"/>
      <x:c r="K43" s="59"/>
      <x:c r="L43" s="59"/>
      <x:c r="M43" s="59"/>
      <x:c r="N43" s="59"/>
      <x:c r="O43" s="59"/>
      <x:c r="P43" s="59"/>
      <x:c r="Q43" s="59"/>
      <x:c r="R43" s="59"/>
      <x:c r="S43" s="59"/>
      <x:c r="T43" s="59"/>
      <x:c r="U43" s="59"/>
      <x:c r="V43" s="59"/>
      <x:c r="W43" s="59"/>
      <x:c r="X43" s="59"/>
      <x:c r="Y43" s="59"/>
      <x:c r="Z43" s="59"/>
      <x:c r="AA43" s="59"/>
      <x:c r="AB43" s="59"/>
      <x:c r="AC43" s="59"/>
      <x:c r="AD43" s="59"/>
      <x:c r="AE43" s="59"/>
      <x:c r="AF43" s="59"/>
      <x:c r="AG43" s="59"/>
      <x:c r="AH43" s="59"/>
      <x:c r="AI43" s="59"/>
      <x:c r="AJ43" s="59"/>
      <x:c r="AK43" s="59"/>
      <x:c r="AL43" s="59"/>
      <x:c r="AM43" s="59"/>
      <x:c r="AN43" s="59"/>
    </x:row>
    <x:row r="44">
      <x:c r="A44" s="21" t="str">
        <x:v>MAP 3.2</x:v>
      </x:c>
      <x:c r="B44" s="21" t="str">
        <x:v>MAP</x:v>
      </x:c>
      <x:c r="C44" s="21" t="str">
        <x:v>MAP 3.2: - Perform context analysis to map potential negative impacts arising from not integrating trustworthiness characteristics. When negative impacts are not direct or obvious, AI actors can engage with stakeholders external to the team that developed or deployed the AI system, and potentially impacted communities, to examine and document: - Who could be harmed? - What could be harmed? - When could harm arise? - How could harm arise? - Identify and implement procedures for regularly evaluating the qualitative and quantitative costs of internal and external AI system failures. Develop actions to prevent, detect, and/or correct potential risks and related impacts. Regularly evaluate failure costs to inform go/no-go deployment decisions throughout the AI system lifecycle.</x:v>
      </x:c>
      <x:c r="D44" s="21" t="str">
        <x:v>Uploaded NIST AI RMF Playbook spreadsheet</x:v>
      </x:c>
      <x:c r="E44" s="59"/>
      <x:c r="F44" s="59"/>
      <x:c r="G44" s="59"/>
      <x:c r="H44" s="59"/>
      <x:c r="I44" s="59"/>
      <x:c r="J44" s="59"/>
      <x:c r="K44" s="59"/>
      <x:c r="L44" s="59"/>
      <x:c r="M44" s="59"/>
      <x:c r="N44" s="59"/>
      <x:c r="O44" s="59"/>
      <x:c r="P44" s="59"/>
      <x:c r="Q44" s="59"/>
      <x:c r="R44" s="59"/>
      <x:c r="S44" s="59"/>
      <x:c r="T44" s="59"/>
      <x:c r="U44" s="59"/>
      <x:c r="V44" s="59"/>
      <x:c r="W44" s="59"/>
      <x:c r="X44" s="59"/>
      <x:c r="Y44" s="59"/>
      <x:c r="Z44" s="59"/>
      <x:c r="AA44" s="59"/>
      <x:c r="AB44" s="59"/>
      <x:c r="AC44" s="59"/>
      <x:c r="AD44" s="59"/>
      <x:c r="AE44" s="59"/>
      <x:c r="AF44" s="59"/>
      <x:c r="AG44" s="59"/>
      <x:c r="AH44" s="59"/>
      <x:c r="AI44" s="59"/>
      <x:c r="AJ44" s="59"/>
      <x:c r="AK44" s="59"/>
      <x:c r="AL44" s="59"/>
      <x:c r="AM44" s="59"/>
      <x:c r="AN44" s="59"/>
    </x:row>
    <x:row r="45">
      <x:c r="A45" s="21" t="str">
        <x:v>MAP 3.3</x:v>
      </x:c>
      <x:c r="B45" s="21" t="str">
        <x:v>MAP</x:v>
      </x:c>
      <x:c r="C45" s="21" t="str">
        <x:v>MAP 3.3: - Consider narrowing contexts for system deployment, including factors related to: - How outcomes may directly or indirectly affect users, groups, communities and the environment. - Length of time the system is deployed in between re-trainings. - Geographical regions in which the system operates. - Dynamics related to community standards or likelihood of system misuse or abuses (either purposeful or unanticipated). - How AI system features and capabilities can be utilized within other applications, or in place of other existing processes. - Engage AI actors from legal and procurement functions when specifying target application scope.</x:v>
      </x:c>
      <x:c r="D45" s="21" t="str">
        <x:v>Uploaded NIST AI RMF Playbook spreadsheet</x:v>
      </x:c>
      <x:c r="E45" s="59"/>
      <x:c r="F45" s="59"/>
      <x:c r="G45" s="59"/>
      <x:c r="H45" s="59"/>
      <x:c r="I45" s="59"/>
      <x:c r="J45" s="59"/>
      <x:c r="K45" s="59"/>
      <x:c r="L45" s="59"/>
      <x:c r="M45" s="59"/>
      <x:c r="N45" s="59"/>
      <x:c r="O45" s="59"/>
      <x:c r="P45" s="59"/>
      <x:c r="Q45" s="59"/>
      <x:c r="R45" s="59"/>
      <x:c r="S45" s="59"/>
      <x:c r="T45" s="59"/>
      <x:c r="U45" s="59"/>
      <x:c r="V45" s="59"/>
      <x:c r="W45" s="59"/>
      <x:c r="X45" s="59"/>
      <x:c r="Y45" s="59"/>
      <x:c r="Z45" s="59"/>
      <x:c r="AA45" s="59"/>
      <x:c r="AB45" s="59"/>
      <x:c r="AC45" s="59"/>
      <x:c r="AD45" s="59"/>
      <x:c r="AE45" s="59"/>
      <x:c r="AF45" s="59"/>
      <x:c r="AG45" s="59"/>
      <x:c r="AH45" s="59"/>
      <x:c r="AI45" s="59"/>
      <x:c r="AJ45" s="59"/>
      <x:c r="AK45" s="59"/>
      <x:c r="AL45" s="59"/>
      <x:c r="AM45" s="59"/>
      <x:c r="AN45" s="59"/>
    </x:row>
    <x:row r="46">
      <x:c r="A46" s="21" t="str">
        <x:v>MAP 3.4</x:v>
      </x:c>
      <x:c r="B46" s="21" t="str">
        <x:v>MAP</x:v>
      </x:c>
      <x:c r="C46" s="21" t="str">
        <x:v>MAP 3.4: - Identify and declare AI system features and capabilities that may affect downstream AI actors’ decision-making in deployment and operational settings for example how system features and capabilities may activate known risks in various human-AI configurations, such as selective adherence. - Identify skills and proficiency requirements for operators, practitioners and other domain experts that interact with AI systems,Develop AI system operational documentation for AI actors in deployed and operational environments, including information about known risks, mitigation criteria, and trustworthy characteristics enumerated in Map-1. - Define and develop training materials for proposed end users, practitioners and operators about AI system use and known limitations.…</x:v>
      </x:c>
      <x:c r="D46" s="21" t="str">
        <x:v>Uploaded NIST AI RMF Playbook spreadsheet</x:v>
      </x:c>
      <x:c r="E46" s="59"/>
      <x:c r="F46" s="59"/>
      <x:c r="G46" s="59"/>
      <x:c r="H46" s="59"/>
      <x:c r="I46" s="59"/>
      <x:c r="J46" s="59"/>
      <x:c r="K46" s="59"/>
      <x:c r="L46" s="59"/>
      <x:c r="M46" s="59"/>
      <x:c r="N46" s="59"/>
      <x:c r="O46" s="59"/>
      <x:c r="P46" s="59"/>
      <x:c r="Q46" s="59"/>
      <x:c r="R46" s="59"/>
      <x:c r="S46" s="59"/>
      <x:c r="T46" s="59"/>
      <x:c r="U46" s="59"/>
      <x:c r="V46" s="59"/>
      <x:c r="W46" s="59"/>
      <x:c r="X46" s="59"/>
      <x:c r="Y46" s="59"/>
      <x:c r="Z46" s="59"/>
      <x:c r="AA46" s="59"/>
      <x:c r="AB46" s="59"/>
      <x:c r="AC46" s="59"/>
      <x:c r="AD46" s="59"/>
      <x:c r="AE46" s="59"/>
      <x:c r="AF46" s="59"/>
      <x:c r="AG46" s="59"/>
      <x:c r="AH46" s="59"/>
      <x:c r="AI46" s="59"/>
      <x:c r="AJ46" s="59"/>
      <x:c r="AK46" s="59"/>
      <x:c r="AL46" s="59"/>
      <x:c r="AM46" s="59"/>
      <x:c r="AN46" s="59"/>
    </x:row>
    <x:row r="47">
      <x:c r="A47" s="21" t="str">
        <x:v>MAP 3.5</x:v>
      </x:c>
      <x:c r="B47" s="21" t="str">
        <x:v>MAP</x:v>
      </x:c>
      <x:c r="C47" s="21" t="str">
        <x:v>MAP 3.5: - Identify and document AI systems’ features and capabilities that require human oversight, in relation to operational and societal contexts, trustworthy characteristics, and risks identified in MAP-1. - Establish practices for AI systems’ oversight in accordance with policies developed in GOVERN-1. - Define and develop training materials for relevant AI Actors about AI system performance, context of use, known limitations and negative impacts, and suggested warning labels. - Include relevant AI Actors in AI system prototyping and testing activities. Conduct testing activities under scenarios similar to deployment conditions. - Evaluate AI system oversight practices for validity and reliability. When oversight practices undergo extensive updates or adaptations, retest, evaluate results, and course correct as necessary.…</x:v>
      </x:c>
      <x:c r="D47" s="21" t="str">
        <x:v>Uploaded NIST AI RMF Playbook spreadsheet</x:v>
      </x:c>
      <x:c r="E47" s="59"/>
      <x:c r="F47" s="59"/>
      <x:c r="G47" s="59"/>
      <x:c r="H47" s="59"/>
      <x:c r="I47" s="59"/>
      <x:c r="J47" s="59"/>
      <x:c r="K47" s="59"/>
      <x:c r="L47" s="59"/>
      <x:c r="M47" s="59"/>
      <x:c r="N47" s="59"/>
      <x:c r="O47" s="59"/>
      <x:c r="P47" s="59"/>
      <x:c r="Q47" s="59"/>
      <x:c r="R47" s="59"/>
      <x:c r="S47" s="59"/>
      <x:c r="T47" s="59"/>
      <x:c r="U47" s="59"/>
      <x:c r="V47" s="59"/>
      <x:c r="W47" s="59"/>
      <x:c r="X47" s="59"/>
      <x:c r="Y47" s="59"/>
      <x:c r="Z47" s="59"/>
      <x:c r="AA47" s="59"/>
      <x:c r="AB47" s="59"/>
      <x:c r="AC47" s="59"/>
      <x:c r="AD47" s="59"/>
      <x:c r="AE47" s="59"/>
      <x:c r="AF47" s="59"/>
      <x:c r="AG47" s="59"/>
      <x:c r="AH47" s="59"/>
      <x:c r="AI47" s="59"/>
      <x:c r="AJ47" s="59"/>
      <x:c r="AK47" s="59"/>
      <x:c r="AL47" s="59"/>
      <x:c r="AM47" s="59"/>
      <x:c r="AN47" s="59"/>
    </x:row>
    <x:row r="48">
      <x:c r="A48" s="21" t="str">
        <x:v>MAP 4.1</x:v>
      </x:c>
      <x:c r="B48" s="21" t="str">
        <x:v>MAP</x:v>
      </x:c>
      <x:c r="C48" s="21" t="str">
        <x:v>MAP 4.1: - Review audit reports, testing results, product roadmaps, warranties, terms of service, end user license agreements, contracts, and other documentation related to third-party entities to assist in value assessment and risk management activities. - Review third-party software release schedules and software change management plans (hotfixes, patches, updates, forward- and backward- compatibility guarantees) for irregularities that may contribute to AI system risks. - Inventory third-party material (hardware, open-source software, foundation models, open source data, proprietary software, proprietary data, etc.) required for system implementation and maintenance. - Review redundancies related to third-party technology and personnel to assess potential risks due to lack of adequate support.</x:v>
      </x:c>
      <x:c r="D48" s="21" t="str">
        <x:v>Uploaded NIST AI RMF Playbook spreadsheet</x:v>
      </x:c>
      <x:c r="E48" s="59"/>
      <x:c r="F48" s="59"/>
      <x:c r="G48" s="59"/>
      <x:c r="H48" s="59"/>
      <x:c r="I48" s="59"/>
      <x:c r="J48" s="59"/>
      <x:c r="K48" s="59"/>
      <x:c r="L48" s="59"/>
      <x:c r="M48" s="59"/>
      <x:c r="N48" s="59"/>
      <x:c r="O48" s="59"/>
      <x:c r="P48" s="59"/>
      <x:c r="Q48" s="59"/>
      <x:c r="R48" s="59"/>
      <x:c r="S48" s="59"/>
      <x:c r="T48" s="59"/>
      <x:c r="U48" s="59"/>
      <x:c r="V48" s="59"/>
      <x:c r="W48" s="59"/>
      <x:c r="X48" s="59"/>
      <x:c r="Y48" s="59"/>
      <x:c r="Z48" s="59"/>
      <x:c r="AA48" s="59"/>
      <x:c r="AB48" s="59"/>
      <x:c r="AC48" s="59"/>
      <x:c r="AD48" s="59"/>
      <x:c r="AE48" s="59"/>
      <x:c r="AF48" s="59"/>
      <x:c r="AG48" s="59"/>
      <x:c r="AH48" s="59"/>
      <x:c r="AI48" s="59"/>
      <x:c r="AJ48" s="59"/>
      <x:c r="AK48" s="59"/>
      <x:c r="AL48" s="59"/>
      <x:c r="AM48" s="59"/>
      <x:c r="AN48" s="59"/>
    </x:row>
    <x:row r="49">
      <x:c r="A49" s="21" t="str">
        <x:v>MAP 4.2</x:v>
      </x:c>
      <x:c r="B49" s="21" t="str">
        <x:v>MAP</x:v>
      </x:c>
      <x:c r="C49" s="21" t="str">
        <x:v>MAP 4.2: - Track third-parties preventing or hampering risk-mapping as indications of increased risk. - Supply resources such as model documentation templates and software safelists to assist in third-party technology inventory and approval activities. - Review third-party material (including data and models) for risks related to bias, data privacy, and security vulnerabilities. - Apply traditional technology risk controls – such as procurement, security, and data privacy controls – to all acquired third-party technologies.</x:v>
      </x:c>
      <x:c r="D49" s="21" t="str">
        <x:v>Uploaded NIST AI RMF Playbook spreadsheet</x:v>
      </x:c>
      <x:c r="E49" s="59"/>
      <x:c r="F49" s="59"/>
      <x:c r="G49" s="59"/>
      <x:c r="H49" s="59"/>
      <x:c r="I49" s="59"/>
      <x:c r="J49" s="59"/>
      <x:c r="K49" s="59"/>
      <x:c r="L49" s="59"/>
      <x:c r="M49" s="59"/>
      <x:c r="N49" s="59"/>
      <x:c r="O49" s="59"/>
      <x:c r="P49" s="59"/>
      <x:c r="Q49" s="59"/>
      <x:c r="R49" s="59"/>
      <x:c r="S49" s="59"/>
      <x:c r="T49" s="59"/>
      <x:c r="U49" s="59"/>
      <x:c r="V49" s="59"/>
      <x:c r="W49" s="59"/>
      <x:c r="X49" s="59"/>
      <x:c r="Y49" s="59"/>
      <x:c r="Z49" s="59"/>
      <x:c r="AA49" s="59"/>
      <x:c r="AB49" s="59"/>
      <x:c r="AC49" s="59"/>
      <x:c r="AD49" s="59"/>
      <x:c r="AE49" s="59"/>
      <x:c r="AF49" s="59"/>
      <x:c r="AG49" s="59"/>
      <x:c r="AH49" s="59"/>
      <x:c r="AI49" s="59"/>
      <x:c r="AJ49" s="59"/>
      <x:c r="AK49" s="59"/>
      <x:c r="AL49" s="59"/>
      <x:c r="AM49" s="59"/>
      <x:c r="AN49" s="59"/>
    </x:row>
    <x:row r="50">
      <x:c r="A50" s="21" t="str">
        <x:v>MAP 5.1</x:v>
      </x:c>
      <x:c r="B50" s="21" t="str">
        <x:v>MAP</x:v>
      </x:c>
      <x:c r="C50" s="21" t="str">
        <x:v>MAP 5.1: - Establish assessment scales for measuring AI systems’ impact. Scales may be qualitative, such as red-amber-green (RAG), or may entail simulations or econometric approaches. Document and apply scales uniformly across the organization’s AI portfolio. - Apply TEVV regularly at key stages in the AI lifecycle, connected to system impacts and frequency of system updates. - Identify and document likelihood and magnitude of system benefits and negative impacts in relation to trustworthiness characteristics. - Establish processes for red teaming to identify and connect system limitations to AI lifecycle stage(s) and potential downstream impacts</x:v>
      </x:c>
      <x:c r="D50" s="21" t="str">
        <x:v>Uploaded NIST AI RMF Playbook spreadsheet</x:v>
      </x:c>
      <x:c r="E50" s="59"/>
      <x:c r="F50" s="59"/>
      <x:c r="G50" s="59"/>
      <x:c r="H50" s="59"/>
      <x:c r="I50" s="59"/>
      <x:c r="J50" s="59"/>
      <x:c r="K50" s="59"/>
      <x:c r="L50" s="59"/>
      <x:c r="M50" s="59"/>
      <x:c r="N50" s="59"/>
      <x:c r="O50" s="59"/>
      <x:c r="P50" s="59"/>
      <x:c r="Q50" s="59"/>
      <x:c r="R50" s="59"/>
      <x:c r="S50" s="59"/>
      <x:c r="T50" s="59"/>
      <x:c r="U50" s="59"/>
      <x:c r="V50" s="59"/>
      <x:c r="W50" s="59"/>
      <x:c r="X50" s="59"/>
      <x:c r="Y50" s="59"/>
      <x:c r="Z50" s="59"/>
      <x:c r="AA50" s="59"/>
      <x:c r="AB50" s="59"/>
      <x:c r="AC50" s="59"/>
      <x:c r="AD50" s="59"/>
      <x:c r="AE50" s="59"/>
      <x:c r="AF50" s="59"/>
      <x:c r="AG50" s="59"/>
      <x:c r="AH50" s="59"/>
      <x:c r="AI50" s="59"/>
      <x:c r="AJ50" s="59"/>
      <x:c r="AK50" s="59"/>
      <x:c r="AL50" s="59"/>
      <x:c r="AM50" s="59"/>
      <x:c r="AN50" s="59"/>
    </x:row>
    <x:row r="51">
      <x:c r="A51" s="21" t="str">
        <x:v>MAP 5.2</x:v>
      </x:c>
      <x:c r="B51" s="21" t="str">
        <x:v>MAP</x:v>
      </x:c>
      <x:c r="C51" s="21" t="str">
        <x:v>MAP 5.2: - Establish and document stakeholder engagement processes at the earliest stages of system formulation to identify potential impacts from the AI system on individuals, groups, communities, organizations, and society. - Employ methods such as value sensitive design (VSD) to identify misalignments between organizational and societal values, and system implementation and impact. - Identify approaches to engage, capture, and incorporate input from system end users and other key stakeholders to assist with continuous monitoring for potential impacts and emergent risks. - Incorporate quantitative, qualitative, and mixed methods in the assessment and documentation of potential impacts to individuals, groups, communities, organizations, and society.…</x:v>
      </x:c>
      <x:c r="D51" s="21" t="str">
        <x:v>Uploaded NIST AI RMF Playbook spreadsheet</x:v>
      </x:c>
      <x:c r="E51" s="59"/>
      <x:c r="F51" s="59"/>
      <x:c r="G51" s="59"/>
      <x:c r="H51" s="59"/>
      <x:c r="I51" s="59"/>
      <x:c r="J51" s="59"/>
      <x:c r="K51" s="59"/>
      <x:c r="L51" s="59"/>
      <x:c r="M51" s="59"/>
      <x:c r="N51" s="59"/>
      <x:c r="O51" s="59"/>
      <x:c r="P51" s="59"/>
      <x:c r="Q51" s="59"/>
      <x:c r="R51" s="59"/>
      <x:c r="S51" s="59"/>
      <x:c r="T51" s="59"/>
      <x:c r="U51" s="59"/>
      <x:c r="V51" s="59"/>
      <x:c r="W51" s="59"/>
      <x:c r="X51" s="59"/>
      <x:c r="Y51" s="59"/>
      <x:c r="Z51" s="59"/>
      <x:c r="AA51" s="59"/>
      <x:c r="AB51" s="59"/>
      <x:c r="AC51" s="59"/>
      <x:c r="AD51" s="59"/>
      <x:c r="AE51" s="59"/>
      <x:c r="AF51" s="59"/>
      <x:c r="AG51" s="59"/>
      <x:c r="AH51" s="59"/>
      <x:c r="AI51" s="59"/>
      <x:c r="AJ51" s="59"/>
      <x:c r="AK51" s="59"/>
      <x:c r="AL51" s="59"/>
      <x:c r="AM51" s="59"/>
      <x:c r="AN51" s="59"/>
    </x:row>
    <x:row r="52">
      <x:c r="A52" s="21" t="str">
        <x:v>MEASURE 1.1</x:v>
      </x:c>
      <x:c r="B52" s="21" t="str">
        <x:v>MEASURE</x:v>
      </x:c>
      <x:c r="C52" s="21" t="str">
        <x:v>MEASURE 1.1: - Establish approaches for detecting, tracking and measuring known risks, errors, incidents or negative impacts. - Identify testing procedures and metrics to demonstrate whether or not the system is fit for purpose and functioning as claimed. - Identify testing procedures and metrics to demonstrate AI system trustworthiness - Define acceptable limits for system performance (e.g. distribution of errors), and include course correction suggestions if/when the system performs beyond acceptable limits. - Define metrics for, and regularly assess, AI actor competency for effective system operation, - Identify transparency metrics to assess whether stakeholders have access to necessary information about system design, development, deployment, use, and evaluation.…</x:v>
      </x:c>
      <x:c r="D52" s="21" t="str">
        <x:v>Uploaded NIST AI RMF Playbook spreadsheet</x:v>
      </x:c>
      <x:c r="E52" s="59"/>
      <x:c r="F52" s="59"/>
      <x:c r="G52" s="59"/>
      <x:c r="H52" s="59"/>
      <x:c r="I52" s="59"/>
      <x:c r="J52" s="59"/>
      <x:c r="K52" s="59"/>
      <x:c r="L52" s="59"/>
      <x:c r="M52" s="59"/>
      <x:c r="N52" s="59"/>
      <x:c r="O52" s="59"/>
      <x:c r="P52" s="59"/>
      <x:c r="Q52" s="59"/>
      <x:c r="R52" s="59"/>
      <x:c r="S52" s="59"/>
      <x:c r="T52" s="59"/>
      <x:c r="U52" s="59"/>
      <x:c r="V52" s="59"/>
      <x:c r="W52" s="59"/>
      <x:c r="X52" s="59"/>
      <x:c r="Y52" s="59"/>
      <x:c r="Z52" s="59"/>
      <x:c r="AA52" s="59"/>
      <x:c r="AB52" s="59"/>
      <x:c r="AC52" s="59"/>
      <x:c r="AD52" s="59"/>
      <x:c r="AE52" s="59"/>
      <x:c r="AF52" s="59"/>
      <x:c r="AG52" s="59"/>
      <x:c r="AH52" s="59"/>
      <x:c r="AI52" s="59"/>
      <x:c r="AJ52" s="59"/>
      <x:c r="AK52" s="59"/>
      <x:c r="AL52" s="59"/>
      <x:c r="AM52" s="59"/>
      <x:c r="AN52" s="59"/>
    </x:row>
    <x:row r="53">
      <x:c r="A53" s="21" t="str">
        <x:v>MEASURE 1.2</x:v>
      </x:c>
      <x:c r="B53" s="21" t="str">
        <x:v>MEASURE</x:v>
      </x:c>
      <x:c r="C53" s="21" t="str">
        <x:v>MEASURE 1.2: - Assess external validity of all measurements (e.g., the degree to which measurements taken in one context can generalize to other contexts). - Assess effectiveness of existing metrics and controls on a regular basis throughout the AI system lifecycle. - Document reports of errors, incidents and negative impacts and assess sufficiency and efficacy of existing metrics for repairs, and upgrades - Develop new metrics when existing metrics are insufficient or ineffective for implementing repairs and upgrades. - Develop and utilize metrics to monitor, characterize and track external inputs, including any third-party tools. - Determine frequency and scope for sharing metrics and related information with stakeholders and impacted communities.…</x:v>
      </x:c>
      <x:c r="D53" s="21" t="str">
        <x:v>Uploaded NIST AI RMF Playbook spreadsheet</x:v>
      </x:c>
      <x:c r="E53" s="59"/>
      <x:c r="F53" s="59"/>
      <x:c r="G53" s="59"/>
      <x:c r="H53" s="59"/>
      <x:c r="I53" s="59"/>
      <x:c r="J53" s="59"/>
      <x:c r="K53" s="59"/>
      <x:c r="L53" s="59"/>
      <x:c r="M53" s="59"/>
      <x:c r="N53" s="59"/>
      <x:c r="O53" s="59"/>
      <x:c r="P53" s="59"/>
      <x:c r="Q53" s="59"/>
      <x:c r="R53" s="59"/>
      <x:c r="S53" s="59"/>
      <x:c r="T53" s="59"/>
      <x:c r="U53" s="59"/>
      <x:c r="V53" s="59"/>
      <x:c r="W53" s="59"/>
      <x:c r="X53" s="59"/>
      <x:c r="Y53" s="59"/>
      <x:c r="Z53" s="59"/>
      <x:c r="AA53" s="59"/>
      <x:c r="AB53" s="59"/>
      <x:c r="AC53" s="59"/>
      <x:c r="AD53" s="59"/>
      <x:c r="AE53" s="59"/>
      <x:c r="AF53" s="59"/>
      <x:c r="AG53" s="59"/>
      <x:c r="AH53" s="59"/>
      <x:c r="AI53" s="59"/>
      <x:c r="AJ53" s="59"/>
      <x:c r="AK53" s="59"/>
      <x:c r="AL53" s="59"/>
      <x:c r="AM53" s="59"/>
      <x:c r="AN53" s="59"/>
    </x:row>
    <x:row r="54">
      <x:c r="A54" s="21" t="str">
        <x:v>MEASURE 1.3</x:v>
      </x:c>
      <x:c r="B54" s="21" t="str">
        <x:v>MEASURE</x:v>
      </x:c>
      <x:c r="C54" s="21" t="str">
        <x:v>MEASURE 1.3: - Evaluate TEVV processes regarding incentives to identify risks and impacts. - Utilize separate testing teams established in the Govern function (2.1 and 4.1) to enable independent decisions and course-correction for AI systems. Track processes and measure and document change in performance. - Plan and evaluate AI system prototypes with end user populations early and continuously in the AI lifecycle. Document test outcomes and course correct. - Assess independence and stature of TEVV and oversight AI actors, to ensure they have the required levels of independence and resources to perform assurance, compliance, and feedback tasks effectively - Evaluate interdisciplinary and demographically diverse internal team established in Map 1.2…</x:v>
      </x:c>
      <x:c r="D54" s="21" t="str">
        <x:v>Uploaded NIST AI RMF Playbook spreadsheet</x:v>
      </x:c>
      <x:c r="E54" s="59"/>
      <x:c r="F54" s="59"/>
      <x:c r="G54" s="59"/>
      <x:c r="H54" s="59"/>
      <x:c r="I54" s="59"/>
      <x:c r="J54" s="59"/>
      <x:c r="K54" s="59"/>
      <x:c r="L54" s="59"/>
      <x:c r="M54" s="59"/>
      <x:c r="N54" s="59"/>
      <x:c r="O54" s="59"/>
      <x:c r="P54" s="59"/>
      <x:c r="Q54" s="59"/>
      <x:c r="R54" s="59"/>
      <x:c r="S54" s="59"/>
      <x:c r="T54" s="59"/>
      <x:c r="U54" s="59"/>
      <x:c r="V54" s="59"/>
      <x:c r="W54" s="59"/>
      <x:c r="X54" s="59"/>
      <x:c r="Y54" s="59"/>
      <x:c r="Z54" s="59"/>
      <x:c r="AA54" s="59"/>
      <x:c r="AB54" s="59"/>
      <x:c r="AC54" s="59"/>
      <x:c r="AD54" s="59"/>
      <x:c r="AE54" s="59"/>
      <x:c r="AF54" s="59"/>
      <x:c r="AG54" s="59"/>
      <x:c r="AH54" s="59"/>
      <x:c r="AI54" s="59"/>
      <x:c r="AJ54" s="59"/>
      <x:c r="AK54" s="59"/>
      <x:c r="AL54" s="59"/>
      <x:c r="AM54" s="59"/>
      <x:c r="AN54" s="59"/>
    </x:row>
    <x:row r="55">
      <x:c r="A55" s="21" t="str">
        <x:v>MEASURE 2.1</x:v>
      </x:c>
      <x:c r="B55" s="21" t="str">
        <x:v>MEASURE</x:v>
      </x:c>
      <x:c r="C55" s="21" t="str">
        <x:v>MEASURE 2.1: - Leverage existing industry best practices for transparency and documentation of all possible aspects of measurements. Examples include: data sheet for data sets, model cards - Regularly assess the effectiveness of tools used to document measurement approaches, test sets, metrics, processes and materials used - Update the tools as needed</x:v>
      </x:c>
      <x:c r="D55" s="21" t="str">
        <x:v>Uploaded NIST AI RMF Playbook spreadsheet</x:v>
      </x:c>
      <x:c r="E55" s="59"/>
      <x:c r="F55" s="59"/>
      <x:c r="G55" s="59"/>
      <x:c r="H55" s="59"/>
      <x:c r="I55" s="59"/>
      <x:c r="J55" s="59"/>
      <x:c r="K55" s="59"/>
      <x:c r="L55" s="59"/>
      <x:c r="M55" s="59"/>
      <x:c r="N55" s="59"/>
      <x:c r="O55" s="59"/>
      <x:c r="P55" s="59"/>
      <x:c r="Q55" s="59"/>
      <x:c r="R55" s="59"/>
      <x:c r="S55" s="59"/>
      <x:c r="T55" s="59"/>
      <x:c r="U55" s="59"/>
      <x:c r="V55" s="59"/>
      <x:c r="W55" s="59"/>
      <x:c r="X55" s="59"/>
      <x:c r="Y55" s="59"/>
      <x:c r="Z55" s="59"/>
      <x:c r="AA55" s="59"/>
      <x:c r="AB55" s="59"/>
      <x:c r="AC55" s="59"/>
      <x:c r="AD55" s="59"/>
      <x:c r="AE55" s="59"/>
      <x:c r="AF55" s="59"/>
      <x:c r="AG55" s="59"/>
      <x:c r="AH55" s="59"/>
      <x:c r="AI55" s="59"/>
      <x:c r="AJ55" s="59"/>
      <x:c r="AK55" s="59"/>
      <x:c r="AL55" s="59"/>
      <x:c r="AM55" s="59"/>
      <x:c r="AN55" s="59"/>
    </x:row>
    <x:row r="56">
      <x:c r="A56" s="21" t="str">
        <x:v>MEASURE 2.2</x:v>
      </x:c>
      <x:c r="B56" s="21" t="str">
        <x:v>MEASURE</x:v>
      </x:c>
      <x:c r="C56" s="21" t="str">
        <x:v>MEASURE 2.2: - Follow human subjects research requirements as established by organizational and disciplinary requirements, including informed consent and compensation, during dataset collection activities. - Analyze differences between intended and actual population of users or data subjects, including likelihood for errors, incidents or negative impacts. - Utilize disaggregated evaluation methods (e.g. by race, age, gender, ethnicity, ability, region) to improve AI system performance when deployed in real world settings. - Establish thresholds and alert procedures for dataset representativeness within the context of use. - Construct datasets in close collaboration with experts with knowledge of the context of use. - Follow intellectual property and privacy rights related to datasets and their use, including for the subjects represented in the data. - Evaluate data representativeness through…</x:v>
      </x:c>
      <x:c r="D56" s="21" t="str">
        <x:v>Uploaded NIST AI RMF Playbook spreadsheet</x:v>
      </x:c>
      <x:c r="E56" s="59"/>
      <x:c r="F56" s="59"/>
      <x:c r="G56" s="59"/>
      <x:c r="H56" s="59"/>
      <x:c r="I56" s="59"/>
      <x:c r="J56" s="59"/>
      <x:c r="K56" s="59"/>
      <x:c r="L56" s="59"/>
      <x:c r="M56" s="59"/>
      <x:c r="N56" s="59"/>
      <x:c r="O56" s="59"/>
      <x:c r="P56" s="59"/>
      <x:c r="Q56" s="59"/>
      <x:c r="R56" s="59"/>
      <x:c r="S56" s="59"/>
      <x:c r="T56" s="59"/>
      <x:c r="U56" s="59"/>
      <x:c r="V56" s="59"/>
      <x:c r="W56" s="59"/>
      <x:c r="X56" s="59"/>
      <x:c r="Y56" s="59"/>
      <x:c r="Z56" s="59"/>
      <x:c r="AA56" s="59"/>
      <x:c r="AB56" s="59"/>
      <x:c r="AC56" s="59"/>
      <x:c r="AD56" s="59"/>
      <x:c r="AE56" s="59"/>
      <x:c r="AF56" s="59"/>
      <x:c r="AG56" s="59"/>
      <x:c r="AH56" s="59"/>
      <x:c r="AI56" s="59"/>
      <x:c r="AJ56" s="59"/>
      <x:c r="AK56" s="59"/>
      <x:c r="AL56" s="59"/>
      <x:c r="AM56" s="59"/>
      <x:c r="AN56" s="59"/>
    </x:row>
    <x:row r="57">
      <x:c r="A57" s="21" t="str">
        <x:v>MEASURE 2.3</x:v>
      </x:c>
      <x:c r="B57" s="21" t="str">
        <x:v>MEASURE</x:v>
      </x:c>
      <x:c r="C57" s="21" t="str">
        <x:v>MEASURE 2.3: - Conduct regular and sustained engagement with potentially impacted communities - Maintain a demographically diverse and multidisciplinary and collaborative internal team - Regularly test and evaluate systems in non-optimized conditions, and in collaboration with AI actors in user interaction and user experience (UI/UX) roles. - Evaluate feedback from stakeholder engagement activities, in collaboration with human factors and socio-technical experts. - Collaborate with socio-technical, human factors, and UI/UX experts to identify notable characteristics in context of use that can be translated into system testing scenarios. - Measure AI systems prior to deployment in conditions similar to expected scenarios.…</x:v>
      </x:c>
      <x:c r="D57" s="21" t="str">
        <x:v>Uploaded NIST AI RMF Playbook spreadsheet</x:v>
      </x:c>
      <x:c r="E57" s="59"/>
      <x:c r="F57" s="59"/>
      <x:c r="G57" s="59"/>
      <x:c r="H57" s="59"/>
      <x:c r="I57" s="59"/>
      <x:c r="J57" s="59"/>
      <x:c r="K57" s="59"/>
      <x:c r="L57" s="59"/>
      <x:c r="M57" s="59"/>
      <x:c r="N57" s="59"/>
      <x:c r="O57" s="59"/>
      <x:c r="P57" s="59"/>
      <x:c r="Q57" s="59"/>
      <x:c r="R57" s="59"/>
      <x:c r="S57" s="59"/>
      <x:c r="T57" s="59"/>
      <x:c r="U57" s="59"/>
      <x:c r="V57" s="59"/>
      <x:c r="W57" s="59"/>
      <x:c r="X57" s="59"/>
      <x:c r="Y57" s="59"/>
      <x:c r="Z57" s="59"/>
      <x:c r="AA57" s="59"/>
      <x:c r="AB57" s="59"/>
      <x:c r="AC57" s="59"/>
      <x:c r="AD57" s="59"/>
      <x:c r="AE57" s="59"/>
      <x:c r="AF57" s="59"/>
      <x:c r="AG57" s="59"/>
      <x:c r="AH57" s="59"/>
      <x:c r="AI57" s="59"/>
      <x:c r="AJ57" s="59"/>
      <x:c r="AK57" s="59"/>
      <x:c r="AL57" s="59"/>
      <x:c r="AM57" s="59"/>
      <x:c r="AN57" s="59"/>
    </x:row>
    <x:row r="58">
      <x:c r="A58" s="21" t="str">
        <x:v>MEASURE 2.4</x:v>
      </x:c>
      <x:c r="B58" s="21" t="str">
        <x:v>MEASURE</x:v>
      </x:c>
      <x:c r="C58" s="21" t="str">
        <x:v>MEASURE 2.4: - Monitor and document how metrics and performance indicators observed in production differ from the same metrics collected during pre-deployment testing. When differences are observed, consider error propagation and feedback loop risks. - Utilize hypothesis testing or human domain expertise to measure monitored distribution differences in new input or output data relative to test environments - Monitor for anomalies using approaches such as control limits, confidence intervals, integrity constraints and ML algorithms. When anomalies are observed, consider error propagation and feedback loop risks. - Verify alerts are in place for when distributions in new input data or generated predictions observed in production differ from pre-deployment test outcomes, or when anomalies are detected.…</x:v>
      </x:c>
      <x:c r="D58" s="21" t="str">
        <x:v>Uploaded NIST AI RMF Playbook spreadsheet</x:v>
      </x:c>
      <x:c r="E58" s="59"/>
      <x:c r="F58" s="59"/>
      <x:c r="G58" s="59"/>
      <x:c r="H58" s="59"/>
      <x:c r="I58" s="59"/>
      <x:c r="J58" s="59"/>
      <x:c r="K58" s="59"/>
      <x:c r="L58" s="59"/>
      <x:c r="M58" s="59"/>
      <x:c r="N58" s="59"/>
      <x:c r="O58" s="59"/>
      <x:c r="P58" s="59"/>
      <x:c r="Q58" s="59"/>
      <x:c r="R58" s="59"/>
      <x:c r="S58" s="59"/>
      <x:c r="T58" s="59"/>
      <x:c r="U58" s="59"/>
      <x:c r="V58" s="59"/>
      <x:c r="W58" s="59"/>
      <x:c r="X58" s="59"/>
      <x:c r="Y58" s="59"/>
      <x:c r="Z58" s="59"/>
      <x:c r="AA58" s="59"/>
      <x:c r="AB58" s="59"/>
      <x:c r="AC58" s="59"/>
      <x:c r="AD58" s="59"/>
      <x:c r="AE58" s="59"/>
      <x:c r="AF58" s="59"/>
      <x:c r="AG58" s="59"/>
      <x:c r="AH58" s="59"/>
      <x:c r="AI58" s="59"/>
      <x:c r="AJ58" s="59"/>
      <x:c r="AK58" s="59"/>
      <x:c r="AL58" s="59"/>
      <x:c r="AM58" s="59"/>
      <x:c r="AN58" s="59"/>
    </x:row>
    <x:row r="59">
      <x:c r="A59" s="21" t="str">
        <x:v>MEASURE 2.5</x:v>
      </x:c>
      <x:c r="B59" s="21" t="str">
        <x:v>MEASURE</x:v>
      </x:c>
      <x:c r="C59" s="21" t="str">
        <x:v>MEASURE 2.5: - Define the operating conditions and socio-technical context under which the AI system will be validated. - Define and document processes to establish the system’s operational conditions and limits. - Establish or identify, and document approaches to measure forms of validity, including: - construct validity (the test is measuring the concept it claims to measure) - internal validity (relationship being tested is not influenced by other factors or variables) - external validity (results are generalizable beyond the training condition) - the use of experimental design principles and statistical analyses and modeling. - Assess and document system variance. Standard approaches include confidence intervals, standard deviation, standard error, bootstrapping, or cross-validation. - Establish or identify, and document robustness measures.…</x:v>
      </x:c>
      <x:c r="D59" s="21" t="str">
        <x:v>Uploaded NIST AI RMF Playbook spreadsheet</x:v>
      </x:c>
      <x:c r="E59" s="59"/>
      <x:c r="F59" s="59"/>
      <x:c r="G59" s="59"/>
      <x:c r="H59" s="59"/>
      <x:c r="I59" s="59"/>
      <x:c r="J59" s="59"/>
      <x:c r="K59" s="59"/>
      <x:c r="L59" s="59"/>
      <x:c r="M59" s="59"/>
      <x:c r="N59" s="59"/>
      <x:c r="O59" s="59"/>
      <x:c r="P59" s="59"/>
      <x:c r="Q59" s="59"/>
      <x:c r="R59" s="59"/>
      <x:c r="S59" s="59"/>
      <x:c r="T59" s="59"/>
      <x:c r="U59" s="59"/>
      <x:c r="V59" s="59"/>
      <x:c r="W59" s="59"/>
      <x:c r="X59" s="59"/>
      <x:c r="Y59" s="59"/>
      <x:c r="Z59" s="59"/>
      <x:c r="AA59" s="59"/>
      <x:c r="AB59" s="59"/>
      <x:c r="AC59" s="59"/>
      <x:c r="AD59" s="59"/>
      <x:c r="AE59" s="59"/>
      <x:c r="AF59" s="59"/>
      <x:c r="AG59" s="59"/>
      <x:c r="AH59" s="59"/>
      <x:c r="AI59" s="59"/>
      <x:c r="AJ59" s="59"/>
      <x:c r="AK59" s="59"/>
      <x:c r="AL59" s="59"/>
      <x:c r="AM59" s="59"/>
      <x:c r="AN59" s="59"/>
    </x:row>
    <x:row r="60">
      <x:c r="A60" s="21" t="str">
        <x:v>MEASURE 2.6</x:v>
      </x:c>
      <x:c r="B60" s="21" t="str">
        <x:v>MEASURE</x:v>
      </x:c>
      <x:c r="C60" s="21" t="str">
        <x:v>MEASURE 2.6: - Thoroughly measure system performance in development and deployment contexts, and under stress conditions. - Employ test data assessments and simulations before proceeding to production testing. Track multiple performance quality and error metrics. - Stress-test system performance under likely scenarios (e.g., concept drift, high load) and beyond known limitations, in consultation with domain experts. - Test the system under conditions similar to those related to past known incidents or near-misses and measure system performance and safety characteristics - Apply chaos engineering approaches to test systems in extreme conditions and gauge unexpected responses. - Document the range of conditions under which the system has been tested and demonstrated to fail safely. - Measure and monitor system performance in real-time to enable rapid response when AI system incidents are detected.…</x:v>
      </x:c>
      <x:c r="D60" s="21" t="str">
        <x:v>Uploaded NIST AI RMF Playbook spreadsheet</x:v>
      </x:c>
      <x:c r="E60" s="59"/>
      <x:c r="F60" s="59"/>
      <x:c r="G60" s="59"/>
      <x:c r="H60" s="59"/>
      <x:c r="I60" s="59"/>
      <x:c r="J60" s="59"/>
      <x:c r="K60" s="59"/>
      <x:c r="L60" s="59"/>
      <x:c r="M60" s="59"/>
      <x:c r="N60" s="59"/>
      <x:c r="O60" s="59"/>
      <x:c r="P60" s="59"/>
      <x:c r="Q60" s="59"/>
      <x:c r="R60" s="59"/>
      <x:c r="S60" s="59"/>
      <x:c r="T60" s="59"/>
      <x:c r="U60" s="59"/>
      <x:c r="V60" s="59"/>
      <x:c r="W60" s="59"/>
      <x:c r="X60" s="59"/>
      <x:c r="Y60" s="59"/>
      <x:c r="Z60" s="59"/>
      <x:c r="AA60" s="59"/>
      <x:c r="AB60" s="59"/>
      <x:c r="AC60" s="59"/>
      <x:c r="AD60" s="59"/>
      <x:c r="AE60" s="59"/>
      <x:c r="AF60" s="59"/>
      <x:c r="AG60" s="59"/>
      <x:c r="AH60" s="59"/>
      <x:c r="AI60" s="59"/>
      <x:c r="AJ60" s="59"/>
      <x:c r="AK60" s="59"/>
      <x:c r="AL60" s="59"/>
      <x:c r="AM60" s="59"/>
      <x:c r="AN60" s="59"/>
    </x:row>
    <x:row r="61">
      <x:c r="A61" s="21" t="str">
        <x:v>MEASURE 2.7</x:v>
      </x:c>
      <x:c r="B61" s="21" t="str">
        <x:v>MEASURE</x:v>
      </x:c>
      <x:c r="C61" s="21" t="str">
        <x:v>MEASURE 2.7: - Establish and track AI system security tests and metrics (e.g., red-teaming activities, frequency and rate of anomalous events, system down-time, incident response times, time-to-bypass, etc.). - Use red-team exercises to actively test the system under adversarial or stress conditions, measure system response, assess failure modes or determine if system can return to normal function after an unexpected adverse event. - Document red-team exercise results as part of continuous improvement efforts, including the range of security test conditions and results. - Use red-teaming exercises to evaluate potential mismatches between claimed and actual system performance. - Use countermeasures (e.g, authentication, throttling, differential privacy, robust ML approaches) to increase the range of security conditions under which the system is able to return to normal function.…</x:v>
      </x:c>
      <x:c r="D61" s="21" t="str">
        <x:v>Uploaded NIST AI RMF Playbook spreadsheet</x:v>
      </x:c>
      <x:c r="E61" s="59"/>
      <x:c r="F61" s="59"/>
      <x:c r="G61" s="59"/>
      <x:c r="H61" s="59"/>
      <x:c r="I61" s="59"/>
      <x:c r="J61" s="59"/>
      <x:c r="K61" s="59"/>
      <x:c r="L61" s="59"/>
      <x:c r="M61" s="59"/>
      <x:c r="N61" s="59"/>
      <x:c r="O61" s="59"/>
      <x:c r="P61" s="59"/>
      <x:c r="Q61" s="59"/>
      <x:c r="R61" s="59"/>
      <x:c r="S61" s="59"/>
      <x:c r="T61" s="59"/>
      <x:c r="U61" s="59"/>
      <x:c r="V61" s="59"/>
      <x:c r="W61" s="59"/>
      <x:c r="X61" s="59"/>
      <x:c r="Y61" s="59"/>
      <x:c r="Z61" s="59"/>
      <x:c r="AA61" s="59"/>
      <x:c r="AB61" s="59"/>
      <x:c r="AC61" s="59"/>
      <x:c r="AD61" s="59"/>
      <x:c r="AE61" s="59"/>
      <x:c r="AF61" s="59"/>
      <x:c r="AG61" s="59"/>
      <x:c r="AH61" s="59"/>
      <x:c r="AI61" s="59"/>
      <x:c r="AJ61" s="59"/>
      <x:c r="AK61" s="59"/>
      <x:c r="AL61" s="59"/>
      <x:c r="AM61" s="59"/>
      <x:c r="AN61" s="59"/>
    </x:row>
    <x:row r="62">
      <x:c r="A62" s="21" t="str">
        <x:v>MEASURE 2.8</x:v>
      </x:c>
      <x:c r="B62" s="21" t="str">
        <x:v>MEASURE</x:v>
      </x:c>
      <x:c r="C62" s="21" t="str">
        <x:v>MEASURE 2.8: - Instrument the system for measurement and tracking, e.g., by maintaining histories, audit logs and other information that can be used by AI actors to review and evaluate possible sources of error, bias, or vulnerability. - Calibrate controls for users in close collaboration with experts in user interaction and user experience (UI/UX), human computer interaction (HCI), and/or human-AI teaming. - Test provided explanations for calibration with different audiences including operators, end users, decision makers and decision subjects (individuals for whom decisions are being made), and to enable recourse for consequential system decisions that affect end users or subjects. - Measure and document human oversight of AI systems: - Document the degree of oversight that is provided by specified AI actors regarding AI system output.…</x:v>
      </x:c>
      <x:c r="D62" s="21" t="str">
        <x:v>Uploaded NIST AI RMF Playbook spreadsheet</x:v>
      </x:c>
      <x:c r="E62" s="59"/>
      <x:c r="F62" s="59"/>
      <x:c r="G62" s="59"/>
      <x:c r="H62" s="59"/>
      <x:c r="I62" s="59"/>
      <x:c r="J62" s="59"/>
      <x:c r="K62" s="59"/>
      <x:c r="L62" s="59"/>
      <x:c r="M62" s="59"/>
      <x:c r="N62" s="59"/>
      <x:c r="O62" s="59"/>
      <x:c r="P62" s="59"/>
      <x:c r="Q62" s="59"/>
      <x:c r="R62" s="59"/>
      <x:c r="S62" s="59"/>
      <x:c r="T62" s="59"/>
      <x:c r="U62" s="59"/>
      <x:c r="V62" s="59"/>
      <x:c r="W62" s="59"/>
      <x:c r="X62" s="59"/>
      <x:c r="Y62" s="59"/>
      <x:c r="Z62" s="59"/>
      <x:c r="AA62" s="59"/>
      <x:c r="AB62" s="59"/>
      <x:c r="AC62" s="59"/>
      <x:c r="AD62" s="59"/>
      <x:c r="AE62" s="59"/>
      <x:c r="AF62" s="59"/>
      <x:c r="AG62" s="59"/>
      <x:c r="AH62" s="59"/>
      <x:c r="AI62" s="59"/>
      <x:c r="AJ62" s="59"/>
      <x:c r="AK62" s="59"/>
      <x:c r="AL62" s="59"/>
      <x:c r="AM62" s="59"/>
      <x:c r="AN62" s="59"/>
    </x:row>
    <x:row r="63">
      <x:c r="A63" s="21" t="str">
        <x:v>MEASURE 2.9</x:v>
      </x:c>
      <x:c r="B63" s="21" t="str">
        <x:v>MEASURE</x:v>
      </x:c>
      <x:c r="C63" s="21" t="str">
        <x:v>MEASURE 2.9: - Verify systems are developed to produce explainable models, post-hoc explanations and audit logs. - When possible or available, utilize approaches that are inherently explainable, such as traditional and penalized generalized linear models , decision trees, nearest-neighbor and prototype-based approaches, rule-based models, generalized additive models , explainable boosting machines and neural additive models. - Test explanation methods and resulting explanations prior to deployment to gain feedback from relevant AI actors, end users, and potentially impacted individuals or groups about whether explanations are accurate, clear, and understandable.…</x:v>
      </x:c>
      <x:c r="D63" s="21" t="str">
        <x:v>Uploaded NIST AI RMF Playbook spreadsheet</x:v>
      </x:c>
      <x:c r="E63" s="59"/>
      <x:c r="F63" s="59"/>
      <x:c r="G63" s="59"/>
      <x:c r="H63" s="59"/>
      <x:c r="I63" s="59"/>
      <x:c r="J63" s="59"/>
      <x:c r="K63" s="59"/>
      <x:c r="L63" s="59"/>
      <x:c r="M63" s="59"/>
      <x:c r="N63" s="59"/>
      <x:c r="O63" s="59"/>
      <x:c r="P63" s="59"/>
      <x:c r="Q63" s="59"/>
      <x:c r="R63" s="59"/>
      <x:c r="S63" s="59"/>
      <x:c r="T63" s="59"/>
      <x:c r="U63" s="59"/>
      <x:c r="V63" s="59"/>
      <x:c r="W63" s="59"/>
      <x:c r="X63" s="59"/>
      <x:c r="Y63" s="59"/>
      <x:c r="Z63" s="59"/>
      <x:c r="AA63" s="59"/>
      <x:c r="AB63" s="59"/>
      <x:c r="AC63" s="59"/>
      <x:c r="AD63" s="59"/>
      <x:c r="AE63" s="59"/>
      <x:c r="AF63" s="59"/>
      <x:c r="AG63" s="59"/>
      <x:c r="AH63" s="59"/>
      <x:c r="AI63" s="59"/>
      <x:c r="AJ63" s="59"/>
      <x:c r="AK63" s="59"/>
      <x:c r="AL63" s="59"/>
      <x:c r="AM63" s="59"/>
      <x:c r="AN63" s="59"/>
    </x:row>
    <x:row r="64">
      <x:c r="A64" s="21" t="str">
        <x:v>MEASURE 2.10</x:v>
      </x:c>
      <x:c r="B64" s="21" t="str">
        <x:v>MEASURE</x:v>
      </x:c>
      <x:c r="C64" s="21" t="str">
        <x:v>MEASURE 2.10: - Specify privacy-related values, frameworks, and attributes that are applicable in the context of use through direct engagement with end users and potentially impacted groups and communities. - Document collection, use, management, and disclosure of personally sensitive information in datasets, in accordance with privacy and data governance policies - Quantify privacy-level data aspects such as the ability to identify individuals or groups (e.g. k-anonymity metrics, l-diversity, t-closeness). - Establish and document protocols (authorization, duration, type) and access controls for training sets or production data containing personally sensitive information, in accordance with privacy and data governance policies. - Monitor internal queries to production data for detecting patterns that isolate personal records.…</x:v>
      </x:c>
      <x:c r="D64" s="21" t="str">
        <x:v>Uploaded NIST AI RMF Playbook spreadsheet</x:v>
      </x:c>
      <x:c r="E64" s="59"/>
      <x:c r="F64" s="59"/>
      <x:c r="G64" s="59"/>
      <x:c r="H64" s="59"/>
      <x:c r="I64" s="59"/>
      <x:c r="J64" s="59"/>
      <x:c r="K64" s="59"/>
      <x:c r="L64" s="59"/>
      <x:c r="M64" s="59"/>
      <x:c r="N64" s="59"/>
      <x:c r="O64" s="59"/>
      <x:c r="P64" s="59"/>
      <x:c r="Q64" s="59"/>
      <x:c r="R64" s="59"/>
      <x:c r="S64" s="59"/>
      <x:c r="T64" s="59"/>
      <x:c r="U64" s="59"/>
      <x:c r="V64" s="59"/>
      <x:c r="W64" s="59"/>
      <x:c r="X64" s="59"/>
      <x:c r="Y64" s="59"/>
      <x:c r="Z64" s="59"/>
      <x:c r="AA64" s="59"/>
      <x:c r="AB64" s="59"/>
      <x:c r="AC64" s="59"/>
      <x:c r="AD64" s="59"/>
      <x:c r="AE64" s="59"/>
      <x:c r="AF64" s="59"/>
      <x:c r="AG64" s="59"/>
      <x:c r="AH64" s="59"/>
      <x:c r="AI64" s="59"/>
      <x:c r="AJ64" s="59"/>
      <x:c r="AK64" s="59"/>
      <x:c r="AL64" s="59"/>
      <x:c r="AM64" s="59"/>
      <x:c r="AN64" s="59"/>
    </x:row>
    <x:row r="65">
      <x:c r="A65" s="21" t="str">
        <x:v>MEASURE 2.11</x:v>
      </x:c>
      <x:c r="B65" s="21" t="str">
        <x:v>MEASURE</x:v>
      </x:c>
      <x:c r="C65" s="21" t="str">
        <x:v>MEASURE 2.11: - Conduct fairness assessments to manage computational and statistical forms of bias which include the following steps: - Identify types of harms, including allocational, representational, quality of service, stereotyping, or erasure - Identify across, within, and intersecting groups that might be harmed - Quantify harms using both a general fairness metric, if appropriate (e.g. demographic parity, equalized odds, equal opportunity, statistical hypothesis tests), and custom, context-specific metrics developed in collaboration with affected communities - Analyze quantified harms for contextually significant differences across groups, within groups, and among intersecting groups - Refine identification of within-group and intersectional group disparities. - Evaluate underlying data distributions and employ sensitivity analysis during the analysis of quantified harms.…</x:v>
      </x:c>
      <x:c r="D65" s="21" t="str">
        <x:v>Uploaded NIST AI RMF Playbook spreadsheet</x:v>
      </x:c>
      <x:c r="E65" s="59"/>
      <x:c r="F65" s="59"/>
      <x:c r="G65" s="59"/>
      <x:c r="H65" s="59"/>
      <x:c r="I65" s="59"/>
      <x:c r="J65" s="59"/>
      <x:c r="K65" s="59"/>
      <x:c r="L65" s="59"/>
      <x:c r="M65" s="59"/>
      <x:c r="N65" s="59"/>
      <x:c r="O65" s="59"/>
      <x:c r="P65" s="59"/>
      <x:c r="Q65" s="59"/>
      <x:c r="R65" s="59"/>
      <x:c r="S65" s="59"/>
      <x:c r="T65" s="59"/>
      <x:c r="U65" s="59"/>
      <x:c r="V65" s="59"/>
      <x:c r="W65" s="59"/>
      <x:c r="X65" s="59"/>
      <x:c r="Y65" s="59"/>
      <x:c r="Z65" s="59"/>
      <x:c r="AA65" s="59"/>
      <x:c r="AB65" s="59"/>
      <x:c r="AC65" s="59"/>
      <x:c r="AD65" s="59"/>
      <x:c r="AE65" s="59"/>
      <x:c r="AF65" s="59"/>
      <x:c r="AG65" s="59"/>
      <x:c r="AH65" s="59"/>
      <x:c r="AI65" s="59"/>
      <x:c r="AJ65" s="59"/>
      <x:c r="AK65" s="59"/>
      <x:c r="AL65" s="59"/>
      <x:c r="AM65" s="59"/>
      <x:c r="AN65" s="59"/>
    </x:row>
    <x:row r="66">
      <x:c r="A66" s="21" t="str">
        <x:v>MEASURE 2.12</x:v>
      </x:c>
      <x:c r="B66" s="21" t="str">
        <x:v>MEASURE</x:v>
      </x:c>
      <x:c r="C66" s="21" t="str">
        <x:v>MEASURE 2.12: - Include environmental impact indicators in AI system design and development plans, including reducing consumption and improving efficiencies. - Identify and implement key indicators of AI system energy and water consumption and efficiency, and/or GHG emissions. - Establish measurable baselines for sustainable AI system operation in accordance with organizational policies, regulatory compliance, legal frameworks, and environmental protection and sustainability norms. - Assess tradeoffs between AI system performance and sustainable operations in accordance with organizational principles and policies, regulatory compliance, legal frameworks, and environmental protection and sustainability norms. - Identify and establish acceptable resource consumption and efficiency, and GHG emissions levels, along with actions to be taken if indicators rise above acceptable levels.…</x:v>
      </x:c>
      <x:c r="D66" s="21" t="str">
        <x:v>Uploaded NIST AI RMF Playbook spreadsheet</x:v>
      </x:c>
      <x:c r="E66" s="59"/>
      <x:c r="F66" s="59"/>
      <x:c r="G66" s="59"/>
      <x:c r="H66" s="59"/>
      <x:c r="I66" s="59"/>
      <x:c r="J66" s="59"/>
      <x:c r="K66" s="59"/>
      <x:c r="L66" s="59"/>
      <x:c r="M66" s="59"/>
      <x:c r="N66" s="59"/>
      <x:c r="O66" s="59"/>
      <x:c r="P66" s="59"/>
      <x:c r="Q66" s="59"/>
      <x:c r="R66" s="59"/>
      <x:c r="S66" s="59"/>
      <x:c r="T66" s="59"/>
      <x:c r="U66" s="59"/>
      <x:c r="V66" s="59"/>
      <x:c r="W66" s="59"/>
      <x:c r="X66" s="59"/>
      <x:c r="Y66" s="59"/>
      <x:c r="Z66" s="59"/>
      <x:c r="AA66" s="59"/>
      <x:c r="AB66" s="59"/>
      <x:c r="AC66" s="59"/>
      <x:c r="AD66" s="59"/>
      <x:c r="AE66" s="59"/>
      <x:c r="AF66" s="59"/>
      <x:c r="AG66" s="59"/>
      <x:c r="AH66" s="59"/>
      <x:c r="AI66" s="59"/>
      <x:c r="AJ66" s="59"/>
      <x:c r="AK66" s="59"/>
      <x:c r="AL66" s="59"/>
      <x:c r="AM66" s="59"/>
      <x:c r="AN66" s="59"/>
    </x:row>
    <x:row r="67">
      <x:c r="A67" s="21" t="str">
        <x:v>MEASURE 2.13</x:v>
      </x:c>
      <x:c r="B67" s="21" t="str">
        <x:v>MEASURE</x:v>
      </x:c>
      <x:c r="C67" s="21" t="str">
        <x:v>MEASURE 2.13: - Review selected system metrics and associated TEVV processes to determine if they are able to sustain system improvements, including the identification and removal of errors. - Regularly evaluate system metrics for utility, and consider descriptive approaches in place of overly complex methods. - Review selected system metrics for acceptability within the end user and impacted community of interest. - Assess effectiveness of metrics for identifying and measuring risks.</x:v>
      </x:c>
      <x:c r="D67" s="21" t="str">
        <x:v>Uploaded NIST AI RMF Playbook spreadsheet</x:v>
      </x:c>
      <x:c r="E67" s="59"/>
      <x:c r="F67" s="59"/>
      <x:c r="G67" s="59"/>
      <x:c r="H67" s="59"/>
      <x:c r="I67" s="59"/>
      <x:c r="J67" s="59"/>
      <x:c r="K67" s="59"/>
      <x:c r="L67" s="59"/>
      <x:c r="M67" s="59"/>
      <x:c r="N67" s="59"/>
      <x:c r="O67" s="59"/>
      <x:c r="P67" s="59"/>
      <x:c r="Q67" s="59"/>
      <x:c r="R67" s="59"/>
      <x:c r="S67" s="59"/>
      <x:c r="T67" s="59"/>
      <x:c r="U67" s="59"/>
      <x:c r="V67" s="59"/>
      <x:c r="W67" s="59"/>
      <x:c r="X67" s="59"/>
      <x:c r="Y67" s="59"/>
      <x:c r="Z67" s="59"/>
      <x:c r="AA67" s="59"/>
      <x:c r="AB67" s="59"/>
      <x:c r="AC67" s="59"/>
      <x:c r="AD67" s="59"/>
      <x:c r="AE67" s="59"/>
      <x:c r="AF67" s="59"/>
      <x:c r="AG67" s="59"/>
      <x:c r="AH67" s="59"/>
      <x:c r="AI67" s="59"/>
      <x:c r="AJ67" s="59"/>
      <x:c r="AK67" s="59"/>
      <x:c r="AL67" s="59"/>
      <x:c r="AM67" s="59"/>
      <x:c r="AN67" s="59"/>
    </x:row>
    <x:row r="68">
      <x:c r="A68" s="21" t="str">
        <x:v>MEASURE 3.1</x:v>
      </x:c>
      <x:c r="B68" s="21" t="str">
        <x:v>MEASURE</x:v>
      </x:c>
      <x:c r="C68" s="21" t="str">
        <x:v>MEASURE 3.1: - Compare AI system risks with: - simpler or traditional models - human baseline performance - other manual performance benchmarks - Compare end user and community feedback about deployed AI systems to internal measures of system performance. - Assess effectiveness of metrics for identifying and measuring emergent risks. - Measure error response times and track response quality. - Elicit and track feedback from AI actors in user support roles about the type of metrics, explanations and other system information required for fulsome resolution of system issues. Consider: - Instances where explanations are insufficient for investigating possible error sources or identifying responses. - System metrics, including system logs and explanations, for identifying and diagnosing sources of system error.…</x:v>
      </x:c>
      <x:c r="D68" s="21" t="str">
        <x:v>Uploaded NIST AI RMF Playbook spreadsheet</x:v>
      </x:c>
      <x:c r="E68" s="59"/>
      <x:c r="F68" s="59"/>
      <x:c r="G68" s="59"/>
      <x:c r="H68" s="59"/>
      <x:c r="I68" s="59"/>
      <x:c r="J68" s="59"/>
      <x:c r="K68" s="59"/>
      <x:c r="L68" s="59"/>
      <x:c r="M68" s="59"/>
      <x:c r="N68" s="59"/>
      <x:c r="O68" s="59"/>
      <x:c r="P68" s="59"/>
      <x:c r="Q68" s="59"/>
      <x:c r="R68" s="59"/>
      <x:c r="S68" s="59"/>
      <x:c r="T68" s="59"/>
      <x:c r="U68" s="59"/>
      <x:c r="V68" s="59"/>
      <x:c r="W68" s="59"/>
      <x:c r="X68" s="59"/>
      <x:c r="Y68" s="59"/>
      <x:c r="Z68" s="59"/>
      <x:c r="AA68" s="59"/>
      <x:c r="AB68" s="59"/>
      <x:c r="AC68" s="59"/>
      <x:c r="AD68" s="59"/>
      <x:c r="AE68" s="59"/>
      <x:c r="AF68" s="59"/>
      <x:c r="AG68" s="59"/>
      <x:c r="AH68" s="59"/>
      <x:c r="AI68" s="59"/>
      <x:c r="AJ68" s="59"/>
      <x:c r="AK68" s="59"/>
      <x:c r="AL68" s="59"/>
      <x:c r="AM68" s="59"/>
      <x:c r="AN68" s="59"/>
    </x:row>
    <x:row r="69">
      <x:c r="A69" s="21" t="str">
        <x:v>MEASURE 3.2</x:v>
      </x:c>
      <x:c r="B69" s="21" t="str">
        <x:v>MEASURE</x:v>
      </x:c>
      <x:c r="C69" s="21" t="str">
        <x:v>MEASURE 3.2: - Establish processes for tracking emergent risks that may not be measurable with current approaches. Some processes may include: - Recourse mechanisms for faulty AI system outputs. - Bug bounties. - Human-centered design approaches. - User-interaction and experience research. - Participatory stakeholder engagement with affected or potentially impacted individuals and communities. - Identify AI actors responsible for tracking emergent risks and inventory methods. - Determine and document the rate of occurrence and severity level for complex or difficult-to-measure risks when: - Prioritizing new measurement approaches for deployment tasks. - Allocating AI system risk management resources. - Evaluating AI system improvements. - Making go/no-go decisions for subsequent system iterations.</x:v>
      </x:c>
      <x:c r="D69" s="21" t="str">
        <x:v>Uploaded NIST AI RMF Playbook spreadsheet</x:v>
      </x:c>
      <x:c r="E69" s="59"/>
      <x:c r="F69" s="59"/>
      <x:c r="G69" s="59"/>
      <x:c r="H69" s="59"/>
      <x:c r="I69" s="59"/>
      <x:c r="J69" s="59"/>
      <x:c r="K69" s="59"/>
      <x:c r="L69" s="59"/>
      <x:c r="M69" s="59"/>
      <x:c r="N69" s="59"/>
      <x:c r="O69" s="59"/>
      <x:c r="P69" s="59"/>
      <x:c r="Q69" s="59"/>
      <x:c r="R69" s="59"/>
      <x:c r="S69" s="59"/>
      <x:c r="T69" s="59"/>
      <x:c r="U69" s="59"/>
      <x:c r="V69" s="59"/>
      <x:c r="W69" s="59"/>
      <x:c r="X69" s="59"/>
      <x:c r="Y69" s="59"/>
      <x:c r="Z69" s="59"/>
      <x:c r="AA69" s="59"/>
      <x:c r="AB69" s="59"/>
      <x:c r="AC69" s="59"/>
      <x:c r="AD69" s="59"/>
      <x:c r="AE69" s="59"/>
      <x:c r="AF69" s="59"/>
      <x:c r="AG69" s="59"/>
      <x:c r="AH69" s="59"/>
      <x:c r="AI69" s="59"/>
      <x:c r="AJ69" s="59"/>
      <x:c r="AK69" s="59"/>
      <x:c r="AL69" s="59"/>
      <x:c r="AM69" s="59"/>
      <x:c r="AN69" s="59"/>
    </x:row>
    <x:row r="70">
      <x:c r="A70" s="21" t="str">
        <x:v>MEASURE 3.3</x:v>
      </x:c>
      <x:c r="B70" s="21" t="str">
        <x:v>MEASURE</x:v>
      </x:c>
      <x:c r="C70" s="21" t="str">
        <x:v>MEASURE 3.3: - Measure efficacy of end user and operator error reporting processes. - Categorize and analyze type and rate of end user appeal requests and results. - Measure feedback activity participation rates and awareness of feedback activity availability. - Utilize feedback to analyze measurement approaches and determine subsequent courses of action. - Evaluate measurement approaches to determine efficacy for enhancing organizational understanding of real world impacts. - Analyze end user and community feedback in close collaboration with domain experts.</x:v>
      </x:c>
      <x:c r="D70" s="21" t="str">
        <x:v>Uploaded NIST AI RMF Playbook spreadsheet</x:v>
      </x:c>
      <x:c r="E70" s="59"/>
      <x:c r="F70" s="59"/>
      <x:c r="G70" s="59"/>
      <x:c r="H70" s="59"/>
      <x:c r="I70" s="59"/>
      <x:c r="J70" s="59"/>
      <x:c r="K70" s="59"/>
      <x:c r="L70" s="59"/>
      <x:c r="M70" s="59"/>
      <x:c r="N70" s="59"/>
      <x:c r="O70" s="59"/>
      <x:c r="P70" s="59"/>
      <x:c r="Q70" s="59"/>
      <x:c r="R70" s="59"/>
      <x:c r="S70" s="59"/>
      <x:c r="T70" s="59"/>
      <x:c r="U70" s="59"/>
      <x:c r="V70" s="59"/>
      <x:c r="W70" s="59"/>
      <x:c r="X70" s="59"/>
      <x:c r="Y70" s="59"/>
      <x:c r="Z70" s="59"/>
      <x:c r="AA70" s="59"/>
      <x:c r="AB70" s="59"/>
      <x:c r="AC70" s="59"/>
      <x:c r="AD70" s="59"/>
      <x:c r="AE70" s="59"/>
      <x:c r="AF70" s="59"/>
      <x:c r="AG70" s="59"/>
      <x:c r="AH70" s="59"/>
      <x:c r="AI70" s="59"/>
      <x:c r="AJ70" s="59"/>
      <x:c r="AK70" s="59"/>
      <x:c r="AL70" s="59"/>
      <x:c r="AM70" s="59"/>
      <x:c r="AN70" s="59"/>
    </x:row>
    <x:row r="71">
      <x:c r="A71" s="21" t="str">
        <x:v>MEASURE 4.1</x:v>
      </x:c>
      <x:c r="B71" s="21" t="str">
        <x:v>MEASURE</x:v>
      </x:c>
      <x:c r="C71" s="21" t="str">
        <x:v>MEASURE 4.1: - Support mechanisms for capturing feedback from system end users (including domain experts, operators, and practitioners). Successful approaches are: - conducted in settings where end users are able to openly share their doubts and insights about AI system output, and in connection to their specific context of use (including setting and task-specific lines of inquiry) - developed and implemented by human-factors and socio-technical domain experts and researchers - designed to ensure control of interviewer and end user subjectivity and biases - Identify and document approaches - for evaluating and integrating elicited feedback from system end users - in collaboration with human-factors and socio-technical domain experts, - to actively inform a process of continual improvement. - Evaluate feedback from end users alongside evaluated feedback from impacted communities (MEASURE 3.3).…</x:v>
      </x:c>
      <x:c r="D71" s="21" t="str">
        <x:v>Uploaded NIST AI RMF Playbook spreadsheet</x:v>
      </x:c>
      <x:c r="E71" s="59"/>
      <x:c r="F71" s="59"/>
      <x:c r="G71" s="59"/>
      <x:c r="H71" s="59"/>
      <x:c r="I71" s="59"/>
      <x:c r="J71" s="59"/>
      <x:c r="K71" s="59"/>
      <x:c r="L71" s="59"/>
      <x:c r="M71" s="59"/>
      <x:c r="N71" s="59"/>
      <x:c r="O71" s="59"/>
      <x:c r="P71" s="59"/>
      <x:c r="Q71" s="59"/>
      <x:c r="R71" s="59"/>
      <x:c r="S71" s="59"/>
      <x:c r="T71" s="59"/>
      <x:c r="U71" s="59"/>
      <x:c r="V71" s="59"/>
      <x:c r="W71" s="59"/>
      <x:c r="X71" s="59"/>
      <x:c r="Y71" s="59"/>
      <x:c r="Z71" s="59"/>
      <x:c r="AA71" s="59"/>
      <x:c r="AB71" s="59"/>
      <x:c r="AC71" s="59"/>
      <x:c r="AD71" s="59"/>
      <x:c r="AE71" s="59"/>
      <x:c r="AF71" s="59"/>
      <x:c r="AG71" s="59"/>
      <x:c r="AH71" s="59"/>
      <x:c r="AI71" s="59"/>
      <x:c r="AJ71" s="59"/>
      <x:c r="AK71" s="59"/>
      <x:c r="AL71" s="59"/>
      <x:c r="AM71" s="59"/>
      <x:c r="AN71" s="59"/>
    </x:row>
    <x:row r="72">
      <x:c r="A72" s="21" t="str">
        <x:v>MEASURE 4.2</x:v>
      </x:c>
      <x:c r="B72" s="21" t="str">
        <x:v>MEASURE</x:v>
      </x:c>
      <x:c r="C72" s="21" t="str">
        <x:v>MEASURE 4.2: - Integrate feedback from end users, operators, and affected individuals and communities from Map function as inputs to assess AI system trustworthiness characteristics. Ensure both positive and negative feedback is being assessed. - Evaluate feedback in connection with AI system trustworthiness characteristics from Measure 2.5 to 2.11. - Evaluate feedback regarding end user satisfaction with, and confidence in, AI system performance including whether output is considered valid and reliable, and explainable and interpretable. - Identify mechanisms to confirm/support AI system output (e.g. recommendations), and end user perspectives about that output. - Measure frequency of AI systems’ override decisions, evaluate and document results, and feed insights back into continual improvement processes.…</x:v>
      </x:c>
      <x:c r="D72" s="21" t="str">
        <x:v>Uploaded NIST AI RMF Playbook spreadsheet</x:v>
      </x:c>
      <x:c r="E72" s="59"/>
      <x:c r="F72" s="59"/>
      <x:c r="G72" s="59"/>
      <x:c r="H72" s="59"/>
      <x:c r="I72" s="59"/>
      <x:c r="J72" s="59"/>
      <x:c r="K72" s="59"/>
      <x:c r="L72" s="59"/>
      <x:c r="M72" s="59"/>
      <x:c r="N72" s="59"/>
      <x:c r="O72" s="59"/>
      <x:c r="P72" s="59"/>
      <x:c r="Q72" s="59"/>
      <x:c r="R72" s="59"/>
      <x:c r="S72" s="59"/>
      <x:c r="T72" s="59"/>
      <x:c r="U72" s="59"/>
      <x:c r="V72" s="59"/>
      <x:c r="W72" s="59"/>
      <x:c r="X72" s="59"/>
      <x:c r="Y72" s="59"/>
      <x:c r="Z72" s="59"/>
      <x:c r="AA72" s="59"/>
      <x:c r="AB72" s="59"/>
      <x:c r="AC72" s="59"/>
      <x:c r="AD72" s="59"/>
      <x:c r="AE72" s="59"/>
      <x:c r="AF72" s="59"/>
      <x:c r="AG72" s="59"/>
      <x:c r="AH72" s="59"/>
      <x:c r="AI72" s="59"/>
      <x:c r="AJ72" s="59"/>
      <x:c r="AK72" s="59"/>
      <x:c r="AL72" s="59"/>
      <x:c r="AM72" s="59"/>
      <x:c r="AN72" s="59"/>
    </x:row>
    <x:row r="73">
      <x:c r="A73" s="21" t="str">
        <x:v>MEASURE 4.3</x:v>
      </x:c>
      <x:c r="B73" s="21" t="str">
        <x:v>MEASURE</x:v>
      </x:c>
      <x:c r="C73" s="21" t="str">
        <x:v>MEASURE 4.3: - Develop baseline quantitative measures for trustworthy characteristics. - Delimit and characterize baseline operation values and states. - Utilize qualitative approaches to augment and complement quantitative baseline measures, in close coordination with impact assessment, human factors and socio-technical AI actors. - Monitor and assess measurements as part of continual improvement to identify potential system adjustments or modifications - Perform and document sensitivity analysis to characterize actual and expected variance in performance after applying system or procedural updates. - Document decisions related to the sensitivity analysis and record expected influence on system performance and identified risks.</x:v>
      </x:c>
      <x:c r="D73" s="21" t="str">
        <x:v>Uploaded NIST AI RMF Playbook spreadsheet</x:v>
      </x:c>
      <x:c r="E73" s="59"/>
      <x:c r="F73" s="59"/>
      <x:c r="G73" s="59"/>
      <x:c r="H73" s="59"/>
      <x:c r="I73" s="59"/>
      <x:c r="J73" s="59"/>
      <x:c r="K73" s="59"/>
      <x:c r="L73" s="59"/>
      <x:c r="M73" s="59"/>
      <x:c r="N73" s="59"/>
      <x:c r="O73" s="59"/>
      <x:c r="P73" s="59"/>
      <x:c r="Q73" s="59"/>
      <x:c r="R73" s="59"/>
      <x:c r="S73" s="59"/>
      <x:c r="T73" s="59"/>
      <x:c r="U73" s="59"/>
      <x:c r="V73" s="59"/>
      <x:c r="W73" s="59"/>
      <x:c r="X73" s="59"/>
      <x:c r="Y73" s="59"/>
      <x:c r="Z73" s="59"/>
      <x:c r="AA73" s="59"/>
      <x:c r="AB73" s="59"/>
      <x:c r="AC73" s="59"/>
      <x:c r="AD73" s="59"/>
      <x:c r="AE73" s="59"/>
      <x:c r="AF73" s="59"/>
      <x:c r="AG73" s="59"/>
      <x:c r="AH73" s="59"/>
      <x:c r="AI73" s="59"/>
      <x:c r="AJ73" s="59"/>
      <x:c r="AK73" s="59"/>
      <x:c r="AL73" s="59"/>
      <x:c r="AM73" s="59"/>
      <x:c r="AN73" s="59"/>
    </x:row>
    <x:row r="74">
      <x:c r="A74" s="59"/>
      <x:c r="B74" s="59"/>
      <x:c r="C74" s="59"/>
      <x:c r="D74" s="59"/>
      <x:c r="E74" s="59"/>
      <x:c r="F74" s="59"/>
      <x:c r="G74" s="59"/>
      <x:c r="H74" s="59"/>
      <x:c r="I74" s="59"/>
      <x:c r="J74" s="59"/>
      <x:c r="K74" s="59"/>
      <x:c r="L74" s="59"/>
      <x:c r="M74" s="59"/>
      <x:c r="N74" s="59"/>
      <x:c r="O74" s="59"/>
      <x:c r="P74" s="59"/>
      <x:c r="Q74" s="59"/>
      <x:c r="R74" s="59"/>
      <x:c r="S74" s="59"/>
      <x:c r="T74" s="59"/>
      <x:c r="U74" s="59"/>
      <x:c r="V74" s="59"/>
      <x:c r="W74" s="59"/>
      <x:c r="X74" s="59"/>
      <x:c r="Y74" s="59"/>
      <x:c r="Z74" s="59"/>
      <x:c r="AA74" s="59"/>
      <x:c r="AB74" s="59"/>
      <x:c r="AC74" s="59"/>
      <x:c r="AD74" s="59"/>
      <x:c r="AE74" s="59"/>
      <x:c r="AF74" s="59"/>
      <x:c r="AG74" s="59"/>
      <x:c r="AH74" s="59"/>
      <x:c r="AI74" s="59"/>
      <x:c r="AJ74" s="59"/>
      <x:c r="AK74" s="59"/>
      <x:c r="AL74" s="59"/>
      <x:c r="AM74" s="59"/>
      <x:c r="AN74" s="59"/>
    </x:row>
    <x:row r="75">
      <x:c r="A75" s="59"/>
      <x:c r="B75" s="59"/>
      <x:c r="C75" s="59"/>
      <x:c r="D75" s="59"/>
      <x:c r="E75" s="59"/>
      <x:c r="F75" s="59"/>
      <x:c r="G75" s="59"/>
      <x:c r="H75" s="59"/>
      <x:c r="I75" s="59"/>
      <x:c r="J75" s="59"/>
      <x:c r="K75" s="59"/>
      <x:c r="L75" s="59"/>
      <x:c r="M75" s="59"/>
      <x:c r="N75" s="59"/>
      <x:c r="O75" s="59"/>
      <x:c r="P75" s="59"/>
      <x:c r="Q75" s="59"/>
      <x:c r="R75" s="59"/>
      <x:c r="S75" s="59"/>
      <x:c r="T75" s="59"/>
      <x:c r="U75" s="59"/>
      <x:c r="V75" s="59"/>
      <x:c r="W75" s="59"/>
      <x:c r="X75" s="59"/>
      <x:c r="Y75" s="59"/>
      <x:c r="Z75" s="59"/>
      <x:c r="AA75" s="59"/>
      <x:c r="AB75" s="59"/>
      <x:c r="AC75" s="59"/>
      <x:c r="AD75" s="59"/>
      <x:c r="AE75" s="59"/>
      <x:c r="AF75" s="59"/>
      <x:c r="AG75" s="59"/>
      <x:c r="AH75" s="59"/>
      <x:c r="AI75" s="59"/>
      <x:c r="AJ75" s="59"/>
      <x:c r="AK75" s="59"/>
      <x:c r="AL75" s="59"/>
      <x:c r="AM75" s="59"/>
      <x:c r="AN75" s="59"/>
    </x:row>
    <x:row r="76">
      <x:c r="A76" s="59"/>
      <x:c r="B76" s="59"/>
      <x:c r="C76" s="59"/>
      <x:c r="D76" s="59"/>
      <x:c r="E76" s="59"/>
      <x:c r="F76" s="59"/>
      <x:c r="G76" s="59"/>
      <x:c r="H76" s="59"/>
      <x:c r="I76" s="59"/>
      <x:c r="J76" s="59"/>
      <x:c r="K76" s="59"/>
      <x:c r="L76" s="59"/>
      <x:c r="M76" s="59"/>
      <x:c r="N76" s="59"/>
      <x:c r="O76" s="59"/>
      <x:c r="P76" s="59"/>
      <x:c r="Q76" s="59"/>
      <x:c r="R76" s="59"/>
      <x:c r="S76" s="59"/>
      <x:c r="T76" s="59"/>
      <x:c r="U76" s="59"/>
      <x:c r="V76" s="59"/>
      <x:c r="W76" s="59"/>
      <x:c r="X76" s="59"/>
      <x:c r="Y76" s="59"/>
      <x:c r="Z76" s="59"/>
      <x:c r="AA76" s="59"/>
      <x:c r="AB76" s="59"/>
      <x:c r="AC76" s="59"/>
      <x:c r="AD76" s="59"/>
      <x:c r="AE76" s="59"/>
      <x:c r="AF76" s="59"/>
      <x:c r="AG76" s="59"/>
      <x:c r="AH76" s="59"/>
      <x:c r="AI76" s="59"/>
      <x:c r="AJ76" s="59"/>
      <x:c r="AK76" s="59"/>
      <x:c r="AL76" s="59"/>
      <x:c r="AM76" s="59"/>
      <x:c r="AN76" s="59"/>
    </x:row>
    <x:row r="77">
      <x:c r="A77" s="59"/>
      <x:c r="B77" s="59"/>
      <x:c r="C77" s="59"/>
      <x:c r="D77" s="59"/>
      <x:c r="E77" s="59"/>
      <x:c r="F77" s="59"/>
      <x:c r="G77" s="59"/>
      <x:c r="H77" s="59"/>
      <x:c r="I77" s="59"/>
      <x:c r="J77" s="59"/>
      <x:c r="K77" s="59"/>
      <x:c r="L77" s="59"/>
      <x:c r="M77" s="59"/>
      <x:c r="N77" s="59"/>
      <x:c r="O77" s="59"/>
      <x:c r="P77" s="59"/>
      <x:c r="Q77" s="59"/>
      <x:c r="R77" s="59"/>
      <x:c r="S77" s="59"/>
      <x:c r="T77" s="59"/>
      <x:c r="U77" s="59"/>
      <x:c r="V77" s="59"/>
      <x:c r="W77" s="59"/>
      <x:c r="X77" s="59"/>
      <x:c r="Y77" s="59"/>
      <x:c r="Z77" s="59"/>
      <x:c r="AA77" s="59"/>
      <x:c r="AB77" s="59"/>
      <x:c r="AC77" s="59"/>
      <x:c r="AD77" s="59"/>
      <x:c r="AE77" s="59"/>
      <x:c r="AF77" s="59"/>
      <x:c r="AG77" s="59"/>
      <x:c r="AH77" s="59"/>
      <x:c r="AI77" s="59"/>
      <x:c r="AJ77" s="59"/>
      <x:c r="AK77" s="59"/>
      <x:c r="AL77" s="59"/>
      <x:c r="AM77" s="59"/>
      <x:c r="AN77" s="59"/>
    </x:row>
    <x:row r="78">
      <x:c r="A78" s="59"/>
      <x:c r="B78" s="59"/>
      <x:c r="C78" s="59"/>
      <x:c r="D78" s="59"/>
      <x:c r="E78" s="59"/>
      <x:c r="F78" s="59"/>
      <x:c r="G78" s="59"/>
      <x:c r="H78" s="59"/>
      <x:c r="I78" s="59"/>
      <x:c r="J78" s="59"/>
      <x:c r="K78" s="59"/>
      <x:c r="L78" s="59"/>
      <x:c r="M78" s="59"/>
      <x:c r="N78" s="59"/>
      <x:c r="O78" s="59"/>
      <x:c r="P78" s="59"/>
      <x:c r="Q78" s="59"/>
      <x:c r="R78" s="59"/>
      <x:c r="S78" s="59"/>
      <x:c r="T78" s="59"/>
      <x:c r="U78" s="59"/>
      <x:c r="V78" s="59"/>
      <x:c r="W78" s="59"/>
      <x:c r="X78" s="59"/>
      <x:c r="Y78" s="59"/>
      <x:c r="Z78" s="59"/>
      <x:c r="AA78" s="59"/>
      <x:c r="AB78" s="59"/>
      <x:c r="AC78" s="59"/>
      <x:c r="AD78" s="59"/>
      <x:c r="AE78" s="59"/>
      <x:c r="AF78" s="59"/>
      <x:c r="AG78" s="59"/>
      <x:c r="AH78" s="59"/>
      <x:c r="AI78" s="59"/>
      <x:c r="AJ78" s="59"/>
      <x:c r="AK78" s="59"/>
      <x:c r="AL78" s="59"/>
      <x:c r="AM78" s="59"/>
      <x:c r="AN78" s="59"/>
    </x:row>
    <x:row r="79">
      <x:c r="A79" s="59"/>
      <x:c r="B79" s="59"/>
      <x:c r="C79" s="59"/>
      <x:c r="D79" s="59"/>
      <x:c r="E79" s="59"/>
      <x:c r="F79" s="59"/>
      <x:c r="G79" s="59"/>
      <x:c r="H79" s="59"/>
      <x:c r="I79" s="59"/>
      <x:c r="J79" s="59"/>
      <x:c r="K79" s="59"/>
      <x:c r="L79" s="59"/>
      <x:c r="M79" s="59"/>
      <x:c r="N79" s="59"/>
      <x:c r="O79" s="59"/>
      <x:c r="P79" s="59"/>
      <x:c r="Q79" s="59"/>
      <x:c r="R79" s="59"/>
      <x:c r="S79" s="59"/>
      <x:c r="T79" s="59"/>
      <x:c r="U79" s="59"/>
      <x:c r="V79" s="59"/>
      <x:c r="W79" s="59"/>
      <x:c r="X79" s="59"/>
      <x:c r="Y79" s="59"/>
      <x:c r="Z79" s="59"/>
      <x:c r="AA79" s="59"/>
      <x:c r="AB79" s="59"/>
      <x:c r="AC79" s="59"/>
      <x:c r="AD79" s="59"/>
      <x:c r="AE79" s="59"/>
      <x:c r="AF79" s="59"/>
      <x:c r="AG79" s="59"/>
      <x:c r="AH79" s="59"/>
      <x:c r="AI79" s="59"/>
      <x:c r="AJ79" s="59"/>
      <x:c r="AK79" s="59"/>
      <x:c r="AL79" s="59"/>
      <x:c r="AM79" s="59"/>
      <x:c r="AN79" s="59"/>
    </x:row>
    <x:row r="80">
      <x:c r="A80" s="59"/>
      <x:c r="B80" s="59"/>
      <x:c r="C80" s="59"/>
      <x:c r="D80" s="59"/>
      <x:c r="E80" s="59"/>
      <x:c r="F80" s="59"/>
      <x:c r="G80" s="59"/>
      <x:c r="H80" s="59"/>
      <x:c r="I80" s="59"/>
      <x:c r="J80" s="59"/>
      <x:c r="K80" s="59"/>
      <x:c r="L80" s="59"/>
      <x:c r="M80" s="59"/>
      <x:c r="N80" s="59"/>
      <x:c r="O80" s="59"/>
      <x:c r="P80" s="59"/>
      <x:c r="Q80" s="59"/>
      <x:c r="R80" s="59"/>
      <x:c r="S80" s="59"/>
      <x:c r="T80" s="59"/>
      <x:c r="U80" s="59"/>
      <x:c r="V80" s="59"/>
      <x:c r="W80" s="59"/>
      <x:c r="X80" s="59"/>
      <x:c r="Y80" s="59"/>
      <x:c r="Z80" s="59"/>
      <x:c r="AA80" s="59"/>
      <x:c r="AB80" s="59"/>
      <x:c r="AC80" s="59"/>
      <x:c r="AD80" s="59"/>
      <x:c r="AE80" s="59"/>
      <x:c r="AF80" s="59"/>
      <x:c r="AG80" s="59"/>
      <x:c r="AH80" s="59"/>
      <x:c r="AI80" s="59"/>
      <x:c r="AJ80" s="59"/>
      <x:c r="AK80" s="59"/>
      <x:c r="AL80" s="59"/>
      <x:c r="AM80" s="59"/>
      <x:c r="AN80" s="59"/>
    </x:row>
    <x:row r="81">
      <x:c r="A81" s="59"/>
      <x:c r="B81" s="59"/>
      <x:c r="C81" s="59"/>
      <x:c r="D81" s="59"/>
      <x:c r="E81" s="59"/>
      <x:c r="F81" s="59"/>
      <x:c r="G81" s="59"/>
      <x:c r="H81" s="59"/>
      <x:c r="I81" s="59"/>
      <x:c r="J81" s="59"/>
      <x:c r="K81" s="59"/>
      <x:c r="L81" s="59"/>
      <x:c r="M81" s="59"/>
      <x:c r="N81" s="59"/>
      <x:c r="O81" s="59"/>
      <x:c r="P81" s="59"/>
      <x:c r="Q81" s="59"/>
      <x:c r="R81" s="59"/>
      <x:c r="S81" s="59"/>
      <x:c r="T81" s="59"/>
      <x:c r="U81" s="59"/>
      <x:c r="V81" s="59"/>
      <x:c r="W81" s="59"/>
      <x:c r="X81" s="59"/>
      <x:c r="Y81" s="59"/>
      <x:c r="Z81" s="59"/>
      <x:c r="AA81" s="59"/>
      <x:c r="AB81" s="59"/>
      <x:c r="AC81" s="59"/>
      <x:c r="AD81" s="59"/>
      <x:c r="AE81" s="59"/>
      <x:c r="AF81" s="59"/>
      <x:c r="AG81" s="59"/>
      <x:c r="AH81" s="59"/>
      <x:c r="AI81" s="59"/>
      <x:c r="AJ81" s="59"/>
      <x:c r="AK81" s="59"/>
      <x:c r="AL81" s="59"/>
      <x:c r="AM81" s="59"/>
      <x:c r="AN81" s="59"/>
    </x:row>
    <x:row r="82">
      <x:c r="A82" s="59"/>
      <x:c r="B82" s="59"/>
      <x:c r="C82" s="59"/>
      <x:c r="D82" s="59"/>
      <x:c r="E82" s="59"/>
      <x:c r="F82" s="59"/>
      <x:c r="G82" s="59"/>
      <x:c r="H82" s="59"/>
      <x:c r="I82" s="59"/>
      <x:c r="J82" s="59"/>
      <x:c r="K82" s="59"/>
      <x:c r="L82" s="59"/>
      <x:c r="M82" s="59"/>
      <x:c r="N82" s="59"/>
      <x:c r="O82" s="59"/>
      <x:c r="P82" s="59"/>
      <x:c r="Q82" s="59"/>
      <x:c r="R82" s="59"/>
      <x:c r="S82" s="59"/>
      <x:c r="T82" s="59"/>
      <x:c r="U82" s="59"/>
      <x:c r="V82" s="59"/>
      <x:c r="W82" s="59"/>
      <x:c r="X82" s="59"/>
      <x:c r="Y82" s="59"/>
      <x:c r="Z82" s="59"/>
      <x:c r="AA82" s="59"/>
      <x:c r="AB82" s="59"/>
      <x:c r="AC82" s="59"/>
      <x:c r="AD82" s="59"/>
      <x:c r="AE82" s="59"/>
      <x:c r="AF82" s="59"/>
      <x:c r="AG82" s="59"/>
      <x:c r="AH82" s="59"/>
      <x:c r="AI82" s="59"/>
      <x:c r="AJ82" s="59"/>
      <x:c r="AK82" s="59"/>
      <x:c r="AL82" s="59"/>
      <x:c r="AM82" s="59"/>
      <x:c r="AN82" s="59"/>
    </x:row>
    <x:row r="83">
      <x:c r="A83" s="59"/>
      <x:c r="B83" s="59"/>
      <x:c r="C83" s="59"/>
      <x:c r="D83" s="59"/>
      <x:c r="E83" s="59"/>
      <x:c r="F83" s="59"/>
      <x:c r="G83" s="59"/>
      <x:c r="H83" s="59"/>
      <x:c r="I83" s="59"/>
      <x:c r="J83" s="59"/>
      <x:c r="K83" s="59"/>
      <x:c r="L83" s="59"/>
      <x:c r="M83" s="59"/>
      <x:c r="N83" s="59"/>
      <x:c r="O83" s="59"/>
      <x:c r="P83" s="59"/>
      <x:c r="Q83" s="59"/>
      <x:c r="R83" s="59"/>
      <x:c r="S83" s="59"/>
      <x:c r="T83" s="59"/>
      <x:c r="U83" s="59"/>
      <x:c r="V83" s="59"/>
      <x:c r="W83" s="59"/>
      <x:c r="X83" s="59"/>
      <x:c r="Y83" s="59"/>
      <x:c r="Z83" s="59"/>
      <x:c r="AA83" s="59"/>
      <x:c r="AB83" s="59"/>
      <x:c r="AC83" s="59"/>
      <x:c r="AD83" s="59"/>
      <x:c r="AE83" s="59"/>
      <x:c r="AF83" s="59"/>
      <x:c r="AG83" s="59"/>
      <x:c r="AH83" s="59"/>
      <x:c r="AI83" s="59"/>
      <x:c r="AJ83" s="59"/>
      <x:c r="AK83" s="59"/>
      <x:c r="AL83" s="59"/>
      <x:c r="AM83" s="59"/>
      <x:c r="AN83" s="59"/>
    </x:row>
    <x:row r="84">
      <x:c r="A84" s="59"/>
      <x:c r="B84" s="59"/>
      <x:c r="C84" s="59"/>
      <x:c r="D84" s="59"/>
      <x:c r="E84" s="59"/>
      <x:c r="F84" s="59"/>
      <x:c r="G84" s="59"/>
      <x:c r="H84" s="59"/>
      <x:c r="I84" s="59"/>
      <x:c r="J84" s="59"/>
      <x:c r="K84" s="59"/>
      <x:c r="L84" s="59"/>
      <x:c r="M84" s="59"/>
      <x:c r="N84" s="59"/>
      <x:c r="O84" s="59"/>
      <x:c r="P84" s="59"/>
      <x:c r="Q84" s="59"/>
      <x:c r="R84" s="59"/>
      <x:c r="S84" s="59"/>
      <x:c r="T84" s="59"/>
      <x:c r="U84" s="59"/>
      <x:c r="V84" s="59"/>
      <x:c r="W84" s="59"/>
      <x:c r="X84" s="59"/>
      <x:c r="Y84" s="59"/>
      <x:c r="Z84" s="59"/>
      <x:c r="AA84" s="59"/>
      <x:c r="AB84" s="59"/>
      <x:c r="AC84" s="59"/>
      <x:c r="AD84" s="59"/>
      <x:c r="AE84" s="59"/>
      <x:c r="AF84" s="59"/>
      <x:c r="AG84" s="59"/>
      <x:c r="AH84" s="59"/>
      <x:c r="AI84" s="59"/>
      <x:c r="AJ84" s="59"/>
      <x:c r="AK84" s="59"/>
      <x:c r="AL84" s="59"/>
      <x:c r="AM84" s="59"/>
      <x:c r="AN84" s="59"/>
    </x:row>
    <x:row r="85">
      <x:c r="A85" s="59"/>
      <x:c r="B85" s="59"/>
      <x:c r="C85" s="59"/>
      <x:c r="D85" s="59"/>
      <x:c r="E85" s="59"/>
      <x:c r="F85" s="59"/>
      <x:c r="G85" s="59"/>
      <x:c r="H85" s="59"/>
      <x:c r="I85" s="59"/>
      <x:c r="J85" s="59"/>
      <x:c r="K85" s="59"/>
      <x:c r="L85" s="59"/>
      <x:c r="M85" s="59"/>
      <x:c r="N85" s="59"/>
      <x:c r="O85" s="59"/>
      <x:c r="P85" s="59"/>
      <x:c r="Q85" s="59"/>
      <x:c r="R85" s="59"/>
      <x:c r="S85" s="59"/>
      <x:c r="T85" s="59"/>
      <x:c r="U85" s="59"/>
      <x:c r="V85" s="59"/>
      <x:c r="W85" s="59"/>
      <x:c r="X85" s="59"/>
      <x:c r="Y85" s="59"/>
      <x:c r="Z85" s="59"/>
      <x:c r="AA85" s="59"/>
      <x:c r="AB85" s="59"/>
      <x:c r="AC85" s="59"/>
      <x:c r="AD85" s="59"/>
      <x:c r="AE85" s="59"/>
      <x:c r="AF85" s="59"/>
      <x:c r="AG85" s="59"/>
      <x:c r="AH85" s="59"/>
      <x:c r="AI85" s="59"/>
      <x:c r="AJ85" s="59"/>
      <x:c r="AK85" s="59"/>
      <x:c r="AL85" s="59"/>
      <x:c r="AM85" s="59"/>
      <x:c r="AN85" s="59"/>
    </x:row>
    <x:row r="86">
      <x:c r="A86" s="59"/>
      <x:c r="B86" s="59"/>
      <x:c r="C86" s="59"/>
      <x:c r="D86" s="59"/>
      <x:c r="E86" s="59"/>
      <x:c r="F86" s="59"/>
      <x:c r="G86" s="59"/>
      <x:c r="H86" s="59"/>
      <x:c r="I86" s="59"/>
      <x:c r="J86" s="59"/>
      <x:c r="K86" s="59"/>
      <x:c r="L86" s="59"/>
      <x:c r="M86" s="59"/>
      <x:c r="N86" s="59"/>
      <x:c r="O86" s="59"/>
      <x:c r="P86" s="59"/>
      <x:c r="Q86" s="59"/>
      <x:c r="R86" s="59"/>
      <x:c r="S86" s="59"/>
      <x:c r="T86" s="59"/>
      <x:c r="U86" s="59"/>
      <x:c r="V86" s="59"/>
      <x:c r="W86" s="59"/>
      <x:c r="X86" s="59"/>
      <x:c r="Y86" s="59"/>
      <x:c r="Z86" s="59"/>
      <x:c r="AA86" s="59"/>
      <x:c r="AB86" s="59"/>
      <x:c r="AC86" s="59"/>
      <x:c r="AD86" s="59"/>
      <x:c r="AE86" s="59"/>
      <x:c r="AF86" s="59"/>
      <x:c r="AG86" s="59"/>
      <x:c r="AH86" s="59"/>
      <x:c r="AI86" s="59"/>
      <x:c r="AJ86" s="59"/>
      <x:c r="AK86" s="59"/>
      <x:c r="AL86" s="59"/>
      <x:c r="AM86" s="59"/>
      <x:c r="AN86" s="59"/>
    </x:row>
    <x:row r="87">
      <x:c r="A87" s="59"/>
      <x:c r="B87" s="59"/>
      <x:c r="C87" s="59"/>
      <x:c r="D87" s="59"/>
      <x:c r="E87" s="59"/>
      <x:c r="F87" s="59"/>
      <x:c r="G87" s="59"/>
      <x:c r="H87" s="59"/>
      <x:c r="I87" s="59"/>
      <x:c r="J87" s="59"/>
      <x:c r="K87" s="59"/>
      <x:c r="L87" s="59"/>
      <x:c r="M87" s="59"/>
      <x:c r="N87" s="59"/>
      <x:c r="O87" s="59"/>
      <x:c r="P87" s="59"/>
      <x:c r="Q87" s="59"/>
      <x:c r="R87" s="59"/>
      <x:c r="S87" s="59"/>
      <x:c r="T87" s="59"/>
      <x:c r="U87" s="59"/>
      <x:c r="V87" s="59"/>
      <x:c r="W87" s="59"/>
      <x:c r="X87" s="59"/>
      <x:c r="Y87" s="59"/>
      <x:c r="Z87" s="59"/>
      <x:c r="AA87" s="59"/>
      <x:c r="AB87" s="59"/>
      <x:c r="AC87" s="59"/>
      <x:c r="AD87" s="59"/>
      <x:c r="AE87" s="59"/>
      <x:c r="AF87" s="59"/>
      <x:c r="AG87" s="59"/>
      <x:c r="AH87" s="59"/>
      <x:c r="AI87" s="59"/>
      <x:c r="AJ87" s="59"/>
      <x:c r="AK87" s="59"/>
      <x:c r="AL87" s="59"/>
      <x:c r="AM87" s="59"/>
      <x:c r="AN87" s="59"/>
    </x:row>
    <x:row r="88">
      <x:c r="A88" s="59"/>
      <x:c r="B88" s="59"/>
      <x:c r="C88" s="59"/>
      <x:c r="D88" s="59"/>
      <x:c r="E88" s="59"/>
      <x:c r="F88" s="59"/>
      <x:c r="G88" s="59"/>
      <x:c r="H88" s="59"/>
      <x:c r="I88" s="59"/>
      <x:c r="J88" s="59"/>
      <x:c r="K88" s="59"/>
      <x:c r="L88" s="59"/>
      <x:c r="M88" s="59"/>
      <x:c r="N88" s="59"/>
      <x:c r="O88" s="59"/>
      <x:c r="P88" s="59"/>
      <x:c r="Q88" s="59"/>
      <x:c r="R88" s="59"/>
      <x:c r="S88" s="59"/>
      <x:c r="T88" s="59"/>
      <x:c r="U88" s="59"/>
      <x:c r="V88" s="59"/>
      <x:c r="W88" s="59"/>
      <x:c r="X88" s="59"/>
      <x:c r="Y88" s="59"/>
      <x:c r="Z88" s="59"/>
      <x:c r="AA88" s="59"/>
      <x:c r="AB88" s="59"/>
      <x:c r="AC88" s="59"/>
      <x:c r="AD88" s="59"/>
      <x:c r="AE88" s="59"/>
      <x:c r="AF88" s="59"/>
      <x:c r="AG88" s="59"/>
      <x:c r="AH88" s="59"/>
      <x:c r="AI88" s="59"/>
      <x:c r="AJ88" s="59"/>
      <x:c r="AK88" s="59"/>
      <x:c r="AL88" s="59"/>
      <x:c r="AM88" s="59"/>
      <x:c r="AN88" s="59"/>
    </x:row>
    <x:row r="89">
      <x:c r="A89" s="59"/>
      <x:c r="B89" s="59"/>
      <x:c r="C89" s="59"/>
      <x:c r="D89" s="59"/>
      <x:c r="E89" s="59"/>
      <x:c r="F89" s="59"/>
      <x:c r="G89" s="59"/>
      <x:c r="H89" s="59"/>
      <x:c r="I89" s="59"/>
      <x:c r="J89" s="59"/>
      <x:c r="K89" s="59"/>
      <x:c r="L89" s="59"/>
      <x:c r="M89" s="59"/>
      <x:c r="N89" s="59"/>
      <x:c r="O89" s="59"/>
      <x:c r="P89" s="59"/>
      <x:c r="Q89" s="59"/>
      <x:c r="R89" s="59"/>
      <x:c r="S89" s="59"/>
      <x:c r="T89" s="59"/>
      <x:c r="U89" s="59"/>
      <x:c r="V89" s="59"/>
      <x:c r="W89" s="59"/>
      <x:c r="X89" s="59"/>
      <x:c r="Y89" s="59"/>
      <x:c r="Z89" s="59"/>
      <x:c r="AA89" s="59"/>
      <x:c r="AB89" s="59"/>
      <x:c r="AC89" s="59"/>
      <x:c r="AD89" s="59"/>
      <x:c r="AE89" s="59"/>
      <x:c r="AF89" s="59"/>
      <x:c r="AG89" s="59"/>
      <x:c r="AH89" s="59"/>
      <x:c r="AI89" s="59"/>
      <x:c r="AJ89" s="59"/>
      <x:c r="AK89" s="59"/>
      <x:c r="AL89" s="59"/>
      <x:c r="AM89" s="59"/>
      <x:c r="AN89" s="59"/>
    </x:row>
    <x:row r="90">
      <x:c r="A90" s="59"/>
      <x:c r="B90" s="59"/>
      <x:c r="C90" s="59"/>
      <x:c r="D90" s="59"/>
      <x:c r="E90" s="59"/>
      <x:c r="F90" s="59"/>
      <x:c r="G90" s="59"/>
      <x:c r="H90" s="59"/>
      <x:c r="I90" s="59"/>
      <x:c r="J90" s="59"/>
      <x:c r="K90" s="59"/>
      <x:c r="L90" s="59"/>
      <x:c r="M90" s="59"/>
      <x:c r="N90" s="59"/>
      <x:c r="O90" s="59"/>
      <x:c r="P90" s="59"/>
      <x:c r="Q90" s="59"/>
      <x:c r="R90" s="59"/>
      <x:c r="S90" s="59"/>
      <x:c r="T90" s="59"/>
      <x:c r="U90" s="59"/>
      <x:c r="V90" s="59"/>
      <x:c r="W90" s="59"/>
      <x:c r="X90" s="59"/>
      <x:c r="Y90" s="59"/>
      <x:c r="Z90" s="59"/>
      <x:c r="AA90" s="59"/>
      <x:c r="AB90" s="59"/>
      <x:c r="AC90" s="59"/>
      <x:c r="AD90" s="59"/>
      <x:c r="AE90" s="59"/>
      <x:c r="AF90" s="59"/>
      <x:c r="AG90" s="59"/>
      <x:c r="AH90" s="59"/>
      <x:c r="AI90" s="59"/>
      <x:c r="AJ90" s="59"/>
      <x:c r="AK90" s="59"/>
      <x:c r="AL90" s="59"/>
      <x:c r="AM90" s="59"/>
      <x:c r="AN90" s="59"/>
    </x:row>
    <x:row r="91">
      <x:c r="A91" s="59"/>
      <x:c r="B91" s="59"/>
      <x:c r="C91" s="59"/>
      <x:c r="D91" s="59"/>
      <x:c r="E91" s="59"/>
      <x:c r="F91" s="59"/>
      <x:c r="G91" s="59"/>
      <x:c r="H91" s="59"/>
      <x:c r="I91" s="59"/>
      <x:c r="J91" s="59"/>
      <x:c r="K91" s="59"/>
      <x:c r="L91" s="59"/>
      <x:c r="M91" s="59"/>
      <x:c r="N91" s="59"/>
      <x:c r="O91" s="59"/>
      <x:c r="P91" s="59"/>
      <x:c r="Q91" s="59"/>
      <x:c r="R91" s="59"/>
      <x:c r="S91" s="59"/>
      <x:c r="T91" s="59"/>
      <x:c r="U91" s="59"/>
      <x:c r="V91" s="59"/>
      <x:c r="W91" s="59"/>
      <x:c r="X91" s="59"/>
      <x:c r="Y91" s="59"/>
      <x:c r="Z91" s="59"/>
      <x:c r="AA91" s="59"/>
      <x:c r="AB91" s="59"/>
      <x:c r="AC91" s="59"/>
      <x:c r="AD91" s="59"/>
      <x:c r="AE91" s="59"/>
      <x:c r="AF91" s="59"/>
      <x:c r="AG91" s="59"/>
      <x:c r="AH91" s="59"/>
      <x:c r="AI91" s="59"/>
      <x:c r="AJ91" s="59"/>
      <x:c r="AK91" s="59"/>
      <x:c r="AL91" s="59"/>
      <x:c r="AM91" s="59"/>
      <x:c r="AN91" s="59"/>
    </x:row>
    <x:row r="92">
      <x:c r="A92" s="59"/>
      <x:c r="B92" s="59"/>
      <x:c r="C92" s="59"/>
      <x:c r="D92" s="59"/>
      <x:c r="E92" s="59"/>
      <x:c r="F92" s="59"/>
      <x:c r="G92" s="59"/>
      <x:c r="H92" s="59"/>
      <x:c r="I92" s="59"/>
      <x:c r="J92" s="59"/>
      <x:c r="K92" s="59"/>
      <x:c r="L92" s="59"/>
      <x:c r="M92" s="59"/>
      <x:c r="N92" s="59"/>
      <x:c r="O92" s="59"/>
      <x:c r="P92" s="59"/>
      <x:c r="Q92" s="59"/>
      <x:c r="R92" s="59"/>
      <x:c r="S92" s="59"/>
      <x:c r="T92" s="59"/>
      <x:c r="U92" s="59"/>
      <x:c r="V92" s="59"/>
      <x:c r="W92" s="59"/>
      <x:c r="X92" s="59"/>
      <x:c r="Y92" s="59"/>
      <x:c r="Z92" s="59"/>
      <x:c r="AA92" s="59"/>
      <x:c r="AB92" s="59"/>
      <x:c r="AC92" s="59"/>
      <x:c r="AD92" s="59"/>
      <x:c r="AE92" s="59"/>
      <x:c r="AF92" s="59"/>
      <x:c r="AG92" s="59"/>
      <x:c r="AH92" s="59"/>
      <x:c r="AI92" s="59"/>
      <x:c r="AJ92" s="59"/>
      <x:c r="AK92" s="59"/>
      <x:c r="AL92" s="59"/>
      <x:c r="AM92" s="59"/>
      <x:c r="AN92" s="59"/>
    </x:row>
    <x:row r="93">
      <x:c r="A93" s="59"/>
      <x:c r="B93" s="59"/>
      <x:c r="C93" s="59"/>
      <x:c r="D93" s="59"/>
      <x:c r="E93" s="59"/>
      <x:c r="F93" s="59"/>
      <x:c r="G93" s="59"/>
      <x:c r="H93" s="59"/>
      <x:c r="I93" s="59"/>
      <x:c r="J93" s="59"/>
      <x:c r="K93" s="59"/>
      <x:c r="L93" s="59"/>
      <x:c r="M93" s="59"/>
      <x:c r="N93" s="59"/>
      <x:c r="O93" s="59"/>
      <x:c r="P93" s="59"/>
      <x:c r="Q93" s="59"/>
      <x:c r="R93" s="59"/>
      <x:c r="S93" s="59"/>
      <x:c r="T93" s="59"/>
      <x:c r="U93" s="59"/>
      <x:c r="V93" s="59"/>
      <x:c r="W93" s="59"/>
      <x:c r="X93" s="59"/>
      <x:c r="Y93" s="59"/>
      <x:c r="Z93" s="59"/>
      <x:c r="AA93" s="59"/>
      <x:c r="AB93" s="59"/>
      <x:c r="AC93" s="59"/>
      <x:c r="AD93" s="59"/>
      <x:c r="AE93" s="59"/>
      <x:c r="AF93" s="59"/>
      <x:c r="AG93" s="59"/>
      <x:c r="AH93" s="59"/>
      <x:c r="AI93" s="59"/>
      <x:c r="AJ93" s="59"/>
      <x:c r="AK93" s="59"/>
      <x:c r="AL93" s="59"/>
      <x:c r="AM93" s="59"/>
      <x:c r="AN93" s="59"/>
    </x:row>
    <x:row r="94">
      <x:c r="A94" s="59"/>
      <x:c r="B94" s="59"/>
      <x:c r="C94" s="59"/>
      <x:c r="D94" s="59"/>
      <x:c r="E94" s="59"/>
      <x:c r="F94" s="59"/>
      <x:c r="G94" s="59"/>
      <x:c r="H94" s="59"/>
      <x:c r="I94" s="59"/>
      <x:c r="J94" s="59"/>
      <x:c r="K94" s="59"/>
      <x:c r="L94" s="59"/>
      <x:c r="M94" s="59"/>
      <x:c r="N94" s="59"/>
      <x:c r="O94" s="59"/>
      <x:c r="P94" s="59"/>
      <x:c r="Q94" s="59"/>
      <x:c r="R94" s="59"/>
      <x:c r="S94" s="59"/>
      <x:c r="T94" s="59"/>
      <x:c r="U94" s="59"/>
      <x:c r="V94" s="59"/>
      <x:c r="W94" s="59"/>
      <x:c r="X94" s="59"/>
      <x:c r="Y94" s="59"/>
      <x:c r="Z94" s="59"/>
      <x:c r="AA94" s="59"/>
      <x:c r="AB94" s="59"/>
      <x:c r="AC94" s="59"/>
      <x:c r="AD94" s="59"/>
      <x:c r="AE94" s="59"/>
      <x:c r="AF94" s="59"/>
      <x:c r="AG94" s="59"/>
      <x:c r="AH94" s="59"/>
      <x:c r="AI94" s="59"/>
      <x:c r="AJ94" s="59"/>
      <x:c r="AK94" s="59"/>
      <x:c r="AL94" s="59"/>
      <x:c r="AM94" s="59"/>
      <x:c r="AN94" s="59"/>
    </x:row>
    <x:row r="95">
      <x:c r="A95" s="59"/>
      <x:c r="B95" s="59"/>
      <x:c r="C95" s="59"/>
      <x:c r="D95" s="59"/>
      <x:c r="E95" s="59"/>
      <x:c r="F95" s="59"/>
      <x:c r="G95" s="59"/>
      <x:c r="H95" s="59"/>
      <x:c r="I95" s="59"/>
      <x:c r="J95" s="59"/>
      <x:c r="K95" s="59"/>
      <x:c r="L95" s="59"/>
      <x:c r="M95" s="59"/>
      <x:c r="N95" s="59"/>
      <x:c r="O95" s="59"/>
      <x:c r="P95" s="59"/>
      <x:c r="Q95" s="59"/>
      <x:c r="R95" s="59"/>
      <x:c r="S95" s="59"/>
      <x:c r="T95" s="59"/>
      <x:c r="U95" s="59"/>
      <x:c r="V95" s="59"/>
      <x:c r="W95" s="59"/>
      <x:c r="X95" s="59"/>
      <x:c r="Y95" s="59"/>
      <x:c r="Z95" s="59"/>
      <x:c r="AA95" s="59"/>
      <x:c r="AB95" s="59"/>
      <x:c r="AC95" s="59"/>
      <x:c r="AD95" s="59"/>
      <x:c r="AE95" s="59"/>
      <x:c r="AF95" s="59"/>
      <x:c r="AG95" s="59"/>
      <x:c r="AH95" s="59"/>
      <x:c r="AI95" s="59"/>
      <x:c r="AJ95" s="59"/>
      <x:c r="AK95" s="59"/>
      <x:c r="AL95" s="59"/>
      <x:c r="AM95" s="59"/>
      <x:c r="AN95" s="59"/>
    </x:row>
    <x:row r="96">
      <x:c r="A96" s="59"/>
      <x:c r="B96" s="59"/>
      <x:c r="C96" s="59"/>
      <x:c r="D96" s="59"/>
      <x:c r="E96" s="59"/>
      <x:c r="F96" s="59"/>
      <x:c r="G96" s="59"/>
      <x:c r="H96" s="59"/>
      <x:c r="I96" s="59"/>
      <x:c r="J96" s="59"/>
      <x:c r="K96" s="59"/>
      <x:c r="L96" s="59"/>
      <x:c r="M96" s="59"/>
      <x:c r="N96" s="59"/>
      <x:c r="O96" s="59"/>
      <x:c r="P96" s="59"/>
      <x:c r="Q96" s="59"/>
      <x:c r="R96" s="59"/>
      <x:c r="S96" s="59"/>
      <x:c r="T96" s="59"/>
      <x:c r="U96" s="59"/>
      <x:c r="V96" s="59"/>
      <x:c r="W96" s="59"/>
      <x:c r="X96" s="59"/>
      <x:c r="Y96" s="59"/>
      <x:c r="Z96" s="59"/>
      <x:c r="AA96" s="59"/>
      <x:c r="AB96" s="59"/>
      <x:c r="AC96" s="59"/>
      <x:c r="AD96" s="59"/>
      <x:c r="AE96" s="59"/>
      <x:c r="AF96" s="59"/>
      <x:c r="AG96" s="59"/>
      <x:c r="AH96" s="59"/>
      <x:c r="AI96" s="59"/>
      <x:c r="AJ96" s="59"/>
      <x:c r="AK96" s="59"/>
      <x:c r="AL96" s="59"/>
      <x:c r="AM96" s="59"/>
      <x:c r="AN96" s="59"/>
    </x:row>
    <x:row r="97">
      <x:c r="A97" s="59"/>
      <x:c r="B97" s="59"/>
      <x:c r="C97" s="59"/>
      <x:c r="D97" s="59"/>
      <x:c r="E97" s="59"/>
      <x:c r="F97" s="59"/>
      <x:c r="G97" s="59"/>
      <x:c r="H97" s="59"/>
      <x:c r="I97" s="59"/>
      <x:c r="J97" s="59"/>
      <x:c r="K97" s="59"/>
      <x:c r="L97" s="59"/>
      <x:c r="M97" s="59"/>
      <x:c r="N97" s="59"/>
      <x:c r="O97" s="59"/>
      <x:c r="P97" s="59"/>
      <x:c r="Q97" s="59"/>
      <x:c r="R97" s="59"/>
      <x:c r="S97" s="59"/>
      <x:c r="T97" s="59"/>
      <x:c r="U97" s="59"/>
      <x:c r="V97" s="59"/>
      <x:c r="W97" s="59"/>
      <x:c r="X97" s="59"/>
      <x:c r="Y97" s="59"/>
      <x:c r="Z97" s="59"/>
      <x:c r="AA97" s="59"/>
      <x:c r="AB97" s="59"/>
      <x:c r="AC97" s="59"/>
      <x:c r="AD97" s="59"/>
      <x:c r="AE97" s="59"/>
      <x:c r="AF97" s="59"/>
      <x:c r="AG97" s="59"/>
      <x:c r="AH97" s="59"/>
      <x:c r="AI97" s="59"/>
      <x:c r="AJ97" s="59"/>
      <x:c r="AK97" s="59"/>
      <x:c r="AL97" s="59"/>
      <x:c r="AM97" s="59"/>
      <x:c r="AN97" s="59"/>
    </x:row>
    <x:row r="98">
      <x:c r="A98" s="59"/>
      <x:c r="B98" s="59"/>
      <x:c r="C98" s="59"/>
      <x:c r="D98" s="59"/>
      <x:c r="E98" s="59"/>
      <x:c r="F98" s="59"/>
      <x:c r="G98" s="59"/>
      <x:c r="H98" s="59"/>
      <x:c r="I98" s="59"/>
      <x:c r="J98" s="59"/>
      <x:c r="K98" s="59"/>
      <x:c r="L98" s="59"/>
      <x:c r="M98" s="59"/>
      <x:c r="N98" s="59"/>
      <x:c r="O98" s="59"/>
      <x:c r="P98" s="59"/>
      <x:c r="Q98" s="59"/>
      <x:c r="R98" s="59"/>
      <x:c r="S98" s="59"/>
      <x:c r="T98" s="59"/>
      <x:c r="U98" s="59"/>
      <x:c r="V98" s="59"/>
      <x:c r="W98" s="59"/>
      <x:c r="X98" s="59"/>
      <x:c r="Y98" s="59"/>
      <x:c r="Z98" s="59"/>
      <x:c r="AA98" s="59"/>
      <x:c r="AB98" s="59"/>
      <x:c r="AC98" s="59"/>
      <x:c r="AD98" s="59"/>
      <x:c r="AE98" s="59"/>
      <x:c r="AF98" s="59"/>
      <x:c r="AG98" s="59"/>
      <x:c r="AH98" s="59"/>
      <x:c r="AI98" s="59"/>
      <x:c r="AJ98" s="59"/>
      <x:c r="AK98" s="59"/>
      <x:c r="AL98" s="59"/>
      <x:c r="AM98" s="59"/>
      <x:c r="AN98" s="59"/>
    </x:row>
    <x:row r="99">
      <x:c r="A99" s="59"/>
      <x:c r="B99" s="59"/>
      <x:c r="C99" s="59"/>
      <x:c r="D99" s="59"/>
      <x:c r="E99" s="59"/>
      <x:c r="F99" s="59"/>
      <x:c r="G99" s="59"/>
      <x:c r="H99" s="59"/>
      <x:c r="I99" s="59"/>
      <x:c r="J99" s="59"/>
      <x:c r="K99" s="59"/>
      <x:c r="L99" s="59"/>
      <x:c r="M99" s="59"/>
      <x:c r="N99" s="59"/>
      <x:c r="O99" s="59"/>
      <x:c r="P99" s="59"/>
      <x:c r="Q99" s="59"/>
      <x:c r="R99" s="59"/>
      <x:c r="S99" s="59"/>
      <x:c r="T99" s="59"/>
      <x:c r="U99" s="59"/>
      <x:c r="V99" s="59"/>
      <x:c r="W99" s="59"/>
      <x:c r="X99" s="59"/>
      <x:c r="Y99" s="59"/>
      <x:c r="Z99" s="59"/>
      <x:c r="AA99" s="59"/>
      <x:c r="AB99" s="59"/>
      <x:c r="AC99" s="59"/>
      <x:c r="AD99" s="59"/>
      <x:c r="AE99" s="59"/>
      <x:c r="AF99" s="59"/>
      <x:c r="AG99" s="59"/>
      <x:c r="AH99" s="59"/>
      <x:c r="AI99" s="59"/>
      <x:c r="AJ99" s="59"/>
      <x:c r="AK99" s="59"/>
      <x:c r="AL99" s="59"/>
      <x:c r="AM99" s="59"/>
      <x:c r="AN99" s="59"/>
    </x:row>
    <x:row r="100">
      <x:c r="A100" s="59"/>
      <x:c r="B100" s="59"/>
      <x:c r="C100" s="59"/>
      <x:c r="D100" s="59"/>
      <x:c r="E100" s="59"/>
      <x:c r="F100" s="59"/>
      <x:c r="G100" s="59"/>
      <x:c r="H100" s="59"/>
      <x:c r="I100" s="59"/>
      <x:c r="J100" s="59"/>
      <x:c r="K100" s="59"/>
      <x:c r="L100" s="59"/>
      <x:c r="M100" s="59"/>
      <x:c r="N100" s="59"/>
      <x:c r="O100" s="59"/>
      <x:c r="P100" s="59"/>
      <x:c r="Q100" s="59"/>
      <x:c r="R100" s="59"/>
      <x:c r="S100" s="59"/>
      <x:c r="T100" s="59"/>
      <x:c r="U100" s="59"/>
      <x:c r="V100" s="59"/>
      <x:c r="W100" s="59"/>
      <x:c r="X100" s="59"/>
      <x:c r="Y100" s="59"/>
      <x:c r="Z100" s="59"/>
      <x:c r="AA100" s="59"/>
      <x:c r="AB100" s="59"/>
      <x:c r="AC100" s="59"/>
      <x:c r="AD100" s="59"/>
      <x:c r="AE100" s="59"/>
      <x:c r="AF100" s="59"/>
      <x:c r="AG100" s="59"/>
      <x:c r="AH100" s="59"/>
      <x:c r="AI100" s="59"/>
      <x:c r="AJ100" s="59"/>
      <x:c r="AK100" s="59"/>
      <x:c r="AL100" s="59"/>
      <x:c r="AM100" s="59"/>
      <x:c r="AN100" s="59"/>
    </x:row>
    <x:row r="101">
      <x:c r="A101" s="59"/>
      <x:c r="B101" s="59"/>
      <x:c r="C101" s="59"/>
      <x:c r="D101" s="59"/>
      <x:c r="E101" s="59"/>
      <x:c r="F101" s="59"/>
      <x:c r="G101" s="59"/>
      <x:c r="H101" s="59"/>
      <x:c r="I101" s="59"/>
      <x:c r="J101" s="59"/>
      <x:c r="K101" s="59"/>
      <x:c r="L101" s="59"/>
      <x:c r="M101" s="59"/>
      <x:c r="N101" s="59"/>
      <x:c r="O101" s="59"/>
      <x:c r="P101" s="59"/>
      <x:c r="Q101" s="59"/>
      <x:c r="R101" s="59"/>
      <x:c r="S101" s="59"/>
      <x:c r="T101" s="59"/>
      <x:c r="U101" s="59"/>
      <x:c r="V101" s="59"/>
      <x:c r="W101" s="59"/>
      <x:c r="X101" s="59"/>
      <x:c r="Y101" s="59"/>
      <x:c r="Z101" s="59"/>
      <x:c r="AA101" s="59"/>
      <x:c r="AB101" s="59"/>
      <x:c r="AC101" s="59"/>
      <x:c r="AD101" s="59"/>
      <x:c r="AE101" s="59"/>
      <x:c r="AF101" s="59"/>
      <x:c r="AG101" s="59"/>
      <x:c r="AH101" s="59"/>
      <x:c r="AI101" s="59"/>
      <x:c r="AJ101" s="59"/>
      <x:c r="AK101" s="59"/>
      <x:c r="AL101" s="59"/>
      <x:c r="AM101" s="59"/>
      <x:c r="AN101" s="59"/>
    </x:row>
    <x:row r="102">
      <x:c r="A102" s="59"/>
      <x:c r="B102" s="59"/>
      <x:c r="C102" s="59"/>
      <x:c r="D102" s="59"/>
      <x:c r="E102" s="59"/>
      <x:c r="F102" s="59"/>
      <x:c r="G102" s="59"/>
      <x:c r="H102" s="59"/>
      <x:c r="I102" s="59"/>
      <x:c r="J102" s="59"/>
      <x:c r="K102" s="59"/>
      <x:c r="L102" s="59"/>
      <x:c r="M102" s="59"/>
      <x:c r="N102" s="59"/>
      <x:c r="O102" s="59"/>
      <x:c r="P102" s="59"/>
      <x:c r="Q102" s="59"/>
      <x:c r="R102" s="59"/>
      <x:c r="S102" s="59"/>
      <x:c r="T102" s="59"/>
      <x:c r="U102" s="59"/>
      <x:c r="V102" s="59"/>
      <x:c r="W102" s="59"/>
      <x:c r="X102" s="59"/>
      <x:c r="Y102" s="59"/>
      <x:c r="Z102" s="59"/>
      <x:c r="AA102" s="59"/>
      <x:c r="AB102" s="59"/>
      <x:c r="AC102" s="59"/>
      <x:c r="AD102" s="59"/>
      <x:c r="AE102" s="59"/>
      <x:c r="AF102" s="59"/>
      <x:c r="AG102" s="59"/>
      <x:c r="AH102" s="59"/>
      <x:c r="AI102" s="59"/>
      <x:c r="AJ102" s="59"/>
      <x:c r="AK102" s="59"/>
      <x:c r="AL102" s="59"/>
      <x:c r="AM102" s="59"/>
      <x:c r="AN102" s="59"/>
    </x:row>
    <x:row r="103">
      <x:c r="A103" s="59"/>
      <x:c r="B103" s="59"/>
      <x:c r="C103" s="59"/>
      <x:c r="D103" s="59"/>
      <x:c r="E103" s="59"/>
      <x:c r="F103" s="59"/>
      <x:c r="G103" s="59"/>
      <x:c r="H103" s="59"/>
      <x:c r="I103" s="59"/>
      <x:c r="J103" s="59"/>
      <x:c r="K103" s="59"/>
      <x:c r="L103" s="59"/>
      <x:c r="M103" s="59"/>
      <x:c r="N103" s="59"/>
      <x:c r="O103" s="59"/>
      <x:c r="P103" s="59"/>
      <x:c r="Q103" s="59"/>
      <x:c r="R103" s="59"/>
      <x:c r="S103" s="59"/>
      <x:c r="T103" s="59"/>
      <x:c r="U103" s="59"/>
      <x:c r="V103" s="59"/>
      <x:c r="W103" s="59"/>
      <x:c r="X103" s="59"/>
      <x:c r="Y103" s="59"/>
      <x:c r="Z103" s="59"/>
      <x:c r="AA103" s="59"/>
      <x:c r="AB103" s="59"/>
      <x:c r="AC103" s="59"/>
      <x:c r="AD103" s="59"/>
      <x:c r="AE103" s="59"/>
      <x:c r="AF103" s="59"/>
      <x:c r="AG103" s="59"/>
      <x:c r="AH103" s="59"/>
      <x:c r="AI103" s="59"/>
      <x:c r="AJ103" s="59"/>
      <x:c r="AK103" s="59"/>
      <x:c r="AL103" s="59"/>
      <x:c r="AM103" s="59"/>
      <x:c r="AN103" s="59"/>
    </x:row>
    <x:row r="104">
      <x:c r="A104" s="59"/>
      <x:c r="B104" s="59"/>
      <x:c r="C104" s="59"/>
      <x:c r="D104" s="59"/>
      <x:c r="E104" s="59"/>
      <x:c r="F104" s="59"/>
      <x:c r="G104" s="59"/>
      <x:c r="H104" s="59"/>
      <x:c r="I104" s="59"/>
      <x:c r="J104" s="59"/>
      <x:c r="K104" s="59"/>
      <x:c r="L104" s="59"/>
      <x:c r="M104" s="59"/>
      <x:c r="N104" s="59"/>
      <x:c r="O104" s="59"/>
      <x:c r="P104" s="59"/>
      <x:c r="Q104" s="59"/>
      <x:c r="R104" s="59"/>
      <x:c r="S104" s="59"/>
      <x:c r="T104" s="59"/>
      <x:c r="U104" s="59"/>
      <x:c r="V104" s="59"/>
      <x:c r="W104" s="59"/>
      <x:c r="X104" s="59"/>
      <x:c r="Y104" s="59"/>
      <x:c r="Z104" s="59"/>
      <x:c r="AA104" s="59"/>
      <x:c r="AB104" s="59"/>
      <x:c r="AC104" s="59"/>
      <x:c r="AD104" s="59"/>
      <x:c r="AE104" s="59"/>
      <x:c r="AF104" s="59"/>
      <x:c r="AG104" s="59"/>
      <x:c r="AH104" s="59"/>
      <x:c r="AI104" s="59"/>
      <x:c r="AJ104" s="59"/>
      <x:c r="AK104" s="59"/>
      <x:c r="AL104" s="59"/>
      <x:c r="AM104" s="59"/>
      <x:c r="AN104" s="59"/>
    </x:row>
    <x:row r="105">
      <x:c r="A105" s="59"/>
      <x:c r="B105" s="59"/>
      <x:c r="C105" s="59"/>
      <x:c r="D105" s="59"/>
      <x:c r="E105" s="59"/>
      <x:c r="F105" s="59"/>
      <x:c r="G105" s="59"/>
      <x:c r="H105" s="59"/>
      <x:c r="I105" s="59"/>
      <x:c r="J105" s="59"/>
      <x:c r="K105" s="59"/>
      <x:c r="L105" s="59"/>
      <x:c r="M105" s="59"/>
      <x:c r="N105" s="59"/>
      <x:c r="O105" s="59"/>
      <x:c r="P105" s="59"/>
      <x:c r="Q105" s="59"/>
      <x:c r="R105" s="59"/>
      <x:c r="S105" s="59"/>
      <x:c r="T105" s="59"/>
      <x:c r="U105" s="59"/>
      <x:c r="V105" s="59"/>
      <x:c r="W105" s="59"/>
      <x:c r="X105" s="59"/>
      <x:c r="Y105" s="59"/>
      <x:c r="Z105" s="59"/>
      <x:c r="AA105" s="59"/>
      <x:c r="AB105" s="59"/>
      <x:c r="AC105" s="59"/>
      <x:c r="AD105" s="59"/>
      <x:c r="AE105" s="59"/>
      <x:c r="AF105" s="59"/>
      <x:c r="AG105" s="59"/>
      <x:c r="AH105" s="59"/>
      <x:c r="AI105" s="59"/>
      <x:c r="AJ105" s="59"/>
      <x:c r="AK105" s="59"/>
      <x:c r="AL105" s="59"/>
      <x:c r="AM105" s="59"/>
      <x:c r="AN105" s="59"/>
    </x:row>
    <x:row r="106">
      <x:c r="A106" s="59"/>
      <x:c r="B106" s="59"/>
      <x:c r="C106" s="59"/>
      <x:c r="D106" s="59"/>
      <x:c r="E106" s="59"/>
      <x:c r="F106" s="59"/>
      <x:c r="G106" s="59"/>
      <x:c r="H106" s="59"/>
      <x:c r="I106" s="59"/>
      <x:c r="J106" s="59"/>
      <x:c r="K106" s="59"/>
      <x:c r="L106" s="59"/>
      <x:c r="M106" s="59"/>
      <x:c r="N106" s="59"/>
      <x:c r="O106" s="59"/>
      <x:c r="P106" s="59"/>
      <x:c r="Q106" s="59"/>
      <x:c r="R106" s="59"/>
      <x:c r="S106" s="59"/>
      <x:c r="T106" s="59"/>
      <x:c r="U106" s="59"/>
      <x:c r="V106" s="59"/>
      <x:c r="W106" s="59"/>
      <x:c r="X106" s="59"/>
      <x:c r="Y106" s="59"/>
      <x:c r="Z106" s="59"/>
      <x:c r="AA106" s="59"/>
      <x:c r="AB106" s="59"/>
      <x:c r="AC106" s="59"/>
      <x:c r="AD106" s="59"/>
      <x:c r="AE106" s="59"/>
      <x:c r="AF106" s="59"/>
      <x:c r="AG106" s="59"/>
      <x:c r="AH106" s="59"/>
      <x:c r="AI106" s="59"/>
      <x:c r="AJ106" s="59"/>
      <x:c r="AK106" s="59"/>
      <x:c r="AL106" s="59"/>
      <x:c r="AM106" s="59"/>
      <x:c r="AN106" s="59"/>
    </x:row>
    <x:row r="107">
      <x:c r="A107" s="59"/>
      <x:c r="B107" s="59"/>
      <x:c r="C107" s="59"/>
      <x:c r="D107" s="59"/>
      <x:c r="E107" s="59"/>
      <x:c r="F107" s="59"/>
      <x:c r="G107" s="59"/>
      <x:c r="H107" s="59"/>
      <x:c r="I107" s="59"/>
      <x:c r="J107" s="59"/>
      <x:c r="K107" s="59"/>
      <x:c r="L107" s="59"/>
      <x:c r="M107" s="59"/>
      <x:c r="N107" s="59"/>
      <x:c r="O107" s="59"/>
      <x:c r="P107" s="59"/>
      <x:c r="Q107" s="59"/>
      <x:c r="R107" s="59"/>
      <x:c r="S107" s="59"/>
      <x:c r="T107" s="59"/>
      <x:c r="U107" s="59"/>
      <x:c r="V107" s="59"/>
      <x:c r="W107" s="59"/>
      <x:c r="X107" s="59"/>
      <x:c r="Y107" s="59"/>
      <x:c r="Z107" s="59"/>
      <x:c r="AA107" s="59"/>
      <x:c r="AB107" s="59"/>
      <x:c r="AC107" s="59"/>
      <x:c r="AD107" s="59"/>
      <x:c r="AE107" s="59"/>
      <x:c r="AF107" s="59"/>
      <x:c r="AG107" s="59"/>
      <x:c r="AH107" s="59"/>
      <x:c r="AI107" s="59"/>
      <x:c r="AJ107" s="59"/>
      <x:c r="AK107" s="59"/>
      <x:c r="AL107" s="59"/>
      <x:c r="AM107" s="59"/>
      <x:c r="AN107" s="59"/>
    </x:row>
    <x:row r="108">
      <x:c r="A108" s="59"/>
      <x:c r="B108" s="59"/>
      <x:c r="C108" s="59"/>
      <x:c r="D108" s="59"/>
      <x:c r="E108" s="59"/>
      <x:c r="F108" s="59"/>
      <x:c r="G108" s="59"/>
      <x:c r="H108" s="59"/>
      <x:c r="I108" s="59"/>
      <x:c r="J108" s="59"/>
      <x:c r="K108" s="59"/>
      <x:c r="L108" s="59"/>
      <x:c r="M108" s="59"/>
      <x:c r="N108" s="59"/>
      <x:c r="O108" s="59"/>
      <x:c r="P108" s="59"/>
      <x:c r="Q108" s="59"/>
      <x:c r="R108" s="59"/>
      <x:c r="S108" s="59"/>
      <x:c r="T108" s="59"/>
      <x:c r="U108" s="59"/>
      <x:c r="V108" s="59"/>
      <x:c r="W108" s="59"/>
      <x:c r="X108" s="59"/>
      <x:c r="Y108" s="59"/>
      <x:c r="Z108" s="59"/>
      <x:c r="AA108" s="59"/>
      <x:c r="AB108" s="59"/>
      <x:c r="AC108" s="59"/>
      <x:c r="AD108" s="59"/>
      <x:c r="AE108" s="59"/>
      <x:c r="AF108" s="59"/>
      <x:c r="AG108" s="59"/>
      <x:c r="AH108" s="59"/>
      <x:c r="AI108" s="59"/>
      <x:c r="AJ108" s="59"/>
      <x:c r="AK108" s="59"/>
      <x:c r="AL108" s="59"/>
      <x:c r="AM108" s="59"/>
      <x:c r="AN108" s="59"/>
    </x:row>
    <x:row r="109">
      <x:c r="A109" s="59"/>
      <x:c r="B109" s="59"/>
      <x:c r="C109" s="59"/>
      <x:c r="D109" s="59"/>
      <x:c r="E109" s="59"/>
      <x:c r="F109" s="59"/>
      <x:c r="G109" s="59"/>
      <x:c r="H109" s="59"/>
      <x:c r="I109" s="59"/>
      <x:c r="J109" s="59"/>
      <x:c r="K109" s="59"/>
      <x:c r="L109" s="59"/>
      <x:c r="M109" s="59"/>
      <x:c r="N109" s="59"/>
      <x:c r="O109" s="59"/>
      <x:c r="P109" s="59"/>
      <x:c r="Q109" s="59"/>
      <x:c r="R109" s="59"/>
      <x:c r="S109" s="59"/>
      <x:c r="T109" s="59"/>
      <x:c r="U109" s="59"/>
      <x:c r="V109" s="59"/>
      <x:c r="W109" s="59"/>
      <x:c r="X109" s="59"/>
      <x:c r="Y109" s="59"/>
      <x:c r="Z109" s="59"/>
      <x:c r="AA109" s="59"/>
      <x:c r="AB109" s="59"/>
      <x:c r="AC109" s="59"/>
      <x:c r="AD109" s="59"/>
      <x:c r="AE109" s="59"/>
      <x:c r="AF109" s="59"/>
      <x:c r="AG109" s="59"/>
      <x:c r="AH109" s="59"/>
      <x:c r="AI109" s="59"/>
      <x:c r="AJ109" s="59"/>
      <x:c r="AK109" s="59"/>
      <x:c r="AL109" s="59"/>
      <x:c r="AM109" s="59"/>
      <x:c r="AN109" s="59"/>
    </x:row>
    <x:row r="110">
      <x:c r="A110" s="59"/>
      <x:c r="B110" s="59"/>
      <x:c r="C110" s="59"/>
      <x:c r="D110" s="59"/>
      <x:c r="E110" s="59"/>
      <x:c r="F110" s="59"/>
      <x:c r="G110" s="59"/>
      <x:c r="H110" s="59"/>
      <x:c r="I110" s="59"/>
      <x:c r="J110" s="59"/>
      <x:c r="K110" s="59"/>
      <x:c r="L110" s="59"/>
      <x:c r="M110" s="59"/>
      <x:c r="N110" s="59"/>
      <x:c r="O110" s="59"/>
      <x:c r="P110" s="59"/>
      <x:c r="Q110" s="59"/>
      <x:c r="R110" s="59"/>
      <x:c r="S110" s="59"/>
      <x:c r="T110" s="59"/>
      <x:c r="U110" s="59"/>
      <x:c r="V110" s="59"/>
      <x:c r="W110" s="59"/>
      <x:c r="X110" s="59"/>
      <x:c r="Y110" s="59"/>
      <x:c r="Z110" s="59"/>
      <x:c r="AA110" s="59"/>
      <x:c r="AB110" s="59"/>
      <x:c r="AC110" s="59"/>
      <x:c r="AD110" s="59"/>
      <x:c r="AE110" s="59"/>
      <x:c r="AF110" s="59"/>
      <x:c r="AG110" s="59"/>
      <x:c r="AH110" s="59"/>
      <x:c r="AI110" s="59"/>
      <x:c r="AJ110" s="59"/>
      <x:c r="AK110" s="59"/>
      <x:c r="AL110" s="59"/>
      <x:c r="AM110" s="59"/>
      <x:c r="AN110" s="59"/>
    </x:row>
    <x:row r="111">
      <x:c r="A111" s="59"/>
      <x:c r="B111" s="59"/>
      <x:c r="C111" s="59"/>
      <x:c r="D111" s="59"/>
      <x:c r="E111" s="59"/>
      <x:c r="F111" s="59"/>
      <x:c r="G111" s="59"/>
      <x:c r="H111" s="59"/>
      <x:c r="I111" s="59"/>
      <x:c r="J111" s="59"/>
      <x:c r="K111" s="59"/>
      <x:c r="L111" s="59"/>
      <x:c r="M111" s="59"/>
      <x:c r="N111" s="59"/>
      <x:c r="O111" s="59"/>
      <x:c r="P111" s="59"/>
      <x:c r="Q111" s="59"/>
      <x:c r="R111" s="59"/>
      <x:c r="S111" s="59"/>
      <x:c r="T111" s="59"/>
      <x:c r="U111" s="59"/>
      <x:c r="V111" s="59"/>
      <x:c r="W111" s="59"/>
      <x:c r="X111" s="59"/>
      <x:c r="Y111" s="59"/>
      <x:c r="Z111" s="59"/>
      <x:c r="AA111" s="59"/>
      <x:c r="AB111" s="59"/>
      <x:c r="AC111" s="59"/>
      <x:c r="AD111" s="59"/>
      <x:c r="AE111" s="59"/>
      <x:c r="AF111" s="59"/>
      <x:c r="AG111" s="59"/>
      <x:c r="AH111" s="59"/>
      <x:c r="AI111" s="59"/>
      <x:c r="AJ111" s="59"/>
      <x:c r="AK111" s="59"/>
      <x:c r="AL111" s="59"/>
      <x:c r="AM111" s="59"/>
      <x:c r="AN111" s="59"/>
    </x:row>
    <x:row r="112">
      <x:c r="A112" s="59"/>
      <x:c r="B112" s="59"/>
      <x:c r="C112" s="59"/>
      <x:c r="D112" s="59"/>
      <x:c r="E112" s="59"/>
      <x:c r="F112" s="59"/>
      <x:c r="G112" s="59"/>
      <x:c r="H112" s="59"/>
      <x:c r="I112" s="59"/>
      <x:c r="J112" s="59"/>
      <x:c r="K112" s="59"/>
      <x:c r="L112" s="59"/>
      <x:c r="M112" s="59"/>
      <x:c r="N112" s="59"/>
      <x:c r="O112" s="59"/>
      <x:c r="P112" s="59"/>
      <x:c r="Q112" s="59"/>
      <x:c r="R112" s="59"/>
      <x:c r="S112" s="59"/>
      <x:c r="T112" s="59"/>
      <x:c r="U112" s="59"/>
      <x:c r="V112" s="59"/>
      <x:c r="W112" s="59"/>
      <x:c r="X112" s="59"/>
      <x:c r="Y112" s="59"/>
      <x:c r="Z112" s="59"/>
      <x:c r="AA112" s="59"/>
      <x:c r="AB112" s="59"/>
      <x:c r="AC112" s="59"/>
      <x:c r="AD112" s="59"/>
      <x:c r="AE112" s="59"/>
      <x:c r="AF112" s="59"/>
      <x:c r="AG112" s="59"/>
      <x:c r="AH112" s="59"/>
      <x:c r="AI112" s="59"/>
      <x:c r="AJ112" s="59"/>
      <x:c r="AK112" s="59"/>
      <x:c r="AL112" s="59"/>
      <x:c r="AM112" s="59"/>
      <x:c r="AN112" s="59"/>
    </x:row>
    <x:row r="113">
      <x:c r="A113" s="59"/>
      <x:c r="B113" s="59"/>
      <x:c r="C113" s="59"/>
      <x:c r="D113" s="59"/>
      <x:c r="E113" s="59"/>
      <x:c r="F113" s="59"/>
      <x:c r="G113" s="59"/>
      <x:c r="H113" s="59"/>
      <x:c r="I113" s="59"/>
      <x:c r="J113" s="59"/>
      <x:c r="K113" s="59"/>
      <x:c r="L113" s="59"/>
      <x:c r="M113" s="59"/>
      <x:c r="N113" s="59"/>
      <x:c r="O113" s="59"/>
      <x:c r="P113" s="59"/>
      <x:c r="Q113" s="59"/>
      <x:c r="R113" s="59"/>
      <x:c r="S113" s="59"/>
      <x:c r="T113" s="59"/>
      <x:c r="U113" s="59"/>
      <x:c r="V113" s="59"/>
      <x:c r="W113" s="59"/>
      <x:c r="X113" s="59"/>
      <x:c r="Y113" s="59"/>
      <x:c r="Z113" s="59"/>
      <x:c r="AA113" s="59"/>
      <x:c r="AB113" s="59"/>
      <x:c r="AC113" s="59"/>
      <x:c r="AD113" s="59"/>
      <x:c r="AE113" s="59"/>
      <x:c r="AF113" s="59"/>
      <x:c r="AG113" s="59"/>
      <x:c r="AH113" s="59"/>
      <x:c r="AI113" s="59"/>
      <x:c r="AJ113" s="59"/>
      <x:c r="AK113" s="59"/>
      <x:c r="AL113" s="59"/>
      <x:c r="AM113" s="59"/>
      <x:c r="AN113" s="59"/>
    </x:row>
    <x:row r="114">
      <x:c r="A114" s="59"/>
      <x:c r="B114" s="59"/>
      <x:c r="C114" s="59"/>
      <x:c r="D114" s="59"/>
      <x:c r="E114" s="59"/>
      <x:c r="F114" s="59"/>
      <x:c r="G114" s="59"/>
      <x:c r="H114" s="59"/>
      <x:c r="I114" s="59"/>
      <x:c r="J114" s="59"/>
      <x:c r="K114" s="59"/>
      <x:c r="L114" s="59"/>
      <x:c r="M114" s="59"/>
      <x:c r="N114" s="59"/>
      <x:c r="O114" s="59"/>
      <x:c r="P114" s="59"/>
      <x:c r="Q114" s="59"/>
      <x:c r="R114" s="59"/>
      <x:c r="S114" s="59"/>
      <x:c r="T114" s="59"/>
      <x:c r="U114" s="59"/>
      <x:c r="V114" s="59"/>
      <x:c r="W114" s="59"/>
      <x:c r="X114" s="59"/>
      <x:c r="Y114" s="59"/>
      <x:c r="Z114" s="59"/>
      <x:c r="AA114" s="59"/>
      <x:c r="AB114" s="59"/>
      <x:c r="AC114" s="59"/>
      <x:c r="AD114" s="59"/>
      <x:c r="AE114" s="59"/>
      <x:c r="AF114" s="59"/>
      <x:c r="AG114" s="59"/>
      <x:c r="AH114" s="59"/>
      <x:c r="AI114" s="59"/>
      <x:c r="AJ114" s="59"/>
      <x:c r="AK114" s="59"/>
      <x:c r="AL114" s="59"/>
      <x:c r="AM114" s="59"/>
      <x:c r="AN114" s="59"/>
    </x:row>
    <x:row r="115">
      <x:c r="A115" s="59"/>
      <x:c r="B115" s="59"/>
      <x:c r="C115" s="59"/>
      <x:c r="D115" s="59"/>
      <x:c r="E115" s="59"/>
      <x:c r="F115" s="59"/>
      <x:c r="G115" s="59"/>
      <x:c r="H115" s="59"/>
      <x:c r="I115" s="59"/>
      <x:c r="J115" s="59"/>
      <x:c r="K115" s="59"/>
      <x:c r="L115" s="59"/>
      <x:c r="M115" s="59"/>
      <x:c r="N115" s="59"/>
      <x:c r="O115" s="59"/>
      <x:c r="P115" s="59"/>
      <x:c r="Q115" s="59"/>
      <x:c r="R115" s="59"/>
      <x:c r="S115" s="59"/>
      <x:c r="T115" s="59"/>
      <x:c r="U115" s="59"/>
      <x:c r="V115" s="59"/>
      <x:c r="W115" s="59"/>
      <x:c r="X115" s="59"/>
      <x:c r="Y115" s="59"/>
      <x:c r="Z115" s="59"/>
      <x:c r="AA115" s="59"/>
      <x:c r="AB115" s="59"/>
      <x:c r="AC115" s="59"/>
      <x:c r="AD115" s="59"/>
      <x:c r="AE115" s="59"/>
      <x:c r="AF115" s="59"/>
      <x:c r="AG115" s="59"/>
      <x:c r="AH115" s="59"/>
      <x:c r="AI115" s="59"/>
      <x:c r="AJ115" s="59"/>
      <x:c r="AK115" s="59"/>
      <x:c r="AL115" s="59"/>
      <x:c r="AM115" s="59"/>
      <x:c r="AN115" s="59"/>
    </x:row>
    <x:row r="116">
      <x:c r="A116" s="59"/>
      <x:c r="B116" s="59"/>
      <x:c r="C116" s="59"/>
      <x:c r="D116" s="59"/>
      <x:c r="E116" s="59"/>
      <x:c r="F116" s="59"/>
      <x:c r="G116" s="59"/>
      <x:c r="H116" s="59"/>
      <x:c r="I116" s="59"/>
      <x:c r="J116" s="59"/>
      <x:c r="K116" s="59"/>
      <x:c r="L116" s="59"/>
      <x:c r="M116" s="59"/>
      <x:c r="N116" s="59"/>
      <x:c r="O116" s="59"/>
      <x:c r="P116" s="59"/>
      <x:c r="Q116" s="59"/>
      <x:c r="R116" s="59"/>
      <x:c r="S116" s="59"/>
      <x:c r="T116" s="59"/>
      <x:c r="U116" s="59"/>
      <x:c r="V116" s="59"/>
      <x:c r="W116" s="59"/>
      <x:c r="X116" s="59"/>
      <x:c r="Y116" s="59"/>
      <x:c r="Z116" s="59"/>
      <x:c r="AA116" s="59"/>
      <x:c r="AB116" s="59"/>
      <x:c r="AC116" s="59"/>
      <x:c r="AD116" s="59"/>
      <x:c r="AE116" s="59"/>
      <x:c r="AF116" s="59"/>
      <x:c r="AG116" s="59"/>
      <x:c r="AH116" s="59"/>
      <x:c r="AI116" s="59"/>
      <x:c r="AJ116" s="59"/>
      <x:c r="AK116" s="59"/>
      <x:c r="AL116" s="59"/>
      <x:c r="AM116" s="59"/>
      <x:c r="AN116" s="59"/>
    </x:row>
    <x:row r="117">
      <x:c r="A117" s="59"/>
      <x:c r="B117" s="59"/>
      <x:c r="C117" s="59"/>
      <x:c r="D117" s="59"/>
      <x:c r="E117" s="59"/>
      <x:c r="F117" s="59"/>
      <x:c r="G117" s="59"/>
      <x:c r="H117" s="59"/>
      <x:c r="I117" s="59"/>
      <x:c r="J117" s="59"/>
      <x:c r="K117" s="59"/>
      <x:c r="L117" s="59"/>
      <x:c r="M117" s="59"/>
      <x:c r="N117" s="59"/>
      <x:c r="O117" s="59"/>
      <x:c r="P117" s="59"/>
      <x:c r="Q117" s="59"/>
      <x:c r="R117" s="59"/>
      <x:c r="S117" s="59"/>
      <x:c r="T117" s="59"/>
      <x:c r="U117" s="59"/>
      <x:c r="V117" s="59"/>
      <x:c r="W117" s="59"/>
      <x:c r="X117" s="59"/>
      <x:c r="Y117" s="59"/>
      <x:c r="Z117" s="59"/>
      <x:c r="AA117" s="59"/>
      <x:c r="AB117" s="59"/>
      <x:c r="AC117" s="59"/>
      <x:c r="AD117" s="59"/>
      <x:c r="AE117" s="59"/>
      <x:c r="AF117" s="59"/>
      <x:c r="AG117" s="59"/>
      <x:c r="AH117" s="59"/>
      <x:c r="AI117" s="59"/>
      <x:c r="AJ117" s="59"/>
      <x:c r="AK117" s="59"/>
      <x:c r="AL117" s="59"/>
      <x:c r="AM117" s="59"/>
      <x:c r="AN117" s="59"/>
    </x:row>
    <x:row r="118">
      <x:c r="A118" s="59"/>
      <x:c r="B118" s="59"/>
      <x:c r="C118" s="59"/>
      <x:c r="D118" s="59"/>
      <x:c r="E118" s="59"/>
      <x:c r="F118" s="59"/>
      <x:c r="G118" s="59"/>
      <x:c r="H118" s="59"/>
      <x:c r="I118" s="59"/>
      <x:c r="J118" s="59"/>
      <x:c r="K118" s="59"/>
      <x:c r="L118" s="59"/>
      <x:c r="M118" s="59"/>
      <x:c r="N118" s="59"/>
      <x:c r="O118" s="59"/>
      <x:c r="P118" s="59"/>
      <x:c r="Q118" s="59"/>
      <x:c r="R118" s="59"/>
      <x:c r="S118" s="59"/>
      <x:c r="T118" s="59"/>
      <x:c r="U118" s="59"/>
      <x:c r="V118" s="59"/>
      <x:c r="W118" s="59"/>
      <x:c r="X118" s="59"/>
      <x:c r="Y118" s="59"/>
      <x:c r="Z118" s="59"/>
      <x:c r="AA118" s="59"/>
      <x:c r="AB118" s="59"/>
      <x:c r="AC118" s="59"/>
      <x:c r="AD118" s="59"/>
      <x:c r="AE118" s="59"/>
      <x:c r="AF118" s="59"/>
      <x:c r="AG118" s="59"/>
      <x:c r="AH118" s="59"/>
      <x:c r="AI118" s="59"/>
      <x:c r="AJ118" s="59"/>
      <x:c r="AK118" s="59"/>
      <x:c r="AL118" s="59"/>
      <x:c r="AM118" s="59"/>
      <x:c r="AN118" s="59"/>
    </x:row>
    <x:row r="119">
      <x:c r="A119" s="59"/>
      <x:c r="B119" s="59"/>
      <x:c r="C119" s="59"/>
      <x:c r="D119" s="59"/>
      <x:c r="E119" s="59"/>
      <x:c r="F119" s="59"/>
      <x:c r="G119" s="59"/>
      <x:c r="H119" s="59"/>
      <x:c r="I119" s="59"/>
      <x:c r="J119" s="59"/>
      <x:c r="K119" s="59"/>
      <x:c r="L119" s="59"/>
      <x:c r="M119" s="59"/>
      <x:c r="N119" s="59"/>
      <x:c r="O119" s="59"/>
      <x:c r="P119" s="59"/>
      <x:c r="Q119" s="59"/>
      <x:c r="R119" s="59"/>
      <x:c r="S119" s="59"/>
      <x:c r="T119" s="59"/>
      <x:c r="U119" s="59"/>
      <x:c r="V119" s="59"/>
      <x:c r="W119" s="59"/>
      <x:c r="X119" s="59"/>
      <x:c r="Y119" s="59"/>
      <x:c r="Z119" s="59"/>
      <x:c r="AA119" s="59"/>
      <x:c r="AB119" s="59"/>
      <x:c r="AC119" s="59"/>
      <x:c r="AD119" s="59"/>
      <x:c r="AE119" s="59"/>
      <x:c r="AF119" s="59"/>
      <x:c r="AG119" s="59"/>
      <x:c r="AH119" s="59"/>
      <x:c r="AI119" s="59"/>
      <x:c r="AJ119" s="59"/>
      <x:c r="AK119" s="59"/>
      <x:c r="AL119" s="59"/>
      <x:c r="AM119" s="59"/>
      <x:c r="AN119" s="59"/>
    </x:row>
    <x:row r="120">
      <x:c r="A120" s="59"/>
      <x:c r="B120" s="59"/>
      <x:c r="C120" s="59"/>
      <x:c r="D120" s="59"/>
      <x:c r="E120" s="59"/>
      <x:c r="F120" s="59"/>
      <x:c r="G120" s="59"/>
      <x:c r="H120" s="59"/>
      <x:c r="I120" s="59"/>
      <x:c r="J120" s="59"/>
      <x:c r="K120" s="59"/>
      <x:c r="L120" s="59"/>
      <x:c r="M120" s="59"/>
      <x:c r="N120" s="59"/>
      <x:c r="O120" s="59"/>
      <x:c r="P120" s="59"/>
      <x:c r="Q120" s="59"/>
      <x:c r="R120" s="59"/>
      <x:c r="S120" s="59"/>
      <x:c r="T120" s="59"/>
      <x:c r="U120" s="59"/>
      <x:c r="V120" s="59"/>
      <x:c r="W120" s="59"/>
      <x:c r="X120" s="59"/>
      <x:c r="Y120" s="59"/>
      <x:c r="Z120" s="59"/>
      <x:c r="AA120" s="59"/>
      <x:c r="AB120" s="59"/>
      <x:c r="AC120" s="59"/>
      <x:c r="AD120" s="59"/>
      <x:c r="AE120" s="59"/>
      <x:c r="AF120" s="59"/>
      <x:c r="AG120" s="59"/>
      <x:c r="AH120" s="59"/>
      <x:c r="AI120" s="59"/>
      <x:c r="AJ120" s="59"/>
      <x:c r="AK120" s="59"/>
      <x:c r="AL120" s="59"/>
      <x:c r="AM120" s="59"/>
      <x:c r="AN120" s="59"/>
    </x:row>
    <x:row r="121">
      <x:c r="A121" s="59"/>
      <x:c r="B121" s="59"/>
      <x:c r="C121" s="59"/>
      <x:c r="D121" s="59"/>
      <x:c r="E121" s="59"/>
      <x:c r="F121" s="59"/>
      <x:c r="G121" s="59"/>
      <x:c r="H121" s="59"/>
      <x:c r="I121" s="59"/>
      <x:c r="J121" s="59"/>
      <x:c r="K121" s="59"/>
      <x:c r="L121" s="59"/>
      <x:c r="M121" s="59"/>
      <x:c r="N121" s="59"/>
      <x:c r="O121" s="59"/>
      <x:c r="P121" s="59"/>
      <x:c r="Q121" s="59"/>
      <x:c r="R121" s="59"/>
      <x:c r="S121" s="59"/>
      <x:c r="T121" s="59"/>
      <x:c r="U121" s="59"/>
      <x:c r="V121" s="59"/>
      <x:c r="W121" s="59"/>
      <x:c r="X121" s="59"/>
      <x:c r="Y121" s="59"/>
      <x:c r="Z121" s="59"/>
      <x:c r="AA121" s="59"/>
      <x:c r="AB121" s="59"/>
      <x:c r="AC121" s="59"/>
      <x:c r="AD121" s="59"/>
      <x:c r="AE121" s="59"/>
      <x:c r="AF121" s="59"/>
      <x:c r="AG121" s="59"/>
      <x:c r="AH121" s="59"/>
      <x:c r="AI121" s="59"/>
      <x:c r="AJ121" s="59"/>
      <x:c r="AK121" s="59"/>
      <x:c r="AL121" s="59"/>
      <x:c r="AM121" s="59"/>
      <x:c r="AN121" s="59"/>
    </x:row>
    <x:row r="122">
      <x:c r="A122" s="59"/>
      <x:c r="B122" s="59"/>
      <x:c r="C122" s="59"/>
      <x:c r="D122" s="59"/>
      <x:c r="E122" s="59"/>
      <x:c r="F122" s="59"/>
      <x:c r="G122" s="59"/>
      <x:c r="H122" s="59"/>
      <x:c r="I122" s="59"/>
      <x:c r="J122" s="59"/>
      <x:c r="K122" s="59"/>
      <x:c r="L122" s="59"/>
      <x:c r="M122" s="59"/>
      <x:c r="N122" s="59"/>
      <x:c r="O122" s="59"/>
      <x:c r="P122" s="59"/>
      <x:c r="Q122" s="59"/>
      <x:c r="R122" s="59"/>
      <x:c r="S122" s="59"/>
      <x:c r="T122" s="59"/>
      <x:c r="U122" s="59"/>
      <x:c r="V122" s="59"/>
      <x:c r="W122" s="59"/>
      <x:c r="X122" s="59"/>
      <x:c r="Y122" s="59"/>
      <x:c r="Z122" s="59"/>
      <x:c r="AA122" s="59"/>
      <x:c r="AB122" s="59"/>
      <x:c r="AC122" s="59"/>
      <x:c r="AD122" s="59"/>
      <x:c r="AE122" s="59"/>
      <x:c r="AF122" s="59"/>
      <x:c r="AG122" s="59"/>
      <x:c r="AH122" s="59"/>
      <x:c r="AI122" s="59"/>
      <x:c r="AJ122" s="59"/>
      <x:c r="AK122" s="59"/>
      <x:c r="AL122" s="59"/>
      <x:c r="AM122" s="59"/>
      <x:c r="AN122" s="59"/>
    </x:row>
    <x:row r="123">
      <x:c r="A123" s="59"/>
      <x:c r="B123" s="59"/>
      <x:c r="C123" s="59"/>
      <x:c r="D123" s="59"/>
      <x:c r="E123" s="59"/>
      <x:c r="F123" s="59"/>
      <x:c r="G123" s="59"/>
      <x:c r="H123" s="59"/>
      <x:c r="I123" s="59"/>
      <x:c r="J123" s="59"/>
      <x:c r="K123" s="59"/>
      <x:c r="L123" s="59"/>
      <x:c r="M123" s="59"/>
      <x:c r="N123" s="59"/>
      <x:c r="O123" s="59"/>
      <x:c r="P123" s="59"/>
      <x:c r="Q123" s="59"/>
      <x:c r="R123" s="59"/>
      <x:c r="S123" s="59"/>
      <x:c r="T123" s="59"/>
      <x:c r="U123" s="59"/>
      <x:c r="V123" s="59"/>
      <x:c r="W123" s="59"/>
      <x:c r="X123" s="59"/>
      <x:c r="Y123" s="59"/>
      <x:c r="Z123" s="59"/>
      <x:c r="AA123" s="59"/>
      <x:c r="AB123" s="59"/>
      <x:c r="AC123" s="59"/>
      <x:c r="AD123" s="59"/>
      <x:c r="AE123" s="59"/>
      <x:c r="AF123" s="59"/>
      <x:c r="AG123" s="59"/>
      <x:c r="AH123" s="59"/>
      <x:c r="AI123" s="59"/>
      <x:c r="AJ123" s="59"/>
      <x:c r="AK123" s="59"/>
      <x:c r="AL123" s="59"/>
      <x:c r="AM123" s="59"/>
      <x:c r="AN123" s="59"/>
    </x:row>
    <x:row r="124">
      <x:c r="A124" s="59"/>
      <x:c r="B124" s="59"/>
      <x:c r="C124" s="59"/>
      <x:c r="D124" s="59"/>
      <x:c r="E124" s="59"/>
      <x:c r="F124" s="59"/>
      <x:c r="G124" s="59"/>
      <x:c r="H124" s="59"/>
      <x:c r="I124" s="59"/>
      <x:c r="J124" s="59"/>
      <x:c r="K124" s="59"/>
      <x:c r="L124" s="59"/>
      <x:c r="M124" s="59"/>
      <x:c r="N124" s="59"/>
      <x:c r="O124" s="59"/>
      <x:c r="P124" s="59"/>
      <x:c r="Q124" s="59"/>
      <x:c r="R124" s="59"/>
      <x:c r="S124" s="59"/>
      <x:c r="T124" s="59"/>
      <x:c r="U124" s="59"/>
      <x:c r="V124" s="59"/>
      <x:c r="W124" s="59"/>
      <x:c r="X124" s="59"/>
      <x:c r="Y124" s="59"/>
      <x:c r="Z124" s="59"/>
      <x:c r="AA124" s="59"/>
      <x:c r="AB124" s="59"/>
      <x:c r="AC124" s="59"/>
      <x:c r="AD124" s="59"/>
      <x:c r="AE124" s="59"/>
      <x:c r="AF124" s="59"/>
      <x:c r="AG124" s="59"/>
      <x:c r="AH124" s="59"/>
      <x:c r="AI124" s="59"/>
      <x:c r="AJ124" s="59"/>
      <x:c r="AK124" s="59"/>
      <x:c r="AL124" s="59"/>
      <x:c r="AM124" s="59"/>
      <x:c r="AN124" s="59"/>
    </x:row>
    <x:row r="125">
      <x:c r="A125" s="59"/>
      <x:c r="B125" s="59"/>
      <x:c r="C125" s="59"/>
      <x:c r="D125" s="59"/>
      <x:c r="E125" s="59"/>
      <x:c r="F125" s="59"/>
      <x:c r="G125" s="59"/>
      <x:c r="H125" s="59"/>
      <x:c r="I125" s="59"/>
      <x:c r="J125" s="59"/>
      <x:c r="K125" s="59"/>
      <x:c r="L125" s="59"/>
      <x:c r="M125" s="59"/>
      <x:c r="N125" s="59"/>
      <x:c r="O125" s="59"/>
      <x:c r="P125" s="59"/>
      <x:c r="Q125" s="59"/>
      <x:c r="R125" s="59"/>
      <x:c r="S125" s="59"/>
      <x:c r="T125" s="59"/>
      <x:c r="U125" s="59"/>
      <x:c r="V125" s="59"/>
      <x:c r="W125" s="59"/>
      <x:c r="X125" s="59"/>
      <x:c r="Y125" s="59"/>
      <x:c r="Z125" s="59"/>
      <x:c r="AA125" s="59"/>
      <x:c r="AB125" s="59"/>
      <x:c r="AC125" s="59"/>
      <x:c r="AD125" s="59"/>
      <x:c r="AE125" s="59"/>
      <x:c r="AF125" s="59"/>
      <x:c r="AG125" s="59"/>
      <x:c r="AH125" s="59"/>
      <x:c r="AI125" s="59"/>
      <x:c r="AJ125" s="59"/>
      <x:c r="AK125" s="59"/>
      <x:c r="AL125" s="59"/>
      <x:c r="AM125" s="59"/>
      <x:c r="AN125" s="59"/>
    </x:row>
    <x:row r="126">
      <x:c r="A126" s="59"/>
      <x:c r="B126" s="59"/>
      <x:c r="C126" s="59"/>
      <x:c r="D126" s="59"/>
      <x:c r="E126" s="59"/>
      <x:c r="F126" s="59"/>
      <x:c r="G126" s="59"/>
      <x:c r="H126" s="59"/>
      <x:c r="I126" s="59"/>
      <x:c r="J126" s="59"/>
      <x:c r="K126" s="59"/>
      <x:c r="L126" s="59"/>
      <x:c r="M126" s="59"/>
      <x:c r="N126" s="59"/>
      <x:c r="O126" s="59"/>
      <x:c r="P126" s="59"/>
      <x:c r="Q126" s="59"/>
      <x:c r="R126" s="59"/>
      <x:c r="S126" s="59"/>
      <x:c r="T126" s="59"/>
      <x:c r="U126" s="59"/>
      <x:c r="V126" s="59"/>
      <x:c r="W126" s="59"/>
      <x:c r="X126" s="59"/>
      <x:c r="Y126" s="59"/>
      <x:c r="Z126" s="59"/>
      <x:c r="AA126" s="59"/>
      <x:c r="AB126" s="59"/>
      <x:c r="AC126" s="59"/>
      <x:c r="AD126" s="59"/>
      <x:c r="AE126" s="59"/>
      <x:c r="AF126" s="59"/>
      <x:c r="AG126" s="59"/>
      <x:c r="AH126" s="59"/>
      <x:c r="AI126" s="59"/>
      <x:c r="AJ126" s="59"/>
      <x:c r="AK126" s="59"/>
      <x:c r="AL126" s="59"/>
      <x:c r="AM126" s="59"/>
      <x:c r="AN126" s="59"/>
    </x:row>
    <x:row r="127">
      <x:c r="A127" s="59"/>
      <x:c r="B127" s="59"/>
      <x:c r="C127" s="59"/>
      <x:c r="D127" s="59"/>
      <x:c r="E127" s="59"/>
      <x:c r="F127" s="59"/>
      <x:c r="G127" s="59"/>
      <x:c r="H127" s="59"/>
      <x:c r="I127" s="59"/>
      <x:c r="J127" s="59"/>
      <x:c r="K127" s="59"/>
      <x:c r="L127" s="59"/>
      <x:c r="M127" s="59"/>
      <x:c r="N127" s="59"/>
      <x:c r="O127" s="59"/>
      <x:c r="P127" s="59"/>
      <x:c r="Q127" s="59"/>
      <x:c r="R127" s="59"/>
      <x:c r="S127" s="59"/>
      <x:c r="T127" s="59"/>
      <x:c r="U127" s="59"/>
      <x:c r="V127" s="59"/>
      <x:c r="W127" s="59"/>
      <x:c r="X127" s="59"/>
      <x:c r="Y127" s="59"/>
      <x:c r="Z127" s="59"/>
      <x:c r="AA127" s="59"/>
      <x:c r="AB127" s="59"/>
      <x:c r="AC127" s="59"/>
      <x:c r="AD127" s="59"/>
      <x:c r="AE127" s="59"/>
      <x:c r="AF127" s="59"/>
      <x:c r="AG127" s="59"/>
      <x:c r="AH127" s="59"/>
      <x:c r="AI127" s="59"/>
      <x:c r="AJ127" s="59"/>
      <x:c r="AK127" s="59"/>
      <x:c r="AL127" s="59"/>
      <x:c r="AM127" s="59"/>
      <x:c r="AN127" s="59"/>
    </x:row>
    <x:row r="128">
      <x:c r="A128" s="59"/>
      <x:c r="B128" s="59"/>
      <x:c r="C128" s="59"/>
      <x:c r="D128" s="59"/>
      <x:c r="E128" s="59"/>
      <x:c r="F128" s="59"/>
      <x:c r="G128" s="59"/>
      <x:c r="H128" s="59"/>
      <x:c r="I128" s="59"/>
      <x:c r="J128" s="59"/>
      <x:c r="K128" s="59"/>
      <x:c r="L128" s="59"/>
      <x:c r="M128" s="59"/>
      <x:c r="N128" s="59"/>
      <x:c r="O128" s="59"/>
      <x:c r="P128" s="59"/>
      <x:c r="Q128" s="59"/>
      <x:c r="R128" s="59"/>
      <x:c r="S128" s="59"/>
      <x:c r="T128" s="59"/>
      <x:c r="U128" s="59"/>
      <x:c r="V128" s="59"/>
      <x:c r="W128" s="59"/>
      <x:c r="X128" s="59"/>
      <x:c r="Y128" s="59"/>
      <x:c r="Z128" s="59"/>
      <x:c r="AA128" s="59"/>
      <x:c r="AB128" s="59"/>
      <x:c r="AC128" s="59"/>
      <x:c r="AD128" s="59"/>
      <x:c r="AE128" s="59"/>
      <x:c r="AF128" s="59"/>
      <x:c r="AG128" s="59"/>
      <x:c r="AH128" s="59"/>
      <x:c r="AI128" s="59"/>
      <x:c r="AJ128" s="59"/>
      <x:c r="AK128" s="59"/>
      <x:c r="AL128" s="59"/>
      <x:c r="AM128" s="59"/>
      <x:c r="AN128" s="59"/>
    </x:row>
    <x:row r="129">
      <x:c r="A129" s="59"/>
      <x:c r="B129" s="59"/>
      <x:c r="C129" s="59"/>
      <x:c r="D129" s="59"/>
      <x:c r="E129" s="59"/>
      <x:c r="F129" s="59"/>
      <x:c r="G129" s="59"/>
      <x:c r="H129" s="59"/>
      <x:c r="I129" s="59"/>
      <x:c r="J129" s="59"/>
      <x:c r="K129" s="59"/>
      <x:c r="L129" s="59"/>
      <x:c r="M129" s="59"/>
      <x:c r="N129" s="59"/>
      <x:c r="O129" s="59"/>
      <x:c r="P129" s="59"/>
      <x:c r="Q129" s="59"/>
      <x:c r="R129" s="59"/>
      <x:c r="S129" s="59"/>
      <x:c r="T129" s="59"/>
      <x:c r="U129" s="59"/>
      <x:c r="V129" s="59"/>
      <x:c r="W129" s="59"/>
      <x:c r="X129" s="59"/>
      <x:c r="Y129" s="59"/>
      <x:c r="Z129" s="59"/>
      <x:c r="AA129" s="59"/>
      <x:c r="AB129" s="59"/>
      <x:c r="AC129" s="59"/>
      <x:c r="AD129" s="59"/>
      <x:c r="AE129" s="59"/>
      <x:c r="AF129" s="59"/>
      <x:c r="AG129" s="59"/>
      <x:c r="AH129" s="59"/>
      <x:c r="AI129" s="59"/>
      <x:c r="AJ129" s="59"/>
      <x:c r="AK129" s="59"/>
      <x:c r="AL129" s="59"/>
      <x:c r="AM129" s="59"/>
      <x:c r="AN129" s="59"/>
    </x:row>
    <x:row r="130">
      <x:c r="A130" s="59"/>
      <x:c r="B130" s="59"/>
      <x:c r="C130" s="59"/>
      <x:c r="D130" s="59"/>
      <x:c r="E130" s="59"/>
      <x:c r="F130" s="59"/>
      <x:c r="G130" s="59"/>
      <x:c r="H130" s="59"/>
      <x:c r="I130" s="59"/>
      <x:c r="J130" s="59"/>
      <x:c r="K130" s="59"/>
      <x:c r="L130" s="59"/>
      <x:c r="M130" s="59"/>
      <x:c r="N130" s="59"/>
      <x:c r="O130" s="59"/>
      <x:c r="P130" s="59"/>
      <x:c r="Q130" s="59"/>
      <x:c r="R130" s="59"/>
      <x:c r="S130" s="59"/>
      <x:c r="T130" s="59"/>
      <x:c r="U130" s="59"/>
      <x:c r="V130" s="59"/>
      <x:c r="W130" s="59"/>
      <x:c r="X130" s="59"/>
      <x:c r="Y130" s="59"/>
      <x:c r="Z130" s="59"/>
      <x:c r="AA130" s="59"/>
      <x:c r="AB130" s="59"/>
      <x:c r="AC130" s="59"/>
      <x:c r="AD130" s="59"/>
      <x:c r="AE130" s="59"/>
      <x:c r="AF130" s="59"/>
      <x:c r="AG130" s="59"/>
      <x:c r="AH130" s="59"/>
      <x:c r="AI130" s="59"/>
      <x:c r="AJ130" s="59"/>
      <x:c r="AK130" s="59"/>
      <x:c r="AL130" s="59"/>
      <x:c r="AM130" s="59"/>
      <x:c r="AN130" s="59"/>
    </x:row>
    <x:row r="131">
      <x:c r="A131" s="59"/>
      <x:c r="B131" s="59"/>
      <x:c r="C131" s="59"/>
      <x:c r="D131" s="59"/>
      <x:c r="E131" s="59"/>
      <x:c r="F131" s="59"/>
      <x:c r="G131" s="59"/>
      <x:c r="H131" s="59"/>
      <x:c r="I131" s="59"/>
      <x:c r="J131" s="59"/>
      <x:c r="K131" s="59"/>
      <x:c r="L131" s="59"/>
      <x:c r="M131" s="59"/>
      <x:c r="N131" s="59"/>
      <x:c r="O131" s="59"/>
      <x:c r="P131" s="59"/>
      <x:c r="Q131" s="59"/>
      <x:c r="R131" s="59"/>
      <x:c r="S131" s="59"/>
      <x:c r="T131" s="59"/>
      <x:c r="U131" s="59"/>
      <x:c r="V131" s="59"/>
      <x:c r="W131" s="59"/>
      <x:c r="X131" s="59"/>
      <x:c r="Y131" s="59"/>
      <x:c r="Z131" s="59"/>
      <x:c r="AA131" s="59"/>
      <x:c r="AB131" s="59"/>
      <x:c r="AC131" s="59"/>
      <x:c r="AD131" s="59"/>
      <x:c r="AE131" s="59"/>
      <x:c r="AF131" s="59"/>
      <x:c r="AG131" s="59"/>
      <x:c r="AH131" s="59"/>
      <x:c r="AI131" s="59"/>
      <x:c r="AJ131" s="59"/>
      <x:c r="AK131" s="59"/>
      <x:c r="AL131" s="59"/>
      <x:c r="AM131" s="59"/>
      <x:c r="AN131" s="59"/>
    </x:row>
    <x:row r="132">
      <x:c r="A132" s="59"/>
      <x:c r="B132" s="59"/>
      <x:c r="C132" s="59"/>
      <x:c r="D132" s="59"/>
      <x:c r="E132" s="59"/>
      <x:c r="F132" s="59"/>
      <x:c r="G132" s="59"/>
      <x:c r="H132" s="59"/>
      <x:c r="I132" s="59"/>
      <x:c r="J132" s="59"/>
      <x:c r="K132" s="59"/>
      <x:c r="L132" s="59"/>
      <x:c r="M132" s="59"/>
      <x:c r="N132" s="59"/>
      <x:c r="O132" s="59"/>
      <x:c r="P132" s="59"/>
      <x:c r="Q132" s="59"/>
      <x:c r="R132" s="59"/>
      <x:c r="S132" s="59"/>
      <x:c r="T132" s="59"/>
      <x:c r="U132" s="59"/>
      <x:c r="V132" s="59"/>
      <x:c r="W132" s="59"/>
      <x:c r="X132" s="59"/>
      <x:c r="Y132" s="59"/>
      <x:c r="Z132" s="59"/>
      <x:c r="AA132" s="59"/>
      <x:c r="AB132" s="59"/>
      <x:c r="AC132" s="59"/>
      <x:c r="AD132" s="59"/>
      <x:c r="AE132" s="59"/>
      <x:c r="AF132" s="59"/>
      <x:c r="AG132" s="59"/>
      <x:c r="AH132" s="59"/>
      <x:c r="AI132" s="59"/>
      <x:c r="AJ132" s="59"/>
      <x:c r="AK132" s="59"/>
      <x:c r="AL132" s="59"/>
      <x:c r="AM132" s="59"/>
      <x:c r="AN132" s="59"/>
    </x:row>
    <x:row r="133">
      <x:c r="A133" s="59"/>
      <x:c r="B133" s="59"/>
      <x:c r="C133" s="59"/>
      <x:c r="D133" s="59"/>
      <x:c r="E133" s="59"/>
      <x:c r="F133" s="59"/>
      <x:c r="G133" s="59"/>
      <x:c r="H133" s="59"/>
      <x:c r="I133" s="59"/>
      <x:c r="J133" s="59"/>
      <x:c r="K133" s="59"/>
      <x:c r="L133" s="59"/>
      <x:c r="M133" s="59"/>
      <x:c r="N133" s="59"/>
      <x:c r="O133" s="59"/>
      <x:c r="P133" s="59"/>
      <x:c r="Q133" s="59"/>
      <x:c r="R133" s="59"/>
      <x:c r="S133" s="59"/>
      <x:c r="T133" s="59"/>
      <x:c r="U133" s="59"/>
      <x:c r="V133" s="59"/>
      <x:c r="W133" s="59"/>
      <x:c r="X133" s="59"/>
      <x:c r="Y133" s="59"/>
      <x:c r="Z133" s="59"/>
      <x:c r="AA133" s="59"/>
      <x:c r="AB133" s="59"/>
      <x:c r="AC133" s="59"/>
      <x:c r="AD133" s="59"/>
      <x:c r="AE133" s="59"/>
      <x:c r="AF133" s="59"/>
      <x:c r="AG133" s="59"/>
      <x:c r="AH133" s="59"/>
      <x:c r="AI133" s="59"/>
      <x:c r="AJ133" s="59"/>
      <x:c r="AK133" s="59"/>
      <x:c r="AL133" s="59"/>
      <x:c r="AM133" s="59"/>
      <x:c r="AN133" s="59"/>
    </x:row>
    <x:row r="134">
      <x:c r="A134" s="59"/>
      <x:c r="B134" s="59"/>
      <x:c r="C134" s="59"/>
      <x:c r="D134" s="59"/>
      <x:c r="E134" s="59"/>
      <x:c r="F134" s="59"/>
      <x:c r="G134" s="59"/>
      <x:c r="H134" s="59"/>
      <x:c r="I134" s="59"/>
      <x:c r="J134" s="59"/>
      <x:c r="K134" s="59"/>
      <x:c r="L134" s="59"/>
      <x:c r="M134" s="59"/>
      <x:c r="N134" s="59"/>
      <x:c r="O134" s="59"/>
      <x:c r="P134" s="59"/>
      <x:c r="Q134" s="59"/>
      <x:c r="R134" s="59"/>
      <x:c r="S134" s="59"/>
      <x:c r="T134" s="59"/>
      <x:c r="U134" s="59"/>
      <x:c r="V134" s="59"/>
      <x:c r="W134" s="59"/>
      <x:c r="X134" s="59"/>
      <x:c r="Y134" s="59"/>
      <x:c r="Z134" s="59"/>
      <x:c r="AA134" s="59"/>
      <x:c r="AB134" s="59"/>
      <x:c r="AC134" s="59"/>
      <x:c r="AD134" s="59"/>
      <x:c r="AE134" s="59"/>
      <x:c r="AF134" s="59"/>
      <x:c r="AG134" s="59"/>
      <x:c r="AH134" s="59"/>
      <x:c r="AI134" s="59"/>
      <x:c r="AJ134" s="59"/>
      <x:c r="AK134" s="59"/>
      <x:c r="AL134" s="59"/>
      <x:c r="AM134" s="59"/>
      <x:c r="AN134" s="59"/>
    </x:row>
    <x:row r="135">
      <x:c r="A135" s="59"/>
      <x:c r="B135" s="59"/>
      <x:c r="C135" s="59"/>
      <x:c r="D135" s="59"/>
      <x:c r="E135" s="59"/>
      <x:c r="F135" s="59"/>
      <x:c r="G135" s="59"/>
      <x:c r="H135" s="59"/>
      <x:c r="I135" s="59"/>
      <x:c r="J135" s="59"/>
      <x:c r="K135" s="59"/>
      <x:c r="L135" s="59"/>
      <x:c r="M135" s="59"/>
      <x:c r="N135" s="59"/>
      <x:c r="O135" s="59"/>
      <x:c r="P135" s="59"/>
      <x:c r="Q135" s="59"/>
      <x:c r="R135" s="59"/>
      <x:c r="S135" s="59"/>
      <x:c r="T135" s="59"/>
      <x:c r="U135" s="59"/>
      <x:c r="V135" s="59"/>
      <x:c r="W135" s="59"/>
      <x:c r="X135" s="59"/>
      <x:c r="Y135" s="59"/>
      <x:c r="Z135" s="59"/>
      <x:c r="AA135" s="59"/>
      <x:c r="AB135" s="59"/>
      <x:c r="AC135" s="59"/>
      <x:c r="AD135" s="59"/>
      <x:c r="AE135" s="59"/>
      <x:c r="AF135" s="59"/>
      <x:c r="AG135" s="59"/>
      <x:c r="AH135" s="59"/>
      <x:c r="AI135" s="59"/>
      <x:c r="AJ135" s="59"/>
      <x:c r="AK135" s="59"/>
      <x:c r="AL135" s="59"/>
      <x:c r="AM135" s="59"/>
      <x:c r="AN135" s="59"/>
    </x:row>
    <x:row r="136">
      <x:c r="A136" s="59"/>
      <x:c r="B136" s="59"/>
      <x:c r="C136" s="59"/>
      <x:c r="D136" s="59"/>
      <x:c r="E136" s="59"/>
      <x:c r="F136" s="59"/>
      <x:c r="G136" s="59"/>
      <x:c r="H136" s="59"/>
      <x:c r="I136" s="59"/>
      <x:c r="J136" s="59"/>
      <x:c r="K136" s="59"/>
      <x:c r="L136" s="59"/>
      <x:c r="M136" s="59"/>
      <x:c r="N136" s="59"/>
      <x:c r="O136" s="59"/>
      <x:c r="P136" s="59"/>
      <x:c r="Q136" s="59"/>
      <x:c r="R136" s="59"/>
      <x:c r="S136" s="59"/>
      <x:c r="T136" s="59"/>
      <x:c r="U136" s="59"/>
      <x:c r="V136" s="59"/>
      <x:c r="W136" s="59"/>
      <x:c r="X136" s="59"/>
      <x:c r="Y136" s="59"/>
      <x:c r="Z136" s="59"/>
      <x:c r="AA136" s="59"/>
      <x:c r="AB136" s="59"/>
      <x:c r="AC136" s="59"/>
      <x:c r="AD136" s="59"/>
      <x:c r="AE136" s="59"/>
      <x:c r="AF136" s="59"/>
      <x:c r="AG136" s="59"/>
      <x:c r="AH136" s="59"/>
      <x:c r="AI136" s="59"/>
      <x:c r="AJ136" s="59"/>
      <x:c r="AK136" s="59"/>
      <x:c r="AL136" s="59"/>
      <x:c r="AM136" s="59"/>
      <x:c r="AN136" s="59"/>
    </x:row>
    <x:row r="137">
      <x:c r="A137" s="59"/>
      <x:c r="B137" s="59"/>
      <x:c r="C137" s="59"/>
      <x:c r="D137" s="59"/>
      <x:c r="E137" s="59"/>
      <x:c r="F137" s="59"/>
      <x:c r="G137" s="59"/>
      <x:c r="H137" s="59"/>
      <x:c r="I137" s="59"/>
      <x:c r="J137" s="59"/>
      <x:c r="K137" s="59"/>
      <x:c r="L137" s="59"/>
      <x:c r="M137" s="59"/>
      <x:c r="N137" s="59"/>
      <x:c r="O137" s="59"/>
      <x:c r="P137" s="59"/>
      <x:c r="Q137" s="59"/>
      <x:c r="R137" s="59"/>
      <x:c r="S137" s="59"/>
      <x:c r="T137" s="59"/>
      <x:c r="U137" s="59"/>
      <x:c r="V137" s="59"/>
      <x:c r="W137" s="59"/>
      <x:c r="X137" s="59"/>
      <x:c r="Y137" s="59"/>
      <x:c r="Z137" s="59"/>
      <x:c r="AA137" s="59"/>
      <x:c r="AB137" s="59"/>
      <x:c r="AC137" s="59"/>
      <x:c r="AD137" s="59"/>
      <x:c r="AE137" s="59"/>
      <x:c r="AF137" s="59"/>
      <x:c r="AG137" s="59"/>
      <x:c r="AH137" s="59"/>
      <x:c r="AI137" s="59"/>
      <x:c r="AJ137" s="59"/>
      <x:c r="AK137" s="59"/>
      <x:c r="AL137" s="59"/>
      <x:c r="AM137" s="59"/>
      <x:c r="AN137" s="59"/>
    </x:row>
    <x:row r="138">
      <x:c r="A138" s="59"/>
      <x:c r="B138" s="59"/>
      <x:c r="C138" s="59"/>
      <x:c r="D138" s="59"/>
      <x:c r="E138" s="59"/>
      <x:c r="F138" s="59"/>
      <x:c r="G138" s="59"/>
      <x:c r="H138" s="59"/>
      <x:c r="I138" s="59"/>
      <x:c r="J138" s="59"/>
      <x:c r="K138" s="59"/>
      <x:c r="L138" s="59"/>
      <x:c r="M138" s="59"/>
      <x:c r="N138" s="59"/>
      <x:c r="O138" s="59"/>
      <x:c r="P138" s="59"/>
      <x:c r="Q138" s="59"/>
      <x:c r="R138" s="59"/>
      <x:c r="S138" s="59"/>
      <x:c r="T138" s="59"/>
      <x:c r="U138" s="59"/>
      <x:c r="V138" s="59"/>
      <x:c r="W138" s="59"/>
      <x:c r="X138" s="59"/>
      <x:c r="Y138" s="59"/>
      <x:c r="Z138" s="59"/>
      <x:c r="AA138" s="59"/>
      <x:c r="AB138" s="59"/>
      <x:c r="AC138" s="59"/>
      <x:c r="AD138" s="59"/>
      <x:c r="AE138" s="59"/>
      <x:c r="AF138" s="59"/>
      <x:c r="AG138" s="59"/>
      <x:c r="AH138" s="59"/>
      <x:c r="AI138" s="59"/>
      <x:c r="AJ138" s="59"/>
      <x:c r="AK138" s="59"/>
      <x:c r="AL138" s="59"/>
      <x:c r="AM138" s="59"/>
      <x:c r="AN138" s="59"/>
    </x:row>
    <x:row r="139">
      <x:c r="A139" s="59"/>
      <x:c r="B139" s="59"/>
      <x:c r="C139" s="59"/>
      <x:c r="D139" s="59"/>
      <x:c r="E139" s="59"/>
      <x:c r="F139" s="59"/>
      <x:c r="G139" s="59"/>
      <x:c r="H139" s="59"/>
      <x:c r="I139" s="59"/>
      <x:c r="J139" s="59"/>
      <x:c r="K139" s="59"/>
      <x:c r="L139" s="59"/>
      <x:c r="M139" s="59"/>
      <x:c r="N139" s="59"/>
      <x:c r="O139" s="59"/>
      <x:c r="P139" s="59"/>
      <x:c r="Q139" s="59"/>
      <x:c r="R139" s="59"/>
      <x:c r="S139" s="59"/>
      <x:c r="T139" s="59"/>
      <x:c r="U139" s="59"/>
      <x:c r="V139" s="59"/>
      <x:c r="W139" s="59"/>
      <x:c r="X139" s="59"/>
      <x:c r="Y139" s="59"/>
      <x:c r="Z139" s="59"/>
      <x:c r="AA139" s="59"/>
      <x:c r="AB139" s="59"/>
      <x:c r="AC139" s="59"/>
      <x:c r="AD139" s="59"/>
      <x:c r="AE139" s="59"/>
      <x:c r="AF139" s="59"/>
      <x:c r="AG139" s="59"/>
      <x:c r="AH139" s="59"/>
      <x:c r="AI139" s="59"/>
      <x:c r="AJ139" s="59"/>
      <x:c r="AK139" s="59"/>
      <x:c r="AL139" s="59"/>
      <x:c r="AM139" s="59"/>
      <x:c r="AN139" s="59"/>
    </x:row>
    <x:row r="140">
      <x:c r="A140" s="59"/>
      <x:c r="B140" s="59"/>
      <x:c r="C140" s="59"/>
      <x:c r="D140" s="59"/>
      <x:c r="E140" s="59"/>
      <x:c r="F140" s="59"/>
      <x:c r="G140" s="59"/>
      <x:c r="H140" s="59"/>
      <x:c r="I140" s="59"/>
      <x:c r="J140" s="59"/>
      <x:c r="K140" s="59"/>
      <x:c r="L140" s="59"/>
      <x:c r="M140" s="59"/>
      <x:c r="N140" s="59"/>
      <x:c r="O140" s="59"/>
      <x:c r="P140" s="59"/>
      <x:c r="Q140" s="59"/>
      <x:c r="R140" s="59"/>
      <x:c r="S140" s="59"/>
      <x:c r="T140" s="59"/>
      <x:c r="U140" s="59"/>
      <x:c r="V140" s="59"/>
      <x:c r="W140" s="59"/>
      <x:c r="X140" s="59"/>
      <x:c r="Y140" s="59"/>
      <x:c r="Z140" s="59"/>
      <x:c r="AA140" s="59"/>
      <x:c r="AB140" s="59"/>
      <x:c r="AC140" s="59"/>
      <x:c r="AD140" s="59"/>
      <x:c r="AE140" s="59"/>
      <x:c r="AF140" s="59"/>
      <x:c r="AG140" s="59"/>
      <x:c r="AH140" s="59"/>
      <x:c r="AI140" s="59"/>
      <x:c r="AJ140" s="59"/>
      <x:c r="AK140" s="59"/>
      <x:c r="AL140" s="59"/>
      <x:c r="AM140" s="59"/>
      <x:c r="AN140" s="59"/>
    </x:row>
    <x:row r="141">
      <x:c r="A141" s="59"/>
      <x:c r="B141" s="59"/>
      <x:c r="C141" s="59"/>
      <x:c r="D141" s="59"/>
      <x:c r="E141" s="59"/>
      <x:c r="F141" s="59"/>
      <x:c r="G141" s="59"/>
      <x:c r="H141" s="59"/>
      <x:c r="I141" s="59"/>
      <x:c r="J141" s="59"/>
      <x:c r="K141" s="59"/>
      <x:c r="L141" s="59"/>
      <x:c r="M141" s="59"/>
      <x:c r="N141" s="59"/>
      <x:c r="O141" s="59"/>
      <x:c r="P141" s="59"/>
      <x:c r="Q141" s="59"/>
      <x:c r="R141" s="59"/>
      <x:c r="S141" s="59"/>
      <x:c r="T141" s="59"/>
      <x:c r="U141" s="59"/>
      <x:c r="V141" s="59"/>
      <x:c r="W141" s="59"/>
      <x:c r="X141" s="59"/>
      <x:c r="Y141" s="59"/>
      <x:c r="Z141" s="59"/>
      <x:c r="AA141" s="59"/>
      <x:c r="AB141" s="59"/>
      <x:c r="AC141" s="59"/>
      <x:c r="AD141" s="59"/>
      <x:c r="AE141" s="59"/>
      <x:c r="AF141" s="59"/>
      <x:c r="AG141" s="59"/>
      <x:c r="AH141" s="59"/>
      <x:c r="AI141" s="59"/>
      <x:c r="AJ141" s="59"/>
      <x:c r="AK141" s="59"/>
      <x:c r="AL141" s="59"/>
      <x:c r="AM141" s="59"/>
      <x:c r="AN141" s="59"/>
    </x:row>
    <x:row r="142">
      <x:c r="A142" s="59"/>
      <x:c r="B142" s="59"/>
      <x:c r="C142" s="59"/>
      <x:c r="D142" s="59"/>
      <x:c r="E142" s="59"/>
      <x:c r="F142" s="59"/>
      <x:c r="G142" s="59"/>
      <x:c r="H142" s="59"/>
      <x:c r="I142" s="59"/>
      <x:c r="J142" s="59"/>
      <x:c r="K142" s="59"/>
      <x:c r="L142" s="59"/>
      <x:c r="M142" s="59"/>
      <x:c r="N142" s="59"/>
      <x:c r="O142" s="59"/>
      <x:c r="P142" s="59"/>
      <x:c r="Q142" s="59"/>
      <x:c r="R142" s="59"/>
      <x:c r="S142" s="59"/>
      <x:c r="T142" s="59"/>
      <x:c r="U142" s="59"/>
      <x:c r="V142" s="59"/>
      <x:c r="W142" s="59"/>
      <x:c r="X142" s="59"/>
      <x:c r="Y142" s="59"/>
      <x:c r="Z142" s="59"/>
      <x:c r="AA142" s="59"/>
      <x:c r="AB142" s="59"/>
      <x:c r="AC142" s="59"/>
      <x:c r="AD142" s="59"/>
      <x:c r="AE142" s="59"/>
      <x:c r="AF142" s="59"/>
      <x:c r="AG142" s="59"/>
      <x:c r="AH142" s="59"/>
      <x:c r="AI142" s="59"/>
      <x:c r="AJ142" s="59"/>
      <x:c r="AK142" s="59"/>
      <x:c r="AL142" s="59"/>
      <x:c r="AM142" s="59"/>
      <x:c r="AN142" s="59"/>
    </x:row>
    <x:row r="143">
      <x:c r="A143" s="59"/>
      <x:c r="B143" s="59"/>
      <x:c r="C143" s="59"/>
      <x:c r="D143" s="59"/>
      <x:c r="E143" s="59"/>
      <x:c r="F143" s="59"/>
      <x:c r="G143" s="59"/>
      <x:c r="H143" s="59"/>
      <x:c r="I143" s="59"/>
      <x:c r="J143" s="59"/>
      <x:c r="K143" s="59"/>
      <x:c r="L143" s="59"/>
      <x:c r="M143" s="59"/>
      <x:c r="N143" s="59"/>
      <x:c r="O143" s="59"/>
      <x:c r="P143" s="59"/>
      <x:c r="Q143" s="59"/>
      <x:c r="R143" s="59"/>
      <x:c r="S143" s="59"/>
      <x:c r="T143" s="59"/>
      <x:c r="U143" s="59"/>
      <x:c r="V143" s="59"/>
      <x:c r="W143" s="59"/>
      <x:c r="X143" s="59"/>
      <x:c r="Y143" s="59"/>
      <x:c r="Z143" s="59"/>
      <x:c r="AA143" s="59"/>
      <x:c r="AB143" s="59"/>
      <x:c r="AC143" s="59"/>
      <x:c r="AD143" s="59"/>
      <x:c r="AE143" s="59"/>
      <x:c r="AF143" s="59"/>
      <x:c r="AG143" s="59"/>
      <x:c r="AH143" s="59"/>
      <x:c r="AI143" s="59"/>
      <x:c r="AJ143" s="59"/>
      <x:c r="AK143" s="59"/>
      <x:c r="AL143" s="59"/>
      <x:c r="AM143" s="59"/>
      <x:c r="AN143" s="59"/>
    </x:row>
    <x:row r="144">
      <x:c r="A144" s="59"/>
      <x:c r="B144" s="59"/>
      <x:c r="C144" s="59"/>
      <x:c r="D144" s="59"/>
      <x:c r="E144" s="59"/>
      <x:c r="F144" s="59"/>
      <x:c r="G144" s="59"/>
      <x:c r="H144" s="59"/>
      <x:c r="I144" s="59"/>
      <x:c r="J144" s="59"/>
      <x:c r="K144" s="59"/>
      <x:c r="L144" s="59"/>
      <x:c r="M144" s="59"/>
      <x:c r="N144" s="59"/>
      <x:c r="O144" s="59"/>
      <x:c r="P144" s="59"/>
      <x:c r="Q144" s="59"/>
      <x:c r="R144" s="59"/>
      <x:c r="S144" s="59"/>
      <x:c r="T144" s="59"/>
      <x:c r="U144" s="59"/>
      <x:c r="V144" s="59"/>
      <x:c r="W144" s="59"/>
      <x:c r="X144" s="59"/>
      <x:c r="Y144" s="59"/>
      <x:c r="Z144" s="59"/>
      <x:c r="AA144" s="59"/>
      <x:c r="AB144" s="59"/>
      <x:c r="AC144" s="59"/>
      <x:c r="AD144" s="59"/>
      <x:c r="AE144" s="59"/>
      <x:c r="AF144" s="59"/>
      <x:c r="AG144" s="59"/>
      <x:c r="AH144" s="59"/>
      <x:c r="AI144" s="59"/>
      <x:c r="AJ144" s="59"/>
      <x:c r="AK144" s="59"/>
      <x:c r="AL144" s="59"/>
      <x:c r="AM144" s="59"/>
      <x:c r="AN144" s="59"/>
    </x:row>
    <x:row r="145">
      <x:c r="A145" s="59"/>
      <x:c r="B145" s="59"/>
      <x:c r="C145" s="59"/>
      <x:c r="D145" s="59"/>
      <x:c r="E145" s="59"/>
      <x:c r="F145" s="59"/>
      <x:c r="G145" s="59"/>
      <x:c r="H145" s="59"/>
      <x:c r="I145" s="59"/>
      <x:c r="J145" s="59"/>
      <x:c r="K145" s="59"/>
      <x:c r="L145" s="59"/>
      <x:c r="M145" s="59"/>
      <x:c r="N145" s="59"/>
      <x:c r="O145" s="59"/>
      <x:c r="P145" s="59"/>
      <x:c r="Q145" s="59"/>
      <x:c r="R145" s="59"/>
      <x:c r="S145" s="59"/>
      <x:c r="T145" s="59"/>
      <x:c r="U145" s="59"/>
      <x:c r="V145" s="59"/>
      <x:c r="W145" s="59"/>
      <x:c r="X145" s="59"/>
      <x:c r="Y145" s="59"/>
      <x:c r="Z145" s="59"/>
      <x:c r="AA145" s="59"/>
      <x:c r="AB145" s="59"/>
      <x:c r="AC145" s="59"/>
      <x:c r="AD145" s="59"/>
      <x:c r="AE145" s="59"/>
      <x:c r="AF145" s="59"/>
      <x:c r="AG145" s="59"/>
      <x:c r="AH145" s="59"/>
      <x:c r="AI145" s="59"/>
      <x:c r="AJ145" s="59"/>
      <x:c r="AK145" s="59"/>
      <x:c r="AL145" s="59"/>
      <x:c r="AM145" s="59"/>
      <x:c r="AN145" s="59"/>
    </x:row>
    <x:row r="146">
      <x:c r="A146" s="59"/>
      <x:c r="B146" s="59"/>
      <x:c r="C146" s="59"/>
      <x:c r="D146" s="59"/>
      <x:c r="E146" s="59"/>
      <x:c r="F146" s="59"/>
      <x:c r="G146" s="59"/>
      <x:c r="H146" s="59"/>
      <x:c r="I146" s="59"/>
      <x:c r="J146" s="59"/>
      <x:c r="K146" s="59"/>
      <x:c r="L146" s="59"/>
      <x:c r="M146" s="59"/>
      <x:c r="N146" s="59"/>
      <x:c r="O146" s="59"/>
      <x:c r="P146" s="59"/>
      <x:c r="Q146" s="59"/>
      <x:c r="R146" s="59"/>
      <x:c r="S146" s="59"/>
      <x:c r="T146" s="59"/>
      <x:c r="U146" s="59"/>
      <x:c r="V146" s="59"/>
      <x:c r="W146" s="59"/>
      <x:c r="X146" s="59"/>
      <x:c r="Y146" s="59"/>
      <x:c r="Z146" s="59"/>
      <x:c r="AA146" s="59"/>
      <x:c r="AB146" s="59"/>
      <x:c r="AC146" s="59"/>
      <x:c r="AD146" s="59"/>
      <x:c r="AE146" s="59"/>
      <x:c r="AF146" s="59"/>
      <x:c r="AG146" s="59"/>
      <x:c r="AH146" s="59"/>
      <x:c r="AI146" s="59"/>
      <x:c r="AJ146" s="59"/>
      <x:c r="AK146" s="59"/>
      <x:c r="AL146" s="59"/>
      <x:c r="AM146" s="59"/>
      <x:c r="AN146" s="59"/>
    </x:row>
    <x:row r="147">
      <x:c r="A147" s="59"/>
      <x:c r="B147" s="59"/>
      <x:c r="C147" s="59"/>
      <x:c r="D147" s="59"/>
      <x:c r="E147" s="59"/>
      <x:c r="F147" s="59"/>
      <x:c r="G147" s="59"/>
      <x:c r="H147" s="59"/>
      <x:c r="I147" s="59"/>
      <x:c r="J147" s="59"/>
      <x:c r="K147" s="59"/>
      <x:c r="L147" s="59"/>
      <x:c r="M147" s="59"/>
      <x:c r="N147" s="59"/>
      <x:c r="O147" s="59"/>
      <x:c r="P147" s="59"/>
      <x:c r="Q147" s="59"/>
      <x:c r="R147" s="59"/>
      <x:c r="S147" s="59"/>
      <x:c r="T147" s="59"/>
      <x:c r="U147" s="59"/>
      <x:c r="V147" s="59"/>
      <x:c r="W147" s="59"/>
      <x:c r="X147" s="59"/>
      <x:c r="Y147" s="59"/>
      <x:c r="Z147" s="59"/>
      <x:c r="AA147" s="59"/>
      <x:c r="AB147" s="59"/>
      <x:c r="AC147" s="59"/>
      <x:c r="AD147" s="59"/>
      <x:c r="AE147" s="59"/>
      <x:c r="AF147" s="59"/>
      <x:c r="AG147" s="59"/>
      <x:c r="AH147" s="59"/>
      <x:c r="AI147" s="59"/>
      <x:c r="AJ147" s="59"/>
      <x:c r="AK147" s="59"/>
      <x:c r="AL147" s="59"/>
      <x:c r="AM147" s="59"/>
      <x:c r="AN147" s="59"/>
    </x:row>
    <x:row r="148">
      <x:c r="A148" s="59"/>
      <x:c r="B148" s="59"/>
      <x:c r="C148" s="59"/>
      <x:c r="D148" s="59"/>
      <x:c r="E148" s="59"/>
      <x:c r="F148" s="59"/>
      <x:c r="G148" s="59"/>
      <x:c r="H148" s="59"/>
      <x:c r="I148" s="59"/>
      <x:c r="J148" s="59"/>
      <x:c r="K148" s="59"/>
      <x:c r="L148" s="59"/>
      <x:c r="M148" s="59"/>
      <x:c r="N148" s="59"/>
      <x:c r="O148" s="59"/>
      <x:c r="P148" s="59"/>
      <x:c r="Q148" s="59"/>
      <x:c r="R148" s="59"/>
      <x:c r="S148" s="59"/>
      <x:c r="T148" s="59"/>
      <x:c r="U148" s="59"/>
      <x:c r="V148" s="59"/>
      <x:c r="W148" s="59"/>
      <x:c r="X148" s="59"/>
      <x:c r="Y148" s="59"/>
      <x:c r="Z148" s="59"/>
      <x:c r="AA148" s="59"/>
      <x:c r="AB148" s="59"/>
      <x:c r="AC148" s="59"/>
      <x:c r="AD148" s="59"/>
      <x:c r="AE148" s="59"/>
      <x:c r="AF148" s="59"/>
      <x:c r="AG148" s="59"/>
      <x:c r="AH148" s="59"/>
      <x:c r="AI148" s="59"/>
      <x:c r="AJ148" s="59"/>
      <x:c r="AK148" s="59"/>
      <x:c r="AL148" s="59"/>
      <x:c r="AM148" s="59"/>
      <x:c r="AN148" s="59"/>
    </x:row>
    <x:row r="149">
      <x:c r="A149" s="59"/>
      <x:c r="B149" s="59"/>
      <x:c r="C149" s="59"/>
      <x:c r="D149" s="59"/>
      <x:c r="E149" s="59"/>
      <x:c r="F149" s="59"/>
      <x:c r="G149" s="59"/>
      <x:c r="H149" s="59"/>
      <x:c r="I149" s="59"/>
      <x:c r="J149" s="59"/>
      <x:c r="K149" s="59"/>
      <x:c r="L149" s="59"/>
      <x:c r="M149" s="59"/>
      <x:c r="N149" s="59"/>
      <x:c r="O149" s="59"/>
      <x:c r="P149" s="59"/>
      <x:c r="Q149" s="59"/>
      <x:c r="R149" s="59"/>
      <x:c r="S149" s="59"/>
      <x:c r="T149" s="59"/>
      <x:c r="U149" s="59"/>
      <x:c r="V149" s="59"/>
      <x:c r="W149" s="59"/>
      <x:c r="X149" s="59"/>
      <x:c r="Y149" s="59"/>
      <x:c r="Z149" s="59"/>
      <x:c r="AA149" s="59"/>
      <x:c r="AB149" s="59"/>
      <x:c r="AC149" s="59"/>
      <x:c r="AD149" s="59"/>
      <x:c r="AE149" s="59"/>
      <x:c r="AF149" s="59"/>
      <x:c r="AG149" s="59"/>
      <x:c r="AH149" s="59"/>
      <x:c r="AI149" s="59"/>
      <x:c r="AJ149" s="59"/>
      <x:c r="AK149" s="59"/>
      <x:c r="AL149" s="59"/>
      <x:c r="AM149" s="59"/>
      <x:c r="AN149" s="59"/>
    </x:row>
    <x:row r="150">
      <x:c r="A150" s="59"/>
      <x:c r="B150" s="59"/>
      <x:c r="C150" s="59"/>
      <x:c r="D150" s="59"/>
      <x:c r="E150" s="59"/>
      <x:c r="F150" s="59"/>
      <x:c r="G150" s="59"/>
      <x:c r="H150" s="59"/>
      <x:c r="I150" s="59"/>
      <x:c r="J150" s="59"/>
      <x:c r="K150" s="59"/>
      <x:c r="L150" s="59"/>
      <x:c r="M150" s="59"/>
      <x:c r="N150" s="59"/>
      <x:c r="O150" s="59"/>
      <x:c r="P150" s="59"/>
      <x:c r="Q150" s="59"/>
      <x:c r="R150" s="59"/>
      <x:c r="S150" s="59"/>
      <x:c r="T150" s="59"/>
      <x:c r="U150" s="59"/>
      <x:c r="V150" s="59"/>
      <x:c r="W150" s="59"/>
      <x:c r="X150" s="59"/>
      <x:c r="Y150" s="59"/>
      <x:c r="Z150" s="59"/>
      <x:c r="AA150" s="59"/>
      <x:c r="AB150" s="59"/>
      <x:c r="AC150" s="59"/>
      <x:c r="AD150" s="59"/>
      <x:c r="AE150" s="59"/>
      <x:c r="AF150" s="59"/>
      <x:c r="AG150" s="59"/>
      <x:c r="AH150" s="59"/>
      <x:c r="AI150" s="59"/>
      <x:c r="AJ150" s="59"/>
      <x:c r="AK150" s="59"/>
      <x:c r="AL150" s="59"/>
      <x:c r="AM150" s="59"/>
      <x:c r="AN150" s="59"/>
    </x:row>
    <x:row r="151">
      <x:c r="A151" s="59"/>
      <x:c r="B151" s="59"/>
      <x:c r="C151" s="59"/>
      <x:c r="D151" s="59"/>
      <x:c r="E151" s="59"/>
      <x:c r="F151" s="59"/>
      <x:c r="G151" s="59"/>
      <x:c r="H151" s="59"/>
      <x:c r="I151" s="59"/>
      <x:c r="J151" s="59"/>
      <x:c r="K151" s="59"/>
      <x:c r="L151" s="59"/>
      <x:c r="M151" s="59"/>
      <x:c r="N151" s="59"/>
      <x:c r="O151" s="59"/>
      <x:c r="P151" s="59"/>
      <x:c r="Q151" s="59"/>
      <x:c r="R151" s="59"/>
      <x:c r="S151" s="59"/>
      <x:c r="T151" s="59"/>
      <x:c r="U151" s="59"/>
      <x:c r="V151" s="59"/>
      <x:c r="W151" s="59"/>
      <x:c r="X151" s="59"/>
      <x:c r="Y151" s="59"/>
      <x:c r="Z151" s="59"/>
      <x:c r="AA151" s="59"/>
      <x:c r="AB151" s="59"/>
      <x:c r="AC151" s="59"/>
      <x:c r="AD151" s="59"/>
      <x:c r="AE151" s="59"/>
      <x:c r="AF151" s="59"/>
      <x:c r="AG151" s="59"/>
      <x:c r="AH151" s="59"/>
      <x:c r="AI151" s="59"/>
      <x:c r="AJ151" s="59"/>
      <x:c r="AK151" s="59"/>
      <x:c r="AL151" s="59"/>
      <x:c r="AM151" s="59"/>
      <x:c r="AN151" s="59"/>
    </x:row>
    <x:row r="152">
      <x:c r="A152" s="59"/>
      <x:c r="B152" s="59"/>
      <x:c r="C152" s="59"/>
      <x:c r="D152" s="59"/>
      <x:c r="E152" s="59"/>
      <x:c r="F152" s="59"/>
      <x:c r="G152" s="59"/>
      <x:c r="H152" s="59"/>
      <x:c r="I152" s="59"/>
      <x:c r="J152" s="59"/>
      <x:c r="K152" s="59"/>
      <x:c r="L152" s="59"/>
      <x:c r="M152" s="59"/>
      <x:c r="N152" s="59"/>
      <x:c r="O152" s="59"/>
      <x:c r="P152" s="59"/>
      <x:c r="Q152" s="59"/>
      <x:c r="R152" s="59"/>
      <x:c r="S152" s="59"/>
      <x:c r="T152" s="59"/>
      <x:c r="U152" s="59"/>
      <x:c r="V152" s="59"/>
      <x:c r="W152" s="59"/>
      <x:c r="X152" s="59"/>
      <x:c r="Y152" s="59"/>
      <x:c r="Z152" s="59"/>
      <x:c r="AA152" s="59"/>
      <x:c r="AB152" s="59"/>
      <x:c r="AC152" s="59"/>
      <x:c r="AD152" s="59"/>
      <x:c r="AE152" s="59"/>
      <x:c r="AF152" s="59"/>
      <x:c r="AG152" s="59"/>
      <x:c r="AH152" s="59"/>
      <x:c r="AI152" s="59"/>
      <x:c r="AJ152" s="59"/>
      <x:c r="AK152" s="59"/>
      <x:c r="AL152" s="59"/>
      <x:c r="AM152" s="59"/>
      <x:c r="AN152" s="59"/>
    </x:row>
    <x:row r="153">
      <x:c r="A153" s="59"/>
      <x:c r="B153" s="59"/>
      <x:c r="C153" s="59"/>
      <x:c r="D153" s="59"/>
      <x:c r="E153" s="59"/>
      <x:c r="F153" s="59"/>
      <x:c r="G153" s="59"/>
      <x:c r="H153" s="59"/>
      <x:c r="I153" s="59"/>
      <x:c r="J153" s="59"/>
      <x:c r="K153" s="59"/>
      <x:c r="L153" s="59"/>
      <x:c r="M153" s="59"/>
      <x:c r="N153" s="59"/>
      <x:c r="O153" s="59"/>
      <x:c r="P153" s="59"/>
      <x:c r="Q153" s="59"/>
      <x:c r="R153" s="59"/>
      <x:c r="S153" s="59"/>
      <x:c r="T153" s="59"/>
      <x:c r="U153" s="59"/>
      <x:c r="V153" s="59"/>
      <x:c r="W153" s="59"/>
      <x:c r="X153" s="59"/>
      <x:c r="Y153" s="59"/>
      <x:c r="Z153" s="59"/>
      <x:c r="AA153" s="59"/>
      <x:c r="AB153" s="59"/>
      <x:c r="AC153" s="59"/>
      <x:c r="AD153" s="59"/>
      <x:c r="AE153" s="59"/>
      <x:c r="AF153" s="59"/>
      <x:c r="AG153" s="59"/>
      <x:c r="AH153" s="59"/>
      <x:c r="AI153" s="59"/>
      <x:c r="AJ153" s="59"/>
      <x:c r="AK153" s="59"/>
      <x:c r="AL153" s="59"/>
      <x:c r="AM153" s="59"/>
      <x:c r="AN153" s="59"/>
    </x:row>
    <x:row r="154">
      <x:c r="A154" s="59"/>
      <x:c r="B154" s="59"/>
      <x:c r="C154" s="59"/>
      <x:c r="D154" s="59"/>
      <x:c r="E154" s="59"/>
      <x:c r="F154" s="59"/>
      <x:c r="G154" s="59"/>
      <x:c r="H154" s="59"/>
      <x:c r="I154" s="59"/>
      <x:c r="J154" s="59"/>
      <x:c r="K154" s="59"/>
      <x:c r="L154" s="59"/>
      <x:c r="M154" s="59"/>
      <x:c r="N154" s="59"/>
      <x:c r="O154" s="59"/>
      <x:c r="P154" s="59"/>
      <x:c r="Q154" s="59"/>
      <x:c r="R154" s="59"/>
      <x:c r="S154" s="59"/>
      <x:c r="T154" s="59"/>
      <x:c r="U154" s="59"/>
      <x:c r="V154" s="59"/>
      <x:c r="W154" s="59"/>
      <x:c r="X154" s="59"/>
      <x:c r="Y154" s="59"/>
      <x:c r="Z154" s="59"/>
      <x:c r="AA154" s="59"/>
      <x:c r="AB154" s="59"/>
      <x:c r="AC154" s="59"/>
      <x:c r="AD154" s="59"/>
      <x:c r="AE154" s="59"/>
      <x:c r="AF154" s="59"/>
      <x:c r="AG154" s="59"/>
      <x:c r="AH154" s="59"/>
      <x:c r="AI154" s="59"/>
      <x:c r="AJ154" s="59"/>
      <x:c r="AK154" s="59"/>
      <x:c r="AL154" s="59"/>
      <x:c r="AM154" s="59"/>
      <x:c r="AN154" s="59"/>
    </x:row>
    <x:row r="155">
      <x:c r="A155" s="59"/>
      <x:c r="B155" s="59"/>
      <x:c r="C155" s="59"/>
      <x:c r="D155" s="59"/>
      <x:c r="E155" s="59"/>
      <x:c r="F155" s="59"/>
      <x:c r="G155" s="59"/>
      <x:c r="H155" s="59"/>
      <x:c r="I155" s="59"/>
      <x:c r="J155" s="59"/>
      <x:c r="K155" s="59"/>
      <x:c r="L155" s="59"/>
      <x:c r="M155" s="59"/>
      <x:c r="N155" s="59"/>
      <x:c r="O155" s="59"/>
      <x:c r="P155" s="59"/>
      <x:c r="Q155" s="59"/>
      <x:c r="R155" s="59"/>
      <x:c r="S155" s="59"/>
      <x:c r="T155" s="59"/>
      <x:c r="U155" s="59"/>
      <x:c r="V155" s="59"/>
      <x:c r="W155" s="59"/>
      <x:c r="X155" s="59"/>
      <x:c r="Y155" s="59"/>
      <x:c r="Z155" s="59"/>
      <x:c r="AA155" s="59"/>
      <x:c r="AB155" s="59"/>
      <x:c r="AC155" s="59"/>
      <x:c r="AD155" s="59"/>
      <x:c r="AE155" s="59"/>
      <x:c r="AF155" s="59"/>
      <x:c r="AG155" s="59"/>
      <x:c r="AH155" s="59"/>
      <x:c r="AI155" s="59"/>
      <x:c r="AJ155" s="59"/>
      <x:c r="AK155" s="59"/>
      <x:c r="AL155" s="59"/>
      <x:c r="AM155" s="59"/>
      <x:c r="AN155" s="59"/>
    </x:row>
    <x:row r="156">
      <x:c r="A156" s="59"/>
      <x:c r="B156" s="59"/>
      <x:c r="C156" s="59"/>
      <x:c r="D156" s="59"/>
      <x:c r="E156" s="59"/>
      <x:c r="F156" s="59"/>
      <x:c r="G156" s="59"/>
      <x:c r="H156" s="59"/>
      <x:c r="I156" s="59"/>
      <x:c r="J156" s="59"/>
      <x:c r="K156" s="59"/>
      <x:c r="L156" s="59"/>
      <x:c r="M156" s="59"/>
      <x:c r="N156" s="59"/>
      <x:c r="O156" s="59"/>
      <x:c r="P156" s="59"/>
      <x:c r="Q156" s="59"/>
      <x:c r="R156" s="59"/>
      <x:c r="S156" s="59"/>
      <x:c r="T156" s="59"/>
      <x:c r="U156" s="59"/>
      <x:c r="V156" s="59"/>
      <x:c r="W156" s="59"/>
      <x:c r="X156" s="59"/>
      <x:c r="Y156" s="59"/>
      <x:c r="Z156" s="59"/>
      <x:c r="AA156" s="59"/>
      <x:c r="AB156" s="59"/>
      <x:c r="AC156" s="59"/>
      <x:c r="AD156" s="59"/>
      <x:c r="AE156" s="59"/>
      <x:c r="AF156" s="59"/>
      <x:c r="AG156" s="59"/>
      <x:c r="AH156" s="59"/>
      <x:c r="AI156" s="59"/>
      <x:c r="AJ156" s="59"/>
      <x:c r="AK156" s="59"/>
      <x:c r="AL156" s="59"/>
      <x:c r="AM156" s="59"/>
      <x:c r="AN156" s="59"/>
    </x:row>
    <x:row r="157">
      <x:c r="A157" s="59"/>
      <x:c r="B157" s="59"/>
      <x:c r="C157" s="59"/>
      <x:c r="D157" s="59"/>
      <x:c r="E157" s="59"/>
      <x:c r="F157" s="59"/>
      <x:c r="G157" s="59"/>
      <x:c r="H157" s="59"/>
      <x:c r="I157" s="59"/>
      <x:c r="J157" s="59"/>
      <x:c r="K157" s="59"/>
      <x:c r="L157" s="59"/>
      <x:c r="M157" s="59"/>
      <x:c r="N157" s="59"/>
      <x:c r="O157" s="59"/>
      <x:c r="P157" s="59"/>
      <x:c r="Q157" s="59"/>
      <x:c r="R157" s="59"/>
      <x:c r="S157" s="59"/>
      <x:c r="T157" s="59"/>
      <x:c r="U157" s="59"/>
      <x:c r="V157" s="59"/>
      <x:c r="W157" s="59"/>
      <x:c r="X157" s="59"/>
      <x:c r="Y157" s="59"/>
      <x:c r="Z157" s="59"/>
      <x:c r="AA157" s="59"/>
      <x:c r="AB157" s="59"/>
      <x:c r="AC157" s="59"/>
      <x:c r="AD157" s="59"/>
      <x:c r="AE157" s="59"/>
      <x:c r="AF157" s="59"/>
      <x:c r="AG157" s="59"/>
      <x:c r="AH157" s="59"/>
      <x:c r="AI157" s="59"/>
      <x:c r="AJ157" s="59"/>
      <x:c r="AK157" s="59"/>
      <x:c r="AL157" s="59"/>
      <x:c r="AM157" s="59"/>
      <x:c r="AN157" s="59"/>
    </x:row>
    <x:row r="158">
      <x:c r="A158" s="59"/>
      <x:c r="B158" s="59"/>
      <x:c r="C158" s="59"/>
      <x:c r="D158" s="59"/>
      <x:c r="E158" s="59"/>
      <x:c r="F158" s="59"/>
      <x:c r="G158" s="59"/>
      <x:c r="H158" s="59"/>
      <x:c r="I158" s="59"/>
      <x:c r="J158" s="59"/>
      <x:c r="K158" s="59"/>
      <x:c r="L158" s="59"/>
      <x:c r="M158" s="59"/>
      <x:c r="N158" s="59"/>
      <x:c r="O158" s="59"/>
      <x:c r="P158" s="59"/>
      <x:c r="Q158" s="59"/>
      <x:c r="R158" s="59"/>
      <x:c r="S158" s="59"/>
      <x:c r="T158" s="59"/>
      <x:c r="U158" s="59"/>
      <x:c r="V158" s="59"/>
      <x:c r="W158" s="59"/>
      <x:c r="X158" s="59"/>
      <x:c r="Y158" s="59"/>
      <x:c r="Z158" s="59"/>
      <x:c r="AA158" s="59"/>
      <x:c r="AB158" s="59"/>
      <x:c r="AC158" s="59"/>
      <x:c r="AD158" s="59"/>
      <x:c r="AE158" s="59"/>
      <x:c r="AF158" s="59"/>
      <x:c r="AG158" s="59"/>
      <x:c r="AH158" s="59"/>
      <x:c r="AI158" s="59"/>
      <x:c r="AJ158" s="59"/>
      <x:c r="AK158" s="59"/>
      <x:c r="AL158" s="59"/>
      <x:c r="AM158" s="59"/>
      <x:c r="AN158" s="59"/>
    </x:row>
    <x:row r="159">
      <x:c r="A159" s="59"/>
      <x:c r="B159" s="59"/>
      <x:c r="C159" s="59"/>
      <x:c r="D159" s="59"/>
      <x:c r="E159" s="59"/>
      <x:c r="F159" s="59"/>
      <x:c r="G159" s="59"/>
      <x:c r="H159" s="59"/>
      <x:c r="I159" s="59"/>
      <x:c r="J159" s="59"/>
      <x:c r="K159" s="59"/>
      <x:c r="L159" s="59"/>
      <x:c r="M159" s="59"/>
      <x:c r="N159" s="59"/>
      <x:c r="O159" s="59"/>
      <x:c r="P159" s="59"/>
      <x:c r="Q159" s="59"/>
      <x:c r="R159" s="59"/>
      <x:c r="S159" s="59"/>
      <x:c r="T159" s="59"/>
      <x:c r="U159" s="59"/>
      <x:c r="V159" s="59"/>
      <x:c r="W159" s="59"/>
      <x:c r="X159" s="59"/>
      <x:c r="Y159" s="59"/>
      <x:c r="Z159" s="59"/>
      <x:c r="AA159" s="59"/>
      <x:c r="AB159" s="59"/>
      <x:c r="AC159" s="59"/>
      <x:c r="AD159" s="59"/>
      <x:c r="AE159" s="59"/>
      <x:c r="AF159" s="59"/>
      <x:c r="AG159" s="59"/>
      <x:c r="AH159" s="59"/>
      <x:c r="AI159" s="59"/>
      <x:c r="AJ159" s="59"/>
      <x:c r="AK159" s="59"/>
      <x:c r="AL159" s="59"/>
      <x:c r="AM159" s="59"/>
      <x:c r="AN159" s="59"/>
    </x:row>
    <x:row r="160">
      <x:c r="A160" s="59"/>
      <x:c r="B160" s="59"/>
      <x:c r="C160" s="59"/>
      <x:c r="D160" s="59"/>
      <x:c r="E160" s="59"/>
      <x:c r="F160" s="59"/>
      <x:c r="G160" s="59"/>
      <x:c r="H160" s="59"/>
      <x:c r="I160" s="59"/>
      <x:c r="J160" s="59"/>
      <x:c r="K160" s="59"/>
      <x:c r="L160" s="59"/>
      <x:c r="M160" s="59"/>
      <x:c r="N160" s="59"/>
      <x:c r="O160" s="59"/>
      <x:c r="P160" s="59"/>
      <x:c r="Q160" s="59"/>
      <x:c r="R160" s="59"/>
      <x:c r="S160" s="59"/>
      <x:c r="T160" s="59"/>
      <x:c r="U160" s="59"/>
      <x:c r="V160" s="59"/>
      <x:c r="W160" s="59"/>
      <x:c r="X160" s="59"/>
      <x:c r="Y160" s="59"/>
      <x:c r="Z160" s="59"/>
      <x:c r="AA160" s="59"/>
      <x:c r="AB160" s="59"/>
      <x:c r="AC160" s="59"/>
      <x:c r="AD160" s="59"/>
      <x:c r="AE160" s="59"/>
      <x:c r="AF160" s="59"/>
      <x:c r="AG160" s="59"/>
      <x:c r="AH160" s="59"/>
      <x:c r="AI160" s="59"/>
      <x:c r="AJ160" s="59"/>
      <x:c r="AK160" s="59"/>
      <x:c r="AL160" s="59"/>
      <x:c r="AM160" s="59"/>
      <x:c r="AN160" s="59"/>
    </x:row>
    <x:row r="161">
      <x:c r="A161" s="59"/>
      <x:c r="B161" s="59"/>
      <x:c r="C161" s="59"/>
      <x:c r="D161" s="59"/>
      <x:c r="E161" s="59"/>
      <x:c r="F161" s="59"/>
      <x:c r="G161" s="59"/>
      <x:c r="H161" s="59"/>
      <x:c r="I161" s="59"/>
      <x:c r="J161" s="59"/>
      <x:c r="K161" s="59"/>
      <x:c r="L161" s="59"/>
      <x:c r="M161" s="59"/>
      <x:c r="N161" s="59"/>
      <x:c r="O161" s="59"/>
      <x:c r="P161" s="59"/>
      <x:c r="Q161" s="59"/>
      <x:c r="R161" s="59"/>
      <x:c r="S161" s="59"/>
      <x:c r="T161" s="59"/>
      <x:c r="U161" s="59"/>
      <x:c r="V161" s="59"/>
      <x:c r="W161" s="59"/>
      <x:c r="X161" s="59"/>
      <x:c r="Y161" s="59"/>
      <x:c r="Z161" s="59"/>
      <x:c r="AA161" s="59"/>
      <x:c r="AB161" s="59"/>
      <x:c r="AC161" s="59"/>
      <x:c r="AD161" s="59"/>
      <x:c r="AE161" s="59"/>
      <x:c r="AF161" s="59"/>
      <x:c r="AG161" s="59"/>
      <x:c r="AH161" s="59"/>
      <x:c r="AI161" s="59"/>
      <x:c r="AJ161" s="59"/>
      <x:c r="AK161" s="59"/>
      <x:c r="AL161" s="59"/>
      <x:c r="AM161" s="59"/>
      <x:c r="AN161" s="59"/>
    </x:row>
    <x:row r="162">
      <x:c r="A162" s="59"/>
      <x:c r="B162" s="59"/>
      <x:c r="C162" s="59"/>
      <x:c r="D162" s="59"/>
      <x:c r="E162" s="59"/>
      <x:c r="F162" s="59"/>
      <x:c r="G162" s="59"/>
      <x:c r="H162" s="59"/>
      <x:c r="I162" s="59"/>
      <x:c r="J162" s="59"/>
      <x:c r="K162" s="59"/>
      <x:c r="L162" s="59"/>
      <x:c r="M162" s="59"/>
      <x:c r="N162" s="59"/>
      <x:c r="O162" s="59"/>
      <x:c r="P162" s="59"/>
      <x:c r="Q162" s="59"/>
      <x:c r="R162" s="59"/>
      <x:c r="S162" s="59"/>
      <x:c r="T162" s="59"/>
      <x:c r="U162" s="59"/>
      <x:c r="V162" s="59"/>
      <x:c r="W162" s="59"/>
      <x:c r="X162" s="59"/>
      <x:c r="Y162" s="59"/>
      <x:c r="Z162" s="59"/>
      <x:c r="AA162" s="59"/>
      <x:c r="AB162" s="59"/>
      <x:c r="AC162" s="59"/>
      <x:c r="AD162" s="59"/>
      <x:c r="AE162" s="59"/>
      <x:c r="AF162" s="59"/>
      <x:c r="AG162" s="59"/>
      <x:c r="AH162" s="59"/>
      <x:c r="AI162" s="59"/>
      <x:c r="AJ162" s="59"/>
      <x:c r="AK162" s="59"/>
      <x:c r="AL162" s="59"/>
      <x:c r="AM162" s="59"/>
      <x:c r="AN162" s="59"/>
    </x:row>
    <x:row r="163">
      <x:c r="A163" s="59"/>
      <x:c r="B163" s="59"/>
      <x:c r="C163" s="59"/>
      <x:c r="D163" s="59"/>
      <x:c r="E163" s="59"/>
      <x:c r="F163" s="59"/>
      <x:c r="G163" s="59"/>
      <x:c r="H163" s="59"/>
      <x:c r="I163" s="59"/>
      <x:c r="J163" s="59"/>
      <x:c r="K163" s="59"/>
      <x:c r="L163" s="59"/>
      <x:c r="M163" s="59"/>
      <x:c r="N163" s="59"/>
      <x:c r="O163" s="59"/>
      <x:c r="P163" s="59"/>
      <x:c r="Q163" s="59"/>
      <x:c r="R163" s="59"/>
      <x:c r="S163" s="59"/>
      <x:c r="T163" s="59"/>
      <x:c r="U163" s="59"/>
      <x:c r="V163" s="59"/>
      <x:c r="W163" s="59"/>
      <x:c r="X163" s="59"/>
      <x:c r="Y163" s="59"/>
      <x:c r="Z163" s="59"/>
      <x:c r="AA163" s="59"/>
      <x:c r="AB163" s="59"/>
      <x:c r="AC163" s="59"/>
      <x:c r="AD163" s="59"/>
      <x:c r="AE163" s="59"/>
      <x:c r="AF163" s="59"/>
      <x:c r="AG163" s="59"/>
      <x:c r="AH163" s="59"/>
      <x:c r="AI163" s="59"/>
      <x:c r="AJ163" s="59"/>
      <x:c r="AK163" s="59"/>
      <x:c r="AL163" s="59"/>
      <x:c r="AM163" s="59"/>
      <x:c r="AN163" s="59"/>
    </x:row>
    <x:row r="164">
      <x:c r="A164" s="59"/>
      <x:c r="B164" s="59"/>
      <x:c r="C164" s="59"/>
      <x:c r="D164" s="59"/>
      <x:c r="E164" s="59"/>
      <x:c r="F164" s="59"/>
      <x:c r="G164" s="59"/>
      <x:c r="H164" s="59"/>
      <x:c r="I164" s="59"/>
      <x:c r="J164" s="59"/>
      <x:c r="K164" s="59"/>
      <x:c r="L164" s="59"/>
      <x:c r="M164" s="59"/>
      <x:c r="N164" s="59"/>
      <x:c r="O164" s="59"/>
      <x:c r="P164" s="59"/>
      <x:c r="Q164" s="59"/>
      <x:c r="R164" s="59"/>
      <x:c r="S164" s="59"/>
      <x:c r="T164" s="59"/>
      <x:c r="U164" s="59"/>
      <x:c r="V164" s="59"/>
      <x:c r="W164" s="59"/>
      <x:c r="X164" s="59"/>
      <x:c r="Y164" s="59"/>
      <x:c r="Z164" s="59"/>
      <x:c r="AA164" s="59"/>
      <x:c r="AB164" s="59"/>
      <x:c r="AC164" s="59"/>
      <x:c r="AD164" s="59"/>
      <x:c r="AE164" s="59"/>
      <x:c r="AF164" s="59"/>
      <x:c r="AG164" s="59"/>
      <x:c r="AH164" s="59"/>
      <x:c r="AI164" s="59"/>
      <x:c r="AJ164" s="59"/>
      <x:c r="AK164" s="59"/>
      <x:c r="AL164" s="59"/>
      <x:c r="AM164" s="59"/>
      <x:c r="AN164" s="59"/>
    </x:row>
    <x:row r="165">
      <x:c r="A165" s="59"/>
      <x:c r="B165" s="59"/>
      <x:c r="C165" s="59"/>
      <x:c r="D165" s="59"/>
      <x:c r="E165" s="59"/>
      <x:c r="F165" s="59"/>
      <x:c r="G165" s="59"/>
      <x:c r="H165" s="59"/>
      <x:c r="I165" s="59"/>
      <x:c r="J165" s="59"/>
      <x:c r="K165" s="59"/>
      <x:c r="L165" s="59"/>
      <x:c r="M165" s="59"/>
      <x:c r="N165" s="59"/>
      <x:c r="O165" s="59"/>
      <x:c r="P165" s="59"/>
      <x:c r="Q165" s="59"/>
      <x:c r="R165" s="59"/>
      <x:c r="S165" s="59"/>
      <x:c r="T165" s="59"/>
      <x:c r="U165" s="59"/>
      <x:c r="V165" s="59"/>
      <x:c r="W165" s="59"/>
      <x:c r="X165" s="59"/>
      <x:c r="Y165" s="59"/>
      <x:c r="Z165" s="59"/>
      <x:c r="AA165" s="59"/>
      <x:c r="AB165" s="59"/>
      <x:c r="AC165" s="59"/>
      <x:c r="AD165" s="59"/>
      <x:c r="AE165" s="59"/>
      <x:c r="AF165" s="59"/>
      <x:c r="AG165" s="59"/>
      <x:c r="AH165" s="59"/>
      <x:c r="AI165" s="59"/>
      <x:c r="AJ165" s="59"/>
      <x:c r="AK165" s="59"/>
      <x:c r="AL165" s="59"/>
      <x:c r="AM165" s="59"/>
      <x:c r="AN165" s="59"/>
    </x:row>
    <x:row r="166">
      <x:c r="A166" s="59"/>
      <x:c r="B166" s="59"/>
      <x:c r="C166" s="59"/>
      <x:c r="D166" s="59"/>
      <x:c r="E166" s="59"/>
      <x:c r="F166" s="59"/>
      <x:c r="G166" s="59"/>
      <x:c r="H166" s="59"/>
      <x:c r="I166" s="59"/>
      <x:c r="J166" s="59"/>
      <x:c r="K166" s="59"/>
      <x:c r="L166" s="59"/>
      <x:c r="M166" s="59"/>
      <x:c r="N166" s="59"/>
      <x:c r="O166" s="59"/>
      <x:c r="P166" s="59"/>
      <x:c r="Q166" s="59"/>
      <x:c r="R166" s="59"/>
      <x:c r="S166" s="59"/>
      <x:c r="T166" s="59"/>
      <x:c r="U166" s="59"/>
      <x:c r="V166" s="59"/>
      <x:c r="W166" s="59"/>
      <x:c r="X166" s="59"/>
      <x:c r="Y166" s="59"/>
      <x:c r="Z166" s="59"/>
      <x:c r="AA166" s="59"/>
      <x:c r="AB166" s="59"/>
      <x:c r="AC166" s="59"/>
      <x:c r="AD166" s="59"/>
      <x:c r="AE166" s="59"/>
      <x:c r="AF166" s="59"/>
      <x:c r="AG166" s="59"/>
      <x:c r="AH166" s="59"/>
      <x:c r="AI166" s="59"/>
      <x:c r="AJ166" s="59"/>
      <x:c r="AK166" s="59"/>
      <x:c r="AL166" s="59"/>
      <x:c r="AM166" s="59"/>
      <x:c r="AN166" s="59"/>
    </x:row>
    <x:row r="167">
      <x:c r="A167" s="59"/>
      <x:c r="B167" s="59"/>
      <x:c r="C167" s="59"/>
      <x:c r="D167" s="59"/>
      <x:c r="E167" s="59"/>
      <x:c r="F167" s="59"/>
      <x:c r="G167" s="59"/>
      <x:c r="H167" s="59"/>
      <x:c r="I167" s="59"/>
      <x:c r="J167" s="59"/>
      <x:c r="K167" s="59"/>
      <x:c r="L167" s="59"/>
      <x:c r="M167" s="59"/>
      <x:c r="N167" s="59"/>
      <x:c r="O167" s="59"/>
      <x:c r="P167" s="59"/>
      <x:c r="Q167" s="59"/>
      <x:c r="R167" s="59"/>
      <x:c r="S167" s="59"/>
      <x:c r="T167" s="59"/>
      <x:c r="U167" s="59"/>
      <x:c r="V167" s="59"/>
      <x:c r="W167" s="59"/>
      <x:c r="X167" s="59"/>
      <x:c r="Y167" s="59"/>
      <x:c r="Z167" s="59"/>
      <x:c r="AA167" s="59"/>
      <x:c r="AB167" s="59"/>
      <x:c r="AC167" s="59"/>
      <x:c r="AD167" s="59"/>
      <x:c r="AE167" s="59"/>
      <x:c r="AF167" s="59"/>
      <x:c r="AG167" s="59"/>
      <x:c r="AH167" s="59"/>
      <x:c r="AI167" s="59"/>
      <x:c r="AJ167" s="59"/>
      <x:c r="AK167" s="59"/>
      <x:c r="AL167" s="59"/>
      <x:c r="AM167" s="59"/>
      <x:c r="AN167" s="59"/>
    </x:row>
    <x:row r="168">
      <x:c r="A168" s="59"/>
      <x:c r="B168" s="59"/>
      <x:c r="C168" s="59"/>
      <x:c r="D168" s="59"/>
      <x:c r="E168" s="59"/>
      <x:c r="F168" s="59"/>
      <x:c r="G168" s="59"/>
      <x:c r="H168" s="59"/>
      <x:c r="I168" s="59"/>
      <x:c r="J168" s="59"/>
      <x:c r="K168" s="59"/>
      <x:c r="L168" s="59"/>
      <x:c r="M168" s="59"/>
      <x:c r="N168" s="59"/>
      <x:c r="O168" s="59"/>
      <x:c r="P168" s="59"/>
      <x:c r="Q168" s="59"/>
      <x:c r="R168" s="59"/>
      <x:c r="S168" s="59"/>
      <x:c r="T168" s="59"/>
      <x:c r="U168" s="59"/>
      <x:c r="V168" s="59"/>
      <x:c r="W168" s="59"/>
      <x:c r="X168" s="59"/>
      <x:c r="Y168" s="59"/>
      <x:c r="Z168" s="59"/>
      <x:c r="AA168" s="59"/>
      <x:c r="AB168" s="59"/>
      <x:c r="AC168" s="59"/>
      <x:c r="AD168" s="59"/>
      <x:c r="AE168" s="59"/>
      <x:c r="AF168" s="59"/>
      <x:c r="AG168" s="59"/>
      <x:c r="AH168" s="59"/>
      <x:c r="AI168" s="59"/>
      <x:c r="AJ168" s="59"/>
      <x:c r="AK168" s="59"/>
      <x:c r="AL168" s="59"/>
      <x:c r="AM168" s="59"/>
      <x:c r="AN168" s="59"/>
    </x:row>
    <x:row r="169">
      <x:c r="A169" s="59"/>
      <x:c r="B169" s="59"/>
      <x:c r="C169" s="59"/>
      <x:c r="D169" s="59"/>
      <x:c r="E169" s="59"/>
      <x:c r="F169" s="59"/>
      <x:c r="G169" s="59"/>
      <x:c r="H169" s="59"/>
      <x:c r="I169" s="59"/>
      <x:c r="J169" s="59"/>
      <x:c r="K169" s="59"/>
      <x:c r="L169" s="59"/>
      <x:c r="M169" s="59"/>
      <x:c r="N169" s="59"/>
      <x:c r="O169" s="59"/>
      <x:c r="P169" s="59"/>
      <x:c r="Q169" s="59"/>
      <x:c r="R169" s="59"/>
      <x:c r="S169" s="59"/>
      <x:c r="T169" s="59"/>
      <x:c r="U169" s="59"/>
      <x:c r="V169" s="59"/>
      <x:c r="W169" s="59"/>
      <x:c r="X169" s="59"/>
      <x:c r="Y169" s="59"/>
      <x:c r="Z169" s="59"/>
      <x:c r="AA169" s="59"/>
      <x:c r="AB169" s="59"/>
      <x:c r="AC169" s="59"/>
      <x:c r="AD169" s="59"/>
      <x:c r="AE169" s="59"/>
      <x:c r="AF169" s="59"/>
      <x:c r="AG169" s="59"/>
      <x:c r="AH169" s="59"/>
      <x:c r="AI169" s="59"/>
      <x:c r="AJ169" s="59"/>
      <x:c r="AK169" s="59"/>
      <x:c r="AL169" s="59"/>
      <x:c r="AM169" s="59"/>
      <x:c r="AN169" s="59"/>
    </x:row>
    <x:row r="170">
      <x:c r="A170" s="59"/>
      <x:c r="B170" s="59"/>
      <x:c r="C170" s="59"/>
      <x:c r="D170" s="59"/>
      <x:c r="E170" s="59"/>
      <x:c r="F170" s="59"/>
      <x:c r="G170" s="59"/>
      <x:c r="H170" s="59"/>
      <x:c r="I170" s="59"/>
      <x:c r="J170" s="59"/>
      <x:c r="K170" s="59"/>
      <x:c r="L170" s="59"/>
      <x:c r="M170" s="59"/>
      <x:c r="N170" s="59"/>
      <x:c r="O170" s="59"/>
      <x:c r="P170" s="59"/>
      <x:c r="Q170" s="59"/>
      <x:c r="R170" s="59"/>
      <x:c r="S170" s="59"/>
      <x:c r="T170" s="59"/>
      <x:c r="U170" s="59"/>
      <x:c r="V170" s="59"/>
      <x:c r="W170" s="59"/>
      <x:c r="X170" s="59"/>
      <x:c r="Y170" s="59"/>
      <x:c r="Z170" s="59"/>
      <x:c r="AA170" s="59"/>
      <x:c r="AB170" s="59"/>
      <x:c r="AC170" s="59"/>
      <x:c r="AD170" s="59"/>
      <x:c r="AE170" s="59"/>
      <x:c r="AF170" s="59"/>
      <x:c r="AG170" s="59"/>
      <x:c r="AH170" s="59"/>
      <x:c r="AI170" s="59"/>
      <x:c r="AJ170" s="59"/>
      <x:c r="AK170" s="59"/>
      <x:c r="AL170" s="59"/>
      <x:c r="AM170" s="59"/>
      <x:c r="AN170" s="59"/>
    </x:row>
    <x:row r="171">
      <x:c r="A171" s="59"/>
      <x:c r="B171" s="59"/>
      <x:c r="C171" s="59"/>
      <x:c r="D171" s="59"/>
      <x:c r="E171" s="59"/>
      <x:c r="F171" s="59"/>
      <x:c r="G171" s="59"/>
      <x:c r="H171" s="59"/>
      <x:c r="I171" s="59"/>
      <x:c r="J171" s="59"/>
      <x:c r="K171" s="59"/>
      <x:c r="L171" s="59"/>
      <x:c r="M171" s="59"/>
      <x:c r="N171" s="59"/>
      <x:c r="O171" s="59"/>
      <x:c r="P171" s="59"/>
      <x:c r="Q171" s="59"/>
      <x:c r="R171" s="59"/>
      <x:c r="S171" s="59"/>
      <x:c r="T171" s="59"/>
      <x:c r="U171" s="59"/>
      <x:c r="V171" s="59"/>
      <x:c r="W171" s="59"/>
      <x:c r="X171" s="59"/>
      <x:c r="Y171" s="59"/>
      <x:c r="Z171" s="59"/>
      <x:c r="AA171" s="59"/>
      <x:c r="AB171" s="59"/>
      <x:c r="AC171" s="59"/>
      <x:c r="AD171" s="59"/>
      <x:c r="AE171" s="59"/>
      <x:c r="AF171" s="59"/>
      <x:c r="AG171" s="59"/>
      <x:c r="AH171" s="59"/>
      <x:c r="AI171" s="59"/>
      <x:c r="AJ171" s="59"/>
      <x:c r="AK171" s="59"/>
      <x:c r="AL171" s="59"/>
      <x:c r="AM171" s="59"/>
      <x:c r="AN171" s="59"/>
    </x:row>
    <x:row r="172">
      <x:c r="A172" s="59"/>
      <x:c r="B172" s="59"/>
      <x:c r="C172" s="59"/>
      <x:c r="D172" s="59"/>
      <x:c r="E172" s="59"/>
      <x:c r="F172" s="59"/>
      <x:c r="G172" s="59"/>
      <x:c r="H172" s="59"/>
      <x:c r="I172" s="59"/>
      <x:c r="J172" s="59"/>
      <x:c r="K172" s="59"/>
      <x:c r="L172" s="59"/>
      <x:c r="M172" s="59"/>
      <x:c r="N172" s="59"/>
      <x:c r="O172" s="59"/>
      <x:c r="P172" s="59"/>
      <x:c r="Q172" s="59"/>
      <x:c r="R172" s="59"/>
      <x:c r="S172" s="59"/>
      <x:c r="T172" s="59"/>
      <x:c r="U172" s="59"/>
      <x:c r="V172" s="59"/>
      <x:c r="W172" s="59"/>
      <x:c r="X172" s="59"/>
      <x:c r="Y172" s="59"/>
      <x:c r="Z172" s="59"/>
      <x:c r="AA172" s="59"/>
      <x:c r="AB172" s="59"/>
      <x:c r="AC172" s="59"/>
      <x:c r="AD172" s="59"/>
      <x:c r="AE172" s="59"/>
      <x:c r="AF172" s="59"/>
      <x:c r="AG172" s="59"/>
      <x:c r="AH172" s="59"/>
      <x:c r="AI172" s="59"/>
      <x:c r="AJ172" s="59"/>
      <x:c r="AK172" s="59"/>
      <x:c r="AL172" s="59"/>
      <x:c r="AM172" s="59"/>
      <x:c r="AN172" s="59"/>
    </x:row>
    <x:row r="173">
      <x:c r="A173" s="59"/>
      <x:c r="B173" s="59"/>
      <x:c r="C173" s="59"/>
      <x:c r="D173" s="59"/>
      <x:c r="E173" s="59"/>
      <x:c r="F173" s="59"/>
      <x:c r="G173" s="59"/>
      <x:c r="H173" s="59"/>
      <x:c r="I173" s="59"/>
      <x:c r="J173" s="59"/>
      <x:c r="K173" s="59"/>
      <x:c r="L173" s="59"/>
      <x:c r="M173" s="59"/>
      <x:c r="N173" s="59"/>
      <x:c r="O173" s="59"/>
      <x:c r="P173" s="59"/>
      <x:c r="Q173" s="59"/>
      <x:c r="R173" s="59"/>
      <x:c r="S173" s="59"/>
      <x:c r="T173" s="59"/>
      <x:c r="U173" s="59"/>
      <x:c r="V173" s="59"/>
      <x:c r="W173" s="59"/>
      <x:c r="X173" s="59"/>
      <x:c r="Y173" s="59"/>
      <x:c r="Z173" s="59"/>
      <x:c r="AA173" s="59"/>
      <x:c r="AB173" s="59"/>
      <x:c r="AC173" s="59"/>
      <x:c r="AD173" s="59"/>
      <x:c r="AE173" s="59"/>
      <x:c r="AF173" s="59"/>
      <x:c r="AG173" s="59"/>
      <x:c r="AH173" s="59"/>
      <x:c r="AI173" s="59"/>
      <x:c r="AJ173" s="59"/>
      <x:c r="AK173" s="59"/>
      <x:c r="AL173" s="59"/>
      <x:c r="AM173" s="59"/>
      <x:c r="AN173" s="59"/>
    </x:row>
    <x:row r="174">
      <x:c r="A174" s="59"/>
      <x:c r="B174" s="59"/>
      <x:c r="C174" s="59"/>
      <x:c r="D174" s="59"/>
      <x:c r="E174" s="59"/>
      <x:c r="F174" s="59"/>
      <x:c r="G174" s="59"/>
      <x:c r="H174" s="59"/>
      <x:c r="I174" s="59"/>
      <x:c r="J174" s="59"/>
      <x:c r="K174" s="59"/>
      <x:c r="L174" s="59"/>
      <x:c r="M174" s="59"/>
      <x:c r="N174" s="59"/>
      <x:c r="O174" s="59"/>
      <x:c r="P174" s="59"/>
      <x:c r="Q174" s="59"/>
      <x:c r="R174" s="59"/>
      <x:c r="S174" s="59"/>
      <x:c r="T174" s="59"/>
      <x:c r="U174" s="59"/>
      <x:c r="V174" s="59"/>
      <x:c r="W174" s="59"/>
      <x:c r="X174" s="59"/>
      <x:c r="Y174" s="59"/>
      <x:c r="Z174" s="59"/>
      <x:c r="AA174" s="59"/>
      <x:c r="AB174" s="59"/>
      <x:c r="AC174" s="59"/>
      <x:c r="AD174" s="59"/>
      <x:c r="AE174" s="59"/>
      <x:c r="AF174" s="59"/>
      <x:c r="AG174" s="59"/>
      <x:c r="AH174" s="59"/>
      <x:c r="AI174" s="59"/>
      <x:c r="AJ174" s="59"/>
      <x:c r="AK174" s="59"/>
      <x:c r="AL174" s="59"/>
      <x:c r="AM174" s="59"/>
      <x:c r="AN174" s="59"/>
    </x:row>
    <x:row r="175">
      <x:c r="A175" s="59"/>
      <x:c r="B175" s="59"/>
      <x:c r="C175" s="59"/>
      <x:c r="D175" s="59"/>
      <x:c r="E175" s="59"/>
      <x:c r="F175" s="59"/>
      <x:c r="G175" s="59"/>
      <x:c r="H175" s="59"/>
      <x:c r="I175" s="59"/>
      <x:c r="J175" s="59"/>
      <x:c r="K175" s="59"/>
      <x:c r="L175" s="59"/>
      <x:c r="M175" s="59"/>
      <x:c r="N175" s="59"/>
      <x:c r="O175" s="59"/>
      <x:c r="P175" s="59"/>
      <x:c r="Q175" s="59"/>
      <x:c r="R175" s="59"/>
      <x:c r="S175" s="59"/>
      <x:c r="T175" s="59"/>
      <x:c r="U175" s="59"/>
      <x:c r="V175" s="59"/>
      <x:c r="W175" s="59"/>
      <x:c r="X175" s="59"/>
      <x:c r="Y175" s="59"/>
      <x:c r="Z175" s="59"/>
      <x:c r="AA175" s="59"/>
      <x:c r="AB175" s="59"/>
      <x:c r="AC175" s="59"/>
      <x:c r="AD175" s="59"/>
      <x:c r="AE175" s="59"/>
      <x:c r="AF175" s="59"/>
      <x:c r="AG175" s="59"/>
      <x:c r="AH175" s="59"/>
      <x:c r="AI175" s="59"/>
      <x:c r="AJ175" s="59"/>
      <x:c r="AK175" s="59"/>
      <x:c r="AL175" s="59"/>
      <x:c r="AM175" s="59"/>
      <x:c r="AN175" s="59"/>
    </x:row>
    <x:row r="176">
      <x:c r="A176" s="59"/>
      <x:c r="B176" s="59"/>
      <x:c r="C176" s="59"/>
      <x:c r="D176" s="59"/>
      <x:c r="E176" s="59"/>
      <x:c r="F176" s="59"/>
      <x:c r="G176" s="59"/>
      <x:c r="H176" s="59"/>
      <x:c r="I176" s="59"/>
      <x:c r="J176" s="59"/>
      <x:c r="K176" s="59"/>
      <x:c r="L176" s="59"/>
      <x:c r="M176" s="59"/>
      <x:c r="N176" s="59"/>
      <x:c r="O176" s="59"/>
      <x:c r="P176" s="59"/>
      <x:c r="Q176" s="59"/>
      <x:c r="R176" s="59"/>
      <x:c r="S176" s="59"/>
      <x:c r="T176" s="59"/>
      <x:c r="U176" s="59"/>
      <x:c r="V176" s="59"/>
      <x:c r="W176" s="59"/>
      <x:c r="X176" s="59"/>
      <x:c r="Y176" s="59"/>
      <x:c r="Z176" s="59"/>
      <x:c r="AA176" s="59"/>
      <x:c r="AB176" s="59"/>
      <x:c r="AC176" s="59"/>
      <x:c r="AD176" s="59"/>
      <x:c r="AE176" s="59"/>
      <x:c r="AF176" s="59"/>
      <x:c r="AG176" s="59"/>
      <x:c r="AH176" s="59"/>
      <x:c r="AI176" s="59"/>
      <x:c r="AJ176" s="59"/>
      <x:c r="AK176" s="59"/>
      <x:c r="AL176" s="59"/>
      <x:c r="AM176" s="59"/>
      <x:c r="AN176" s="59"/>
    </x:row>
    <x:row r="177">
      <x:c r="A177" s="59"/>
      <x:c r="B177" s="59"/>
      <x:c r="C177" s="59"/>
      <x:c r="D177" s="59"/>
      <x:c r="E177" s="59"/>
      <x:c r="F177" s="59"/>
      <x:c r="G177" s="59"/>
      <x:c r="H177" s="59"/>
      <x:c r="I177" s="59"/>
      <x:c r="J177" s="59"/>
      <x:c r="K177" s="59"/>
      <x:c r="L177" s="59"/>
      <x:c r="M177" s="59"/>
      <x:c r="N177" s="59"/>
      <x:c r="O177" s="59"/>
      <x:c r="P177" s="59"/>
      <x:c r="Q177" s="59"/>
      <x:c r="R177" s="59"/>
      <x:c r="S177" s="59"/>
      <x:c r="T177" s="59"/>
      <x:c r="U177" s="59"/>
      <x:c r="V177" s="59"/>
      <x:c r="W177" s="59"/>
      <x:c r="X177" s="59"/>
      <x:c r="Y177" s="59"/>
      <x:c r="Z177" s="59"/>
      <x:c r="AA177" s="59"/>
      <x:c r="AB177" s="59"/>
      <x:c r="AC177" s="59"/>
      <x:c r="AD177" s="59"/>
      <x:c r="AE177" s="59"/>
      <x:c r="AF177" s="59"/>
      <x:c r="AG177" s="59"/>
      <x:c r="AH177" s="59"/>
      <x:c r="AI177" s="59"/>
      <x:c r="AJ177" s="59"/>
      <x:c r="AK177" s="59"/>
      <x:c r="AL177" s="59"/>
      <x:c r="AM177" s="59"/>
      <x:c r="AN177" s="59"/>
    </x:row>
    <x:row r="178">
      <x:c r="A178" s="59"/>
      <x:c r="B178" s="59"/>
      <x:c r="C178" s="59"/>
      <x:c r="D178" s="59"/>
      <x:c r="E178" s="59"/>
      <x:c r="F178" s="59"/>
      <x:c r="G178" s="59"/>
      <x:c r="H178" s="59"/>
      <x:c r="I178" s="59"/>
      <x:c r="J178" s="59"/>
      <x:c r="K178" s="59"/>
      <x:c r="L178" s="59"/>
      <x:c r="M178" s="59"/>
      <x:c r="N178" s="59"/>
      <x:c r="O178" s="59"/>
      <x:c r="P178" s="59"/>
      <x:c r="Q178" s="59"/>
      <x:c r="R178" s="59"/>
      <x:c r="S178" s="59"/>
      <x:c r="T178" s="59"/>
      <x:c r="U178" s="59"/>
      <x:c r="V178" s="59"/>
      <x:c r="W178" s="59"/>
      <x:c r="X178" s="59"/>
      <x:c r="Y178" s="59"/>
      <x:c r="Z178" s="59"/>
      <x:c r="AA178" s="59"/>
      <x:c r="AB178" s="59"/>
      <x:c r="AC178" s="59"/>
      <x:c r="AD178" s="59"/>
      <x:c r="AE178" s="59"/>
      <x:c r="AF178" s="59"/>
      <x:c r="AG178" s="59"/>
      <x:c r="AH178" s="59"/>
      <x:c r="AI178" s="59"/>
      <x:c r="AJ178" s="59"/>
      <x:c r="AK178" s="59"/>
      <x:c r="AL178" s="59"/>
      <x:c r="AM178" s="59"/>
      <x:c r="AN178" s="59"/>
    </x:row>
    <x:row r="179">
      <x:c r="A179" s="59"/>
      <x:c r="B179" s="59"/>
      <x:c r="C179" s="59"/>
      <x:c r="D179" s="59"/>
      <x:c r="E179" s="59"/>
      <x:c r="F179" s="59"/>
      <x:c r="G179" s="59"/>
      <x:c r="H179" s="59"/>
      <x:c r="I179" s="59"/>
      <x:c r="J179" s="59"/>
      <x:c r="K179" s="59"/>
      <x:c r="L179" s="59"/>
      <x:c r="M179" s="59"/>
      <x:c r="N179" s="59"/>
      <x:c r="O179" s="59"/>
      <x:c r="P179" s="59"/>
      <x:c r="Q179" s="59"/>
      <x:c r="R179" s="59"/>
      <x:c r="S179" s="59"/>
      <x:c r="T179" s="59"/>
      <x:c r="U179" s="59"/>
      <x:c r="V179" s="59"/>
      <x:c r="W179" s="59"/>
      <x:c r="X179" s="59"/>
      <x:c r="Y179" s="59"/>
      <x:c r="Z179" s="59"/>
      <x:c r="AA179" s="59"/>
      <x:c r="AB179" s="59"/>
      <x:c r="AC179" s="59"/>
      <x:c r="AD179" s="59"/>
      <x:c r="AE179" s="59"/>
      <x:c r="AF179" s="59"/>
      <x:c r="AG179" s="59"/>
      <x:c r="AH179" s="59"/>
      <x:c r="AI179" s="59"/>
      <x:c r="AJ179" s="59"/>
      <x:c r="AK179" s="59"/>
      <x:c r="AL179" s="59"/>
      <x:c r="AM179" s="59"/>
      <x:c r="AN179" s="59"/>
    </x:row>
    <x:row r="180">
      <x:c r="A180" s="59"/>
      <x:c r="B180" s="59"/>
      <x:c r="C180" s="59"/>
      <x:c r="D180" s="59"/>
      <x:c r="E180" s="59"/>
      <x:c r="F180" s="59"/>
      <x:c r="G180" s="59"/>
      <x:c r="H180" s="59"/>
      <x:c r="I180" s="59"/>
      <x:c r="J180" s="59"/>
      <x:c r="K180" s="59"/>
      <x:c r="L180" s="59"/>
      <x:c r="M180" s="59"/>
      <x:c r="N180" s="59"/>
      <x:c r="O180" s="59"/>
      <x:c r="P180" s="59"/>
      <x:c r="Q180" s="59"/>
      <x:c r="R180" s="59"/>
      <x:c r="S180" s="59"/>
      <x:c r="T180" s="59"/>
      <x:c r="U180" s="59"/>
      <x:c r="V180" s="59"/>
      <x:c r="W180" s="59"/>
      <x:c r="X180" s="59"/>
      <x:c r="Y180" s="59"/>
      <x:c r="Z180" s="59"/>
      <x:c r="AA180" s="59"/>
      <x:c r="AB180" s="59"/>
      <x:c r="AC180" s="59"/>
      <x:c r="AD180" s="59"/>
      <x:c r="AE180" s="59"/>
      <x:c r="AF180" s="59"/>
      <x:c r="AG180" s="59"/>
      <x:c r="AH180" s="59"/>
      <x:c r="AI180" s="59"/>
      <x:c r="AJ180" s="59"/>
      <x:c r="AK180" s="59"/>
      <x:c r="AL180" s="59"/>
      <x:c r="AM180" s="59"/>
      <x:c r="AN180" s="59"/>
    </x:row>
    <x:row r="181">
      <x:c r="A181" s="59"/>
      <x:c r="B181" s="59"/>
      <x:c r="C181" s="59"/>
      <x:c r="D181" s="59"/>
      <x:c r="E181" s="59"/>
      <x:c r="F181" s="59"/>
      <x:c r="G181" s="59"/>
      <x:c r="H181" s="59"/>
      <x:c r="I181" s="59"/>
      <x:c r="J181" s="59"/>
      <x:c r="K181" s="59"/>
      <x:c r="L181" s="59"/>
      <x:c r="M181" s="59"/>
      <x:c r="N181" s="59"/>
      <x:c r="O181" s="59"/>
      <x:c r="P181" s="59"/>
      <x:c r="Q181" s="59"/>
      <x:c r="R181" s="59"/>
      <x:c r="S181" s="59"/>
      <x:c r="T181" s="59"/>
      <x:c r="U181" s="59"/>
      <x:c r="V181" s="59"/>
      <x:c r="W181" s="59"/>
      <x:c r="X181" s="59"/>
      <x:c r="Y181" s="59"/>
      <x:c r="Z181" s="59"/>
      <x:c r="AA181" s="59"/>
      <x:c r="AB181" s="59"/>
      <x:c r="AC181" s="59"/>
      <x:c r="AD181" s="59"/>
      <x:c r="AE181" s="59"/>
      <x:c r="AF181" s="59"/>
      <x:c r="AG181" s="59"/>
      <x:c r="AH181" s="59"/>
      <x:c r="AI181" s="59"/>
      <x:c r="AJ181" s="59"/>
      <x:c r="AK181" s="59"/>
      <x:c r="AL181" s="59"/>
      <x:c r="AM181" s="59"/>
      <x:c r="AN181" s="59"/>
    </x:row>
    <x:row r="182">
      <x:c r="A182" s="59"/>
      <x:c r="B182" s="59"/>
      <x:c r="C182" s="59"/>
      <x:c r="D182" s="59"/>
      <x:c r="E182" s="59"/>
      <x:c r="F182" s="59"/>
      <x:c r="G182" s="59"/>
      <x:c r="H182" s="59"/>
      <x:c r="I182" s="59"/>
      <x:c r="J182" s="59"/>
      <x:c r="K182" s="59"/>
      <x:c r="L182" s="59"/>
      <x:c r="M182" s="59"/>
      <x:c r="N182" s="59"/>
      <x:c r="O182" s="59"/>
      <x:c r="P182" s="59"/>
      <x:c r="Q182" s="59"/>
      <x:c r="R182" s="59"/>
      <x:c r="S182" s="59"/>
      <x:c r="T182" s="59"/>
      <x:c r="U182" s="59"/>
      <x:c r="V182" s="59"/>
      <x:c r="W182" s="59"/>
      <x:c r="X182" s="59"/>
      <x:c r="Y182" s="59"/>
      <x:c r="Z182" s="59"/>
      <x:c r="AA182" s="59"/>
      <x:c r="AB182" s="59"/>
      <x:c r="AC182" s="59"/>
      <x:c r="AD182" s="59"/>
      <x:c r="AE182" s="59"/>
      <x:c r="AF182" s="59"/>
      <x:c r="AG182" s="59"/>
      <x:c r="AH182" s="59"/>
      <x:c r="AI182" s="59"/>
      <x:c r="AJ182" s="59"/>
      <x:c r="AK182" s="59"/>
      <x:c r="AL182" s="59"/>
      <x:c r="AM182" s="59"/>
      <x:c r="AN182" s="59"/>
    </x:row>
    <x:row r="183">
      <x:c r="A183" s="59"/>
      <x:c r="B183" s="59"/>
      <x:c r="C183" s="59"/>
      <x:c r="D183" s="59"/>
      <x:c r="E183" s="59"/>
      <x:c r="F183" s="59"/>
      <x:c r="G183" s="59"/>
      <x:c r="H183" s="59"/>
      <x:c r="I183" s="59"/>
      <x:c r="J183" s="59"/>
      <x:c r="K183" s="59"/>
      <x:c r="L183" s="59"/>
      <x:c r="M183" s="59"/>
      <x:c r="N183" s="59"/>
      <x:c r="O183" s="59"/>
      <x:c r="P183" s="59"/>
      <x:c r="Q183" s="59"/>
      <x:c r="R183" s="59"/>
      <x:c r="S183" s="59"/>
      <x:c r="T183" s="59"/>
      <x:c r="U183" s="59"/>
      <x:c r="V183" s="59"/>
      <x:c r="W183" s="59"/>
      <x:c r="X183" s="59"/>
      <x:c r="Y183" s="59"/>
      <x:c r="Z183" s="59"/>
      <x:c r="AA183" s="59"/>
      <x:c r="AB183" s="59"/>
      <x:c r="AC183" s="59"/>
      <x:c r="AD183" s="59"/>
      <x:c r="AE183" s="59"/>
      <x:c r="AF183" s="59"/>
      <x:c r="AG183" s="59"/>
      <x:c r="AH183" s="59"/>
      <x:c r="AI183" s="59"/>
      <x:c r="AJ183" s="59"/>
      <x:c r="AK183" s="59"/>
      <x:c r="AL183" s="59"/>
      <x:c r="AM183" s="59"/>
      <x:c r="AN183" s="59"/>
    </x:row>
    <x:row r="184">
      <x:c r="A184" s="59"/>
      <x:c r="B184" s="59"/>
      <x:c r="C184" s="59"/>
      <x:c r="D184" s="59"/>
      <x:c r="E184" s="59"/>
      <x:c r="F184" s="59"/>
      <x:c r="G184" s="59"/>
      <x:c r="H184" s="59"/>
      <x:c r="I184" s="59"/>
      <x:c r="J184" s="59"/>
      <x:c r="K184" s="59"/>
      <x:c r="L184" s="59"/>
      <x:c r="M184" s="59"/>
      <x:c r="N184" s="59"/>
      <x:c r="O184" s="59"/>
      <x:c r="P184" s="59"/>
      <x:c r="Q184" s="59"/>
      <x:c r="R184" s="59"/>
      <x:c r="S184" s="59"/>
      <x:c r="T184" s="59"/>
      <x:c r="U184" s="59"/>
      <x:c r="V184" s="59"/>
      <x:c r="W184" s="59"/>
      <x:c r="X184" s="59"/>
      <x:c r="Y184" s="59"/>
      <x:c r="Z184" s="59"/>
      <x:c r="AA184" s="59"/>
      <x:c r="AB184" s="59"/>
      <x:c r="AC184" s="59"/>
      <x:c r="AD184" s="59"/>
      <x:c r="AE184" s="59"/>
      <x:c r="AF184" s="59"/>
      <x:c r="AG184" s="59"/>
      <x:c r="AH184" s="59"/>
      <x:c r="AI184" s="59"/>
      <x:c r="AJ184" s="59"/>
      <x:c r="AK184" s="59"/>
      <x:c r="AL184" s="59"/>
      <x:c r="AM184" s="59"/>
      <x:c r="AN184" s="59"/>
    </x:row>
    <x:row r="185">
      <x:c r="A185" s="59"/>
      <x:c r="B185" s="59"/>
      <x:c r="C185" s="59"/>
      <x:c r="D185" s="59"/>
      <x:c r="E185" s="59"/>
      <x:c r="F185" s="59"/>
      <x:c r="G185" s="59"/>
      <x:c r="H185" s="59"/>
      <x:c r="I185" s="59"/>
      <x:c r="J185" s="59"/>
      <x:c r="K185" s="59"/>
      <x:c r="L185" s="59"/>
      <x:c r="M185" s="59"/>
      <x:c r="N185" s="59"/>
      <x:c r="O185" s="59"/>
      <x:c r="P185" s="59"/>
      <x:c r="Q185" s="59"/>
      <x:c r="R185" s="59"/>
      <x:c r="S185" s="59"/>
      <x:c r="T185" s="59"/>
      <x:c r="U185" s="59"/>
      <x:c r="V185" s="59"/>
      <x:c r="W185" s="59"/>
      <x:c r="X185" s="59"/>
      <x:c r="Y185" s="59"/>
      <x:c r="Z185" s="59"/>
      <x:c r="AA185" s="59"/>
      <x:c r="AB185" s="59"/>
      <x:c r="AC185" s="59"/>
      <x:c r="AD185" s="59"/>
      <x:c r="AE185" s="59"/>
      <x:c r="AF185" s="59"/>
      <x:c r="AG185" s="59"/>
      <x:c r="AH185" s="59"/>
      <x:c r="AI185" s="59"/>
      <x:c r="AJ185" s="59"/>
      <x:c r="AK185" s="59"/>
      <x:c r="AL185" s="59"/>
      <x:c r="AM185" s="59"/>
      <x:c r="AN185" s="59"/>
    </x:row>
    <x:row r="186">
      <x:c r="A186" s="59"/>
      <x:c r="B186" s="59"/>
      <x:c r="C186" s="59"/>
      <x:c r="D186" s="59"/>
      <x:c r="E186" s="59"/>
      <x:c r="F186" s="59"/>
      <x:c r="G186" s="59"/>
      <x:c r="H186" s="59"/>
      <x:c r="I186" s="59"/>
      <x:c r="J186" s="59"/>
      <x:c r="K186" s="59"/>
      <x:c r="L186" s="59"/>
      <x:c r="M186" s="59"/>
      <x:c r="N186" s="59"/>
      <x:c r="O186" s="59"/>
      <x:c r="P186" s="59"/>
      <x:c r="Q186" s="59"/>
      <x:c r="R186" s="59"/>
      <x:c r="S186" s="59"/>
      <x:c r="T186" s="59"/>
      <x:c r="U186" s="59"/>
      <x:c r="V186" s="59"/>
      <x:c r="W186" s="59"/>
      <x:c r="X186" s="59"/>
      <x:c r="Y186" s="59"/>
      <x:c r="Z186" s="59"/>
      <x:c r="AA186" s="59"/>
      <x:c r="AB186" s="59"/>
      <x:c r="AC186" s="59"/>
      <x:c r="AD186" s="59"/>
      <x:c r="AE186" s="59"/>
      <x:c r="AF186" s="59"/>
      <x:c r="AG186" s="59"/>
      <x:c r="AH186" s="59"/>
      <x:c r="AI186" s="59"/>
      <x:c r="AJ186" s="59"/>
      <x:c r="AK186" s="59"/>
      <x:c r="AL186" s="59"/>
      <x:c r="AM186" s="59"/>
      <x:c r="AN186" s="59"/>
    </x:row>
    <x:row r="187">
      <x:c r="A187" s="59"/>
      <x:c r="B187" s="59"/>
      <x:c r="C187" s="59"/>
      <x:c r="D187" s="59"/>
      <x:c r="E187" s="59"/>
      <x:c r="F187" s="59"/>
      <x:c r="G187" s="59"/>
      <x:c r="H187" s="59"/>
      <x:c r="I187" s="59"/>
      <x:c r="J187" s="59"/>
      <x:c r="K187" s="59"/>
      <x:c r="L187" s="59"/>
      <x:c r="M187" s="59"/>
      <x:c r="N187" s="59"/>
      <x:c r="O187" s="59"/>
      <x:c r="P187" s="59"/>
      <x:c r="Q187" s="59"/>
      <x:c r="R187" s="59"/>
      <x:c r="S187" s="59"/>
      <x:c r="T187" s="59"/>
      <x:c r="U187" s="59"/>
      <x:c r="V187" s="59"/>
      <x:c r="W187" s="59"/>
      <x:c r="X187" s="59"/>
      <x:c r="Y187" s="59"/>
      <x:c r="Z187" s="59"/>
      <x:c r="AA187" s="59"/>
      <x:c r="AB187" s="59"/>
      <x:c r="AC187" s="59"/>
      <x:c r="AD187" s="59"/>
      <x:c r="AE187" s="59"/>
      <x:c r="AF187" s="59"/>
      <x:c r="AG187" s="59"/>
      <x:c r="AH187" s="59"/>
      <x:c r="AI187" s="59"/>
      <x:c r="AJ187" s="59"/>
      <x:c r="AK187" s="59"/>
      <x:c r="AL187" s="59"/>
      <x:c r="AM187" s="59"/>
      <x:c r="AN187" s="59"/>
    </x:row>
    <x:row r="188">
      <x:c r="A188" s="59"/>
      <x:c r="B188" s="59"/>
      <x:c r="C188" s="59"/>
      <x:c r="D188" s="59"/>
      <x:c r="E188" s="59"/>
      <x:c r="F188" s="59"/>
      <x:c r="G188" s="59"/>
      <x:c r="H188" s="59"/>
      <x:c r="I188" s="59"/>
      <x:c r="J188" s="59"/>
      <x:c r="K188" s="59"/>
      <x:c r="L188" s="59"/>
      <x:c r="M188" s="59"/>
      <x:c r="N188" s="59"/>
      <x:c r="O188" s="59"/>
      <x:c r="P188" s="59"/>
      <x:c r="Q188" s="59"/>
      <x:c r="R188" s="59"/>
      <x:c r="S188" s="59"/>
      <x:c r="T188" s="59"/>
      <x:c r="U188" s="59"/>
      <x:c r="V188" s="59"/>
      <x:c r="W188" s="59"/>
      <x:c r="X188" s="59"/>
      <x:c r="Y188" s="59"/>
      <x:c r="Z188" s="59"/>
      <x:c r="AA188" s="59"/>
      <x:c r="AB188" s="59"/>
      <x:c r="AC188" s="59"/>
      <x:c r="AD188" s="59"/>
      <x:c r="AE188" s="59"/>
      <x:c r="AF188" s="59"/>
      <x:c r="AG188" s="59"/>
      <x:c r="AH188" s="59"/>
      <x:c r="AI188" s="59"/>
      <x:c r="AJ188" s="59"/>
      <x:c r="AK188" s="59"/>
      <x:c r="AL188" s="59"/>
      <x:c r="AM188" s="59"/>
      <x:c r="AN188" s="59"/>
    </x:row>
    <x:row r="189">
      <x:c r="A189" s="59"/>
      <x:c r="B189" s="59"/>
      <x:c r="C189" s="59"/>
      <x:c r="D189" s="59"/>
      <x:c r="E189" s="59"/>
      <x:c r="F189" s="59"/>
      <x:c r="G189" s="59"/>
      <x:c r="H189" s="59"/>
      <x:c r="I189" s="59"/>
      <x:c r="J189" s="59"/>
      <x:c r="K189" s="59"/>
      <x:c r="L189" s="59"/>
      <x:c r="M189" s="59"/>
      <x:c r="N189" s="59"/>
      <x:c r="O189" s="59"/>
      <x:c r="P189" s="59"/>
      <x:c r="Q189" s="59"/>
      <x:c r="R189" s="59"/>
      <x:c r="S189" s="59"/>
      <x:c r="T189" s="59"/>
      <x:c r="U189" s="59"/>
      <x:c r="V189" s="59"/>
      <x:c r="W189" s="59"/>
      <x:c r="X189" s="59"/>
      <x:c r="Y189" s="59"/>
      <x:c r="Z189" s="59"/>
      <x:c r="AA189" s="59"/>
      <x:c r="AB189" s="59"/>
      <x:c r="AC189" s="59"/>
      <x:c r="AD189" s="59"/>
      <x:c r="AE189" s="59"/>
      <x:c r="AF189" s="59"/>
      <x:c r="AG189" s="59"/>
      <x:c r="AH189" s="59"/>
      <x:c r="AI189" s="59"/>
      <x:c r="AJ189" s="59"/>
      <x:c r="AK189" s="59"/>
      <x:c r="AL189" s="59"/>
      <x:c r="AM189" s="59"/>
      <x:c r="AN189" s="59"/>
    </x:row>
    <x:row r="190">
      <x:c r="A190" s="59"/>
      <x:c r="B190" s="59"/>
      <x:c r="C190" s="59"/>
      <x:c r="D190" s="59"/>
      <x:c r="E190" s="59"/>
      <x:c r="F190" s="59"/>
      <x:c r="G190" s="59"/>
      <x:c r="H190" s="59"/>
      <x:c r="I190" s="59"/>
      <x:c r="J190" s="59"/>
      <x:c r="K190" s="59"/>
      <x:c r="L190" s="59"/>
      <x:c r="M190" s="59"/>
      <x:c r="N190" s="59"/>
      <x:c r="O190" s="59"/>
      <x:c r="P190" s="59"/>
      <x:c r="Q190" s="59"/>
      <x:c r="R190" s="59"/>
      <x:c r="S190" s="59"/>
      <x:c r="T190" s="59"/>
      <x:c r="U190" s="59"/>
      <x:c r="V190" s="59"/>
      <x:c r="W190" s="59"/>
      <x:c r="X190" s="59"/>
      <x:c r="Y190" s="59"/>
      <x:c r="Z190" s="59"/>
      <x:c r="AA190" s="59"/>
      <x:c r="AB190" s="59"/>
      <x:c r="AC190" s="59"/>
      <x:c r="AD190" s="59"/>
      <x:c r="AE190" s="59"/>
      <x:c r="AF190" s="59"/>
      <x:c r="AG190" s="59"/>
      <x:c r="AH190" s="59"/>
      <x:c r="AI190" s="59"/>
      <x:c r="AJ190" s="59"/>
      <x:c r="AK190" s="59"/>
      <x:c r="AL190" s="59"/>
      <x:c r="AM190" s="59"/>
      <x:c r="AN190" s="59"/>
    </x:row>
    <x:row r="191">
      <x:c r="A191" s="59"/>
      <x:c r="B191" s="59"/>
      <x:c r="C191" s="59"/>
      <x:c r="D191" s="59"/>
      <x:c r="E191" s="59"/>
      <x:c r="F191" s="59"/>
      <x:c r="G191" s="59"/>
      <x:c r="H191" s="59"/>
      <x:c r="I191" s="59"/>
      <x:c r="J191" s="59"/>
      <x:c r="K191" s="59"/>
      <x:c r="L191" s="59"/>
      <x:c r="M191" s="59"/>
      <x:c r="N191" s="59"/>
      <x:c r="O191" s="59"/>
      <x:c r="P191" s="59"/>
      <x:c r="Q191" s="59"/>
      <x:c r="R191" s="59"/>
      <x:c r="S191" s="59"/>
      <x:c r="T191" s="59"/>
      <x:c r="U191" s="59"/>
      <x:c r="V191" s="59"/>
      <x:c r="W191" s="59"/>
      <x:c r="X191" s="59"/>
      <x:c r="Y191" s="59"/>
      <x:c r="Z191" s="59"/>
      <x:c r="AA191" s="59"/>
      <x:c r="AB191" s="59"/>
      <x:c r="AC191" s="59"/>
      <x:c r="AD191" s="59"/>
      <x:c r="AE191" s="59"/>
      <x:c r="AF191" s="59"/>
      <x:c r="AG191" s="59"/>
      <x:c r="AH191" s="59"/>
      <x:c r="AI191" s="59"/>
      <x:c r="AJ191" s="59"/>
      <x:c r="AK191" s="59"/>
      <x:c r="AL191" s="59"/>
      <x:c r="AM191" s="59"/>
      <x:c r="AN191" s="59"/>
    </x:row>
    <x:row r="192">
      <x:c r="A192" s="59"/>
      <x:c r="B192" s="59"/>
      <x:c r="C192" s="59"/>
      <x:c r="D192" s="59"/>
      <x:c r="E192" s="59"/>
      <x:c r="F192" s="59"/>
      <x:c r="G192" s="59"/>
      <x:c r="H192" s="59"/>
      <x:c r="I192" s="59"/>
      <x:c r="J192" s="59"/>
      <x:c r="K192" s="59"/>
      <x:c r="L192" s="59"/>
      <x:c r="M192" s="59"/>
      <x:c r="N192" s="59"/>
      <x:c r="O192" s="59"/>
      <x:c r="P192" s="59"/>
      <x:c r="Q192" s="59"/>
      <x:c r="R192" s="59"/>
      <x:c r="S192" s="59"/>
      <x:c r="T192" s="59"/>
      <x:c r="U192" s="59"/>
      <x:c r="V192" s="59"/>
      <x:c r="W192" s="59"/>
      <x:c r="X192" s="59"/>
      <x:c r="Y192" s="59"/>
      <x:c r="Z192" s="59"/>
      <x:c r="AA192" s="59"/>
      <x:c r="AB192" s="59"/>
      <x:c r="AC192" s="59"/>
      <x:c r="AD192" s="59"/>
      <x:c r="AE192" s="59"/>
      <x:c r="AF192" s="59"/>
      <x:c r="AG192" s="59"/>
      <x:c r="AH192" s="59"/>
      <x:c r="AI192" s="59"/>
      <x:c r="AJ192" s="59"/>
      <x:c r="AK192" s="59"/>
      <x:c r="AL192" s="59"/>
      <x:c r="AM192" s="59"/>
      <x:c r="AN192" s="59"/>
    </x:row>
    <x:row r="193">
      <x:c r="A193" s="59"/>
      <x:c r="B193" s="59"/>
      <x:c r="C193" s="59"/>
      <x:c r="D193" s="59"/>
      <x:c r="E193" s="59"/>
      <x:c r="F193" s="59"/>
      <x:c r="G193" s="59"/>
      <x:c r="H193" s="59"/>
      <x:c r="I193" s="59"/>
      <x:c r="J193" s="59"/>
      <x:c r="K193" s="59"/>
      <x:c r="L193" s="59"/>
      <x:c r="M193" s="59"/>
      <x:c r="N193" s="59"/>
      <x:c r="O193" s="59"/>
      <x:c r="P193" s="59"/>
      <x:c r="Q193" s="59"/>
      <x:c r="R193" s="59"/>
      <x:c r="S193" s="59"/>
      <x:c r="T193" s="59"/>
      <x:c r="U193" s="59"/>
      <x:c r="V193" s="59"/>
      <x:c r="W193" s="59"/>
      <x:c r="X193" s="59"/>
      <x:c r="Y193" s="59"/>
      <x:c r="Z193" s="59"/>
      <x:c r="AA193" s="59"/>
      <x:c r="AB193" s="59"/>
      <x:c r="AC193" s="59"/>
      <x:c r="AD193" s="59"/>
      <x:c r="AE193" s="59"/>
      <x:c r="AF193" s="59"/>
      <x:c r="AG193" s="59"/>
      <x:c r="AH193" s="59"/>
      <x:c r="AI193" s="59"/>
      <x:c r="AJ193" s="59"/>
      <x:c r="AK193" s="59"/>
      <x:c r="AL193" s="59"/>
      <x:c r="AM193" s="59"/>
      <x:c r="AN193" s="59"/>
    </x:row>
    <x:row r="194">
      <x:c r="A194" s="59"/>
      <x:c r="B194" s="59"/>
      <x:c r="C194" s="59"/>
      <x:c r="D194" s="59"/>
      <x:c r="E194" s="59"/>
      <x:c r="F194" s="59"/>
      <x:c r="G194" s="59"/>
      <x:c r="H194" s="59"/>
      <x:c r="I194" s="59"/>
      <x:c r="J194" s="59"/>
      <x:c r="K194" s="59"/>
      <x:c r="L194" s="59"/>
      <x:c r="M194" s="59"/>
      <x:c r="N194" s="59"/>
      <x:c r="O194" s="59"/>
      <x:c r="P194" s="59"/>
      <x:c r="Q194" s="59"/>
      <x:c r="R194" s="59"/>
      <x:c r="S194" s="59"/>
      <x:c r="T194" s="59"/>
      <x:c r="U194" s="59"/>
      <x:c r="V194" s="59"/>
      <x:c r="W194" s="59"/>
      <x:c r="X194" s="59"/>
      <x:c r="Y194" s="59"/>
      <x:c r="Z194" s="59"/>
      <x:c r="AA194" s="59"/>
      <x:c r="AB194" s="59"/>
      <x:c r="AC194" s="59"/>
      <x:c r="AD194" s="59"/>
      <x:c r="AE194" s="59"/>
      <x:c r="AF194" s="59"/>
      <x:c r="AG194" s="59"/>
      <x:c r="AH194" s="59"/>
      <x:c r="AI194" s="59"/>
      <x:c r="AJ194" s="59"/>
      <x:c r="AK194" s="59"/>
      <x:c r="AL194" s="59"/>
      <x:c r="AM194" s="59"/>
      <x:c r="AN194" s="59"/>
    </x:row>
    <x:row r="195">
      <x:c r="A195" s="59"/>
      <x:c r="B195" s="59"/>
      <x:c r="C195" s="59"/>
      <x:c r="D195" s="59"/>
      <x:c r="E195" s="59"/>
      <x:c r="F195" s="59"/>
      <x:c r="G195" s="59"/>
      <x:c r="H195" s="59"/>
      <x:c r="I195" s="59"/>
      <x:c r="J195" s="59"/>
      <x:c r="K195" s="59"/>
      <x:c r="L195" s="59"/>
      <x:c r="M195" s="59"/>
      <x:c r="N195" s="59"/>
      <x:c r="O195" s="59"/>
      <x:c r="P195" s="59"/>
      <x:c r="Q195" s="59"/>
      <x:c r="R195" s="59"/>
      <x:c r="S195" s="59"/>
      <x:c r="T195" s="59"/>
      <x:c r="U195" s="59"/>
      <x:c r="V195" s="59"/>
      <x:c r="W195" s="59"/>
      <x:c r="X195" s="59"/>
      <x:c r="Y195" s="59"/>
      <x:c r="Z195" s="59"/>
      <x:c r="AA195" s="59"/>
      <x:c r="AB195" s="59"/>
      <x:c r="AC195" s="59"/>
      <x:c r="AD195" s="59"/>
      <x:c r="AE195" s="59"/>
      <x:c r="AF195" s="59"/>
      <x:c r="AG195" s="59"/>
      <x:c r="AH195" s="59"/>
      <x:c r="AI195" s="59"/>
      <x:c r="AJ195" s="59"/>
      <x:c r="AK195" s="59"/>
      <x:c r="AL195" s="59"/>
      <x:c r="AM195" s="59"/>
      <x:c r="AN195" s="59"/>
    </x:row>
    <x:row r="196">
      <x:c r="A196" s="59"/>
      <x:c r="B196" s="59"/>
      <x:c r="C196" s="59"/>
      <x:c r="D196" s="59"/>
      <x:c r="E196" s="59"/>
      <x:c r="F196" s="59"/>
      <x:c r="G196" s="59"/>
      <x:c r="H196" s="59"/>
      <x:c r="I196" s="59"/>
      <x:c r="J196" s="59"/>
      <x:c r="K196" s="59"/>
      <x:c r="L196" s="59"/>
      <x:c r="M196" s="59"/>
      <x:c r="N196" s="59"/>
      <x:c r="O196" s="59"/>
      <x:c r="P196" s="59"/>
      <x:c r="Q196" s="59"/>
      <x:c r="R196" s="59"/>
      <x:c r="S196" s="59"/>
      <x:c r="T196" s="59"/>
      <x:c r="U196" s="59"/>
      <x:c r="V196" s="59"/>
      <x:c r="W196" s="59"/>
      <x:c r="X196" s="59"/>
      <x:c r="Y196" s="59"/>
      <x:c r="Z196" s="59"/>
      <x:c r="AA196" s="59"/>
      <x:c r="AB196" s="59"/>
      <x:c r="AC196" s="59"/>
      <x:c r="AD196" s="59"/>
      <x:c r="AE196" s="59"/>
      <x:c r="AF196" s="59"/>
      <x:c r="AG196" s="59"/>
      <x:c r="AH196" s="59"/>
      <x:c r="AI196" s="59"/>
      <x:c r="AJ196" s="59"/>
      <x:c r="AK196" s="59"/>
      <x:c r="AL196" s="59"/>
      <x:c r="AM196" s="59"/>
      <x:c r="AN196" s="59"/>
    </x:row>
    <x:row r="197">
      <x:c r="A197" s="59"/>
      <x:c r="B197" s="59"/>
      <x:c r="C197" s="59"/>
      <x:c r="D197" s="59"/>
      <x:c r="E197" s="59"/>
      <x:c r="F197" s="59"/>
      <x:c r="G197" s="59"/>
      <x:c r="H197" s="59"/>
      <x:c r="I197" s="59"/>
      <x:c r="J197" s="59"/>
      <x:c r="K197" s="59"/>
      <x:c r="L197" s="59"/>
      <x:c r="M197" s="59"/>
      <x:c r="N197" s="59"/>
      <x:c r="O197" s="59"/>
      <x:c r="P197" s="59"/>
      <x:c r="Q197" s="59"/>
      <x:c r="R197" s="59"/>
      <x:c r="S197" s="59"/>
      <x:c r="T197" s="59"/>
      <x:c r="U197" s="59"/>
      <x:c r="V197" s="59"/>
      <x:c r="W197" s="59"/>
      <x:c r="X197" s="59"/>
      <x:c r="Y197" s="59"/>
      <x:c r="Z197" s="59"/>
      <x:c r="AA197" s="59"/>
      <x:c r="AB197" s="59"/>
      <x:c r="AC197" s="59"/>
      <x:c r="AD197" s="59"/>
      <x:c r="AE197" s="59"/>
      <x:c r="AF197" s="59"/>
      <x:c r="AG197" s="59"/>
      <x:c r="AH197" s="59"/>
      <x:c r="AI197" s="59"/>
      <x:c r="AJ197" s="59"/>
      <x:c r="AK197" s="59"/>
      <x:c r="AL197" s="59"/>
      <x:c r="AM197" s="59"/>
      <x:c r="AN197" s="59"/>
    </x:row>
    <x:row r="198">
      <x:c r="A198" s="59"/>
      <x:c r="B198" s="59"/>
      <x:c r="C198" s="59"/>
      <x:c r="D198" s="59"/>
      <x:c r="E198" s="59"/>
      <x:c r="F198" s="59"/>
      <x:c r="G198" s="59"/>
      <x:c r="H198" s="59"/>
      <x:c r="I198" s="59"/>
      <x:c r="J198" s="59"/>
      <x:c r="K198" s="59"/>
      <x:c r="L198" s="59"/>
      <x:c r="M198" s="59"/>
      <x:c r="N198" s="59"/>
      <x:c r="O198" s="59"/>
      <x:c r="P198" s="59"/>
      <x:c r="Q198" s="59"/>
      <x:c r="R198" s="59"/>
      <x:c r="S198" s="59"/>
      <x:c r="T198" s="59"/>
      <x:c r="U198" s="59"/>
      <x:c r="V198" s="59"/>
      <x:c r="W198" s="59"/>
      <x:c r="X198" s="59"/>
      <x:c r="Y198" s="59"/>
      <x:c r="Z198" s="59"/>
      <x:c r="AA198" s="59"/>
      <x:c r="AB198" s="59"/>
      <x:c r="AC198" s="59"/>
      <x:c r="AD198" s="59"/>
      <x:c r="AE198" s="59"/>
      <x:c r="AF198" s="59"/>
      <x:c r="AG198" s="59"/>
      <x:c r="AH198" s="59"/>
      <x:c r="AI198" s="59"/>
      <x:c r="AJ198" s="59"/>
      <x:c r="AK198" s="59"/>
      <x:c r="AL198" s="59"/>
      <x:c r="AM198" s="59"/>
      <x:c r="AN198" s="59"/>
    </x:row>
    <x:row r="199">
      <x:c r="A199" s="59"/>
      <x:c r="B199" s="59"/>
      <x:c r="C199" s="59"/>
      <x:c r="D199" s="59"/>
      <x:c r="E199" s="59"/>
      <x:c r="F199" s="59"/>
      <x:c r="G199" s="59"/>
      <x:c r="H199" s="59"/>
      <x:c r="I199" s="59"/>
      <x:c r="J199" s="59"/>
      <x:c r="K199" s="59"/>
      <x:c r="L199" s="59"/>
      <x:c r="M199" s="59"/>
      <x:c r="N199" s="59"/>
      <x:c r="O199" s="59"/>
      <x:c r="P199" s="59"/>
      <x:c r="Q199" s="59"/>
      <x:c r="R199" s="59"/>
      <x:c r="S199" s="59"/>
      <x:c r="T199" s="59"/>
      <x:c r="U199" s="59"/>
      <x:c r="V199" s="59"/>
      <x:c r="W199" s="59"/>
      <x:c r="X199" s="59"/>
      <x:c r="Y199" s="59"/>
      <x:c r="Z199" s="59"/>
      <x:c r="AA199" s="59"/>
      <x:c r="AB199" s="59"/>
      <x:c r="AC199" s="59"/>
      <x:c r="AD199" s="59"/>
      <x:c r="AE199" s="59"/>
      <x:c r="AF199" s="59"/>
      <x:c r="AG199" s="59"/>
      <x:c r="AH199" s="59"/>
      <x:c r="AI199" s="59"/>
      <x:c r="AJ199" s="59"/>
      <x:c r="AK199" s="59"/>
      <x:c r="AL199" s="59"/>
      <x:c r="AM199" s="59"/>
      <x:c r="AN199" s="59"/>
    </x:row>
    <x:row r="200">
      <x:c r="A200" s="59"/>
      <x:c r="B200" s="59"/>
      <x:c r="C200" s="59"/>
      <x:c r="D200" s="59"/>
      <x:c r="E200" s="59"/>
      <x:c r="F200" s="59"/>
      <x:c r="G200" s="59"/>
      <x:c r="H200" s="59"/>
      <x:c r="I200" s="59"/>
      <x:c r="J200" s="59"/>
      <x:c r="K200" s="59"/>
      <x:c r="L200" s="59"/>
      <x:c r="M200" s="59"/>
      <x:c r="N200" s="59"/>
      <x:c r="O200" s="59"/>
      <x:c r="P200" s="59"/>
      <x:c r="Q200" s="59"/>
      <x:c r="R200" s="59"/>
      <x:c r="S200" s="59"/>
      <x:c r="T200" s="59"/>
      <x:c r="U200" s="59"/>
      <x:c r="V200" s="59"/>
      <x:c r="W200" s="59"/>
      <x:c r="X200" s="59"/>
      <x:c r="Y200" s="59"/>
      <x:c r="Z200" s="59"/>
      <x:c r="AA200" s="59"/>
      <x:c r="AB200" s="59"/>
      <x:c r="AC200" s="59"/>
      <x:c r="AD200" s="59"/>
      <x:c r="AE200" s="59"/>
      <x:c r="AF200" s="59"/>
      <x:c r="AG200" s="59"/>
      <x:c r="AH200" s="59"/>
      <x:c r="AI200" s="59"/>
      <x:c r="AJ200" s="59"/>
      <x:c r="AK200" s="59"/>
      <x:c r="AL200" s="59"/>
      <x:c r="AM200" s="59"/>
      <x:c r="AN200" s="59"/>
    </x:row>
  </x:sheetData>
  <x:pageMargins left="0.7" right="0.7" top="0.75" bottom="0.75" header="0.3" footer="0.3"/>
  <x:tableParts count="1">
    <x:tablePart xmlns:r="http://schemas.openxmlformats.org/officeDocument/2006/relationships" r:id="Re0527506c78345bc"/>
  </x:tableParts>
</x:worksheet>
</file>

<file path=xl/worksheets/sheet7.xml><?xml version="1.0" encoding="utf-8"?>
<x:worksheet xmlns:x="http://schemas.openxmlformats.org/spreadsheetml/2006/main">
  <x:sheetFormatPr defaultRowHeight="15"/>
  <x:cols>
    <x:col min="1" max="1" width="18" hidden="0" customWidth="1"/>
    <x:col min="2" max="2" width="34" hidden="0" customWidth="1"/>
    <x:col min="3" max="3" width="80" hidden="0" customWidth="1"/>
    <x:col min="4" max="4" width="55" hidden="0" customWidth="1"/>
  </x:cols>
  <x:sheetData>
    <x:row r="1">
      <x:c r="A1" s="56" t="str">
        <x:v>ISO/IEC 42001 Area</x:v>
      </x:c>
      <x:c r="B1" s="56" t="str">
        <x:v>Name</x:v>
      </x:c>
      <x:c r="C1" s="56" t="str">
        <x:v>Control Language / Checklist Criteria</x:v>
      </x:c>
      <x:c r="D1" s="56" t="str">
        <x:v>Mapping Notes</x:v>
      </x:c>
      <x:c r="E1" s="59"/>
      <x:c r="F1" s="59"/>
      <x:c r="G1" s="59"/>
      <x:c r="H1" s="59"/>
      <x:c r="I1" s="59"/>
      <x:c r="J1" s="59"/>
      <x:c r="K1" s="59"/>
      <x:c r="L1" s="59"/>
      <x:c r="M1" s="59"/>
      <x:c r="N1" s="59"/>
      <x:c r="O1" s="59"/>
      <x:c r="P1" s="59"/>
      <x:c r="Q1" s="59"/>
      <x:c r="R1" s="59"/>
      <x:c r="S1" s="59"/>
      <x:c r="T1" s="59"/>
      <x:c r="U1" s="59"/>
      <x:c r="V1" s="59"/>
      <x:c r="W1" s="59"/>
      <x:c r="X1" s="59"/>
      <x:c r="Y1" s="59"/>
      <x:c r="Z1" s="59"/>
      <x:c r="AA1" s="59"/>
      <x:c r="AB1" s="59"/>
      <x:c r="AC1" s="59"/>
      <x:c r="AD1" s="59"/>
      <x:c r="AE1" s="59"/>
      <x:c r="AF1" s="59"/>
      <x:c r="AG1" s="59"/>
      <x:c r="AH1" s="59"/>
      <x:c r="AI1" s="59"/>
      <x:c r="AJ1" s="59"/>
      <x:c r="AK1" s="59"/>
      <x:c r="AL1" s="59"/>
      <x:c r="AM1" s="59"/>
      <x:c r="AN1" s="59"/>
    </x:row>
    <x:row r="2">
      <x:c r="A2" s="21" t="str">
        <x:v>Clause 4</x:v>
      </x:c>
      <x:c r="B2" s="21" t="str">
        <x:v>Context of the organization</x:v>
      </x:c>
      <x:c r="C2" s="21" t="str">
        <x:v>Clause 4 – Context of the organization: Identify internal/external issues relevant to AI systems, determine interested-party needs and expectations, define AIMS scope, and establish/maintain/continually improve the AIMS.</x:v>
      </x:c>
      <x:c r="D2" s="21" t="str">
        <x:v>Identify internal/external issues, interested parties, AIMS scope, and maintain/improve AIMS.</x:v>
      </x:c>
      <x:c r="E2" s="59"/>
      <x:c r="F2" s="59"/>
      <x:c r="G2" s="59"/>
      <x:c r="H2" s="59"/>
      <x:c r="I2" s="59"/>
      <x:c r="J2" s="59"/>
      <x:c r="K2" s="59"/>
      <x:c r="L2" s="59"/>
      <x:c r="M2" s="59"/>
      <x:c r="N2" s="59"/>
      <x:c r="O2" s="59"/>
      <x:c r="P2" s="59"/>
      <x:c r="Q2" s="59"/>
      <x:c r="R2" s="59"/>
      <x:c r="S2" s="59"/>
      <x:c r="T2" s="59"/>
      <x:c r="U2" s="59"/>
      <x:c r="V2" s="59"/>
      <x:c r="W2" s="59"/>
      <x:c r="X2" s="59"/>
      <x:c r="Y2" s="59"/>
      <x:c r="Z2" s="59"/>
      <x:c r="AA2" s="59"/>
      <x:c r="AB2" s="59"/>
      <x:c r="AC2" s="59"/>
      <x:c r="AD2" s="59"/>
      <x:c r="AE2" s="59"/>
      <x:c r="AF2" s="59"/>
      <x:c r="AG2" s="59"/>
      <x:c r="AH2" s="59"/>
      <x:c r="AI2" s="59"/>
      <x:c r="AJ2" s="59"/>
      <x:c r="AK2" s="59"/>
      <x:c r="AL2" s="59"/>
      <x:c r="AM2" s="59"/>
      <x:c r="AN2" s="59"/>
    </x:row>
    <x:row r="3">
      <x:c r="A3" s="21" t="str">
        <x:v>Clause 5</x:v>
      </x:c>
      <x:c r="B3" s="21" t="str">
        <x:v>Leadership</x:v>
      </x:c>
      <x:c r="C3" s="21" t="str">
        <x:v>Clause 5 – Leadership: Top management demonstrates commitment to the AIMS, establishes an AI policy aligned to strategy, and assigns/communicates AI management roles, responsibilities, and authorities.</x:v>
      </x:c>
      <x:c r="D3" s="21" t="str">
        <x:v>Top management commitment, AI policy, roles, responsibilities, and authorities.</x:v>
      </x:c>
      <x:c r="E3" s="59"/>
      <x:c r="F3" s="59"/>
      <x:c r="G3" s="59"/>
      <x:c r="H3" s="59"/>
      <x:c r="I3" s="59"/>
      <x:c r="J3" s="59"/>
      <x:c r="K3" s="59"/>
      <x:c r="L3" s="59"/>
      <x:c r="M3" s="59"/>
      <x:c r="N3" s="59"/>
      <x:c r="O3" s="59"/>
      <x:c r="P3" s="59"/>
      <x:c r="Q3" s="59"/>
      <x:c r="R3" s="59"/>
      <x:c r="S3" s="59"/>
      <x:c r="T3" s="59"/>
      <x:c r="U3" s="59"/>
      <x:c r="V3" s="59"/>
      <x:c r="W3" s="59"/>
      <x:c r="X3" s="59"/>
      <x:c r="Y3" s="59"/>
      <x:c r="Z3" s="59"/>
      <x:c r="AA3" s="59"/>
      <x:c r="AB3" s="59"/>
      <x:c r="AC3" s="59"/>
      <x:c r="AD3" s="59"/>
      <x:c r="AE3" s="59"/>
      <x:c r="AF3" s="59"/>
      <x:c r="AG3" s="59"/>
      <x:c r="AH3" s="59"/>
      <x:c r="AI3" s="59"/>
      <x:c r="AJ3" s="59"/>
      <x:c r="AK3" s="59"/>
      <x:c r="AL3" s="59"/>
      <x:c r="AM3" s="59"/>
      <x:c r="AN3" s="59"/>
    </x:row>
    <x:row r="4">
      <x:c r="A4" s="21" t="str">
        <x:v>Clause 6</x:v>
      </x:c>
      <x:c r="B4" s="21" t="str">
        <x:v>Planning</x:v>
      </x:c>
      <x:c r="C4" s="21" t="str">
        <x:v>Clause 6 – Planning: Determine actions for AI risks and opportunities; maintain AI risk assessment, risk treatment, and AI system impact assessment processes; establish AI objectives and plans.</x:v>
      </x:c>
      <x:c r="D4" s="21" t="str">
        <x:v>Actions for risks/opportunities, AI risk assessment/treatment, impact assessments, and AI objectives.</x:v>
      </x:c>
      <x:c r="E4" s="59"/>
      <x:c r="F4" s="59"/>
      <x:c r="G4" s="59"/>
      <x:c r="H4" s="59"/>
      <x:c r="I4" s="59"/>
      <x:c r="J4" s="59"/>
      <x:c r="K4" s="59"/>
      <x:c r="L4" s="59"/>
      <x:c r="M4" s="59"/>
      <x:c r="N4" s="59"/>
      <x:c r="O4" s="59"/>
      <x:c r="P4" s="59"/>
      <x:c r="Q4" s="59"/>
      <x:c r="R4" s="59"/>
      <x:c r="S4" s="59"/>
      <x:c r="T4" s="59"/>
      <x:c r="U4" s="59"/>
      <x:c r="V4" s="59"/>
      <x:c r="W4" s="59"/>
      <x:c r="X4" s="59"/>
      <x:c r="Y4" s="59"/>
      <x:c r="Z4" s="59"/>
      <x:c r="AA4" s="59"/>
      <x:c r="AB4" s="59"/>
      <x:c r="AC4" s="59"/>
      <x:c r="AD4" s="59"/>
      <x:c r="AE4" s="59"/>
      <x:c r="AF4" s="59"/>
      <x:c r="AG4" s="59"/>
      <x:c r="AH4" s="59"/>
      <x:c r="AI4" s="59"/>
      <x:c r="AJ4" s="59"/>
      <x:c r="AK4" s="59"/>
      <x:c r="AL4" s="59"/>
      <x:c r="AM4" s="59"/>
      <x:c r="AN4" s="59"/>
    </x:row>
    <x:row r="5">
      <x:c r="A5" s="21" t="str">
        <x:v>Clause 7</x:v>
      </x:c>
      <x:c r="B5" s="21" t="str">
        <x:v>Support</x:v>
      </x:c>
      <x:c r="C5" s="21" t="str">
        <x:v>Clause 7 – Support: Provide AIMS resources; ensure competence, awareness, communication, and control of documented information.</x:v>
      </x:c>
      <x:c r="D5" s="21" t="str">
        <x:v>Resources, competence, awareness, communications, and documented information.</x:v>
      </x:c>
      <x:c r="E5" s="59"/>
      <x:c r="F5" s="59"/>
      <x:c r="G5" s="59"/>
      <x:c r="H5" s="59"/>
      <x:c r="I5" s="59"/>
      <x:c r="J5" s="59"/>
      <x:c r="K5" s="59"/>
      <x:c r="L5" s="59"/>
      <x:c r="M5" s="59"/>
      <x:c r="N5" s="59"/>
      <x:c r="O5" s="59"/>
      <x:c r="P5" s="59"/>
      <x:c r="Q5" s="59"/>
      <x:c r="R5" s="59"/>
      <x:c r="S5" s="59"/>
      <x:c r="T5" s="59"/>
      <x:c r="U5" s="59"/>
      <x:c r="V5" s="59"/>
      <x:c r="W5" s="59"/>
      <x:c r="X5" s="59"/>
      <x:c r="Y5" s="59"/>
      <x:c r="Z5" s="59"/>
      <x:c r="AA5" s="59"/>
      <x:c r="AB5" s="59"/>
      <x:c r="AC5" s="59"/>
      <x:c r="AD5" s="59"/>
      <x:c r="AE5" s="59"/>
      <x:c r="AF5" s="59"/>
      <x:c r="AG5" s="59"/>
      <x:c r="AH5" s="59"/>
      <x:c r="AI5" s="59"/>
      <x:c r="AJ5" s="59"/>
      <x:c r="AK5" s="59"/>
      <x:c r="AL5" s="59"/>
      <x:c r="AM5" s="59"/>
      <x:c r="AN5" s="59"/>
    </x:row>
    <x:row r="6">
      <x:c r="A6" s="21" t="str">
        <x:v>Clause 8</x:v>
      </x:c>
      <x:c r="B6" s="21" t="str">
        <x:v>Operation</x:v>
      </x:c>
      <x:c r="C6" s="21" t="str">
        <x:v>Clause 8 – Operation: Plan, implement, and control AI operational processes; integrate AI risk assessment/treatment into operations; maintain and update AI system impact assessments.</x:v>
      </x:c>
      <x:c r="D6" s="21" t="str">
        <x:v>Operational planning/control, integrated risk treatment, and lifecycle impact assessment updates.</x:v>
      </x:c>
      <x:c r="E6" s="59"/>
      <x:c r="F6" s="59"/>
      <x:c r="G6" s="59"/>
      <x:c r="H6" s="59"/>
      <x:c r="I6" s="59"/>
      <x:c r="J6" s="59"/>
      <x:c r="K6" s="59"/>
      <x:c r="L6" s="59"/>
      <x:c r="M6" s="59"/>
      <x:c r="N6" s="59"/>
      <x:c r="O6" s="59"/>
      <x:c r="P6" s="59"/>
      <x:c r="Q6" s="59"/>
      <x:c r="R6" s="59"/>
      <x:c r="S6" s="59"/>
      <x:c r="T6" s="59"/>
      <x:c r="U6" s="59"/>
      <x:c r="V6" s="59"/>
      <x:c r="W6" s="59"/>
      <x:c r="X6" s="59"/>
      <x:c r="Y6" s="59"/>
      <x:c r="Z6" s="59"/>
      <x:c r="AA6" s="59"/>
      <x:c r="AB6" s="59"/>
      <x:c r="AC6" s="59"/>
      <x:c r="AD6" s="59"/>
      <x:c r="AE6" s="59"/>
      <x:c r="AF6" s="59"/>
      <x:c r="AG6" s="59"/>
      <x:c r="AH6" s="59"/>
      <x:c r="AI6" s="59"/>
      <x:c r="AJ6" s="59"/>
      <x:c r="AK6" s="59"/>
      <x:c r="AL6" s="59"/>
      <x:c r="AM6" s="59"/>
      <x:c r="AN6" s="59"/>
    </x:row>
    <x:row r="7">
      <x:c r="A7" s="21" t="str">
        <x:v>Clause 9</x:v>
      </x:c>
      <x:c r="B7" s="21" t="str">
        <x:v>Performance evaluation</x:v>
      </x:c>
      <x:c r="C7" s="21" t="str">
        <x:v>Clause 9 – Performance Evaluation: Monitor, measure, analyze, and evaluate the AIMS; perform internal audits; conduct management review at planned intervals.</x:v>
      </x:c>
      <x:c r="D7" s="21" t="str">
        <x:v>Monitoring, measurement, internal audits, and management review.</x:v>
      </x:c>
      <x:c r="E7" s="59"/>
      <x:c r="F7" s="59"/>
      <x:c r="G7" s="59"/>
      <x:c r="H7" s="59"/>
      <x:c r="I7" s="59"/>
      <x:c r="J7" s="59"/>
      <x:c r="K7" s="59"/>
      <x:c r="L7" s="59"/>
      <x:c r="M7" s="59"/>
      <x:c r="N7" s="59"/>
      <x:c r="O7" s="59"/>
      <x:c r="P7" s="59"/>
      <x:c r="Q7" s="59"/>
      <x:c r="R7" s="59"/>
      <x:c r="S7" s="59"/>
      <x:c r="T7" s="59"/>
      <x:c r="U7" s="59"/>
      <x:c r="V7" s="59"/>
      <x:c r="W7" s="59"/>
      <x:c r="X7" s="59"/>
      <x:c r="Y7" s="59"/>
      <x:c r="Z7" s="59"/>
      <x:c r="AA7" s="59"/>
      <x:c r="AB7" s="59"/>
      <x:c r="AC7" s="59"/>
      <x:c r="AD7" s="59"/>
      <x:c r="AE7" s="59"/>
      <x:c r="AF7" s="59"/>
      <x:c r="AG7" s="59"/>
      <x:c r="AH7" s="59"/>
      <x:c r="AI7" s="59"/>
      <x:c r="AJ7" s="59"/>
      <x:c r="AK7" s="59"/>
      <x:c r="AL7" s="59"/>
      <x:c r="AM7" s="59"/>
      <x:c r="AN7" s="59"/>
    </x:row>
    <x:row r="8">
      <x:c r="A8" s="21" t="str">
        <x:v>Clause 10</x:v>
      </x:c>
      <x:c r="B8" s="21" t="str">
        <x:v>Improvement</x:v>
      </x:c>
      <x:c r="C8" s="21" t="str">
        <x:v>Clause 10 – Improvement: Determine improvement opportunities and manage nonconformities and corrective actions effectively.</x:v>
      </x:c>
      <x:c r="D8" s="21" t="str">
        <x:v>Opportunities for improvement, nonconformities, corrective actions, and continual improvement.</x:v>
      </x:c>
      <x:c r="E8" s="59"/>
      <x:c r="F8" s="59"/>
      <x:c r="G8" s="59"/>
      <x:c r="H8" s="59"/>
      <x:c r="I8" s="59"/>
      <x:c r="J8" s="59"/>
      <x:c r="K8" s="59"/>
      <x:c r="L8" s="59"/>
      <x:c r="M8" s="59"/>
      <x:c r="N8" s="59"/>
      <x:c r="O8" s="59"/>
      <x:c r="P8" s="59"/>
      <x:c r="Q8" s="59"/>
      <x:c r="R8" s="59"/>
      <x:c r="S8" s="59"/>
      <x:c r="T8" s="59"/>
      <x:c r="U8" s="59"/>
      <x:c r="V8" s="59"/>
      <x:c r="W8" s="59"/>
      <x:c r="X8" s="59"/>
      <x:c r="Y8" s="59"/>
      <x:c r="Z8" s="59"/>
      <x:c r="AA8" s="59"/>
      <x:c r="AB8" s="59"/>
      <x:c r="AC8" s="59"/>
      <x:c r="AD8" s="59"/>
      <x:c r="AE8" s="59"/>
      <x:c r="AF8" s="59"/>
      <x:c r="AG8" s="59"/>
      <x:c r="AH8" s="59"/>
      <x:c r="AI8" s="59"/>
      <x:c r="AJ8" s="59"/>
      <x:c r="AK8" s="59"/>
      <x:c r="AL8" s="59"/>
      <x:c r="AM8" s="59"/>
      <x:c r="AN8" s="59"/>
    </x:row>
    <x:row r="9">
      <x:c r="A9" s="21" t="str">
        <x:v>Annex A.2</x:v>
      </x:c>
      <x:c r="B9" s="21" t="str">
        <x:v>Policies related to AI</x:v>
      </x:c>
      <x:c r="C9" s="21" t="str">
        <x:v>Annex A.2 – Policies related to AI: Document and approve AI policy, include responsible AI principles and continual improvement, review policy regularly, and align it to other relevant organizational policies.</x:v>
      </x:c>
      <x:c r="D9" s="21" t="str">
        <x:v>AI policy approval, responsible AI principles, policy review, and linkage to other policies.</x:v>
      </x:c>
      <x:c r="E9" s="59"/>
      <x:c r="F9" s="59"/>
      <x:c r="G9" s="59"/>
      <x:c r="H9" s="59"/>
      <x:c r="I9" s="59"/>
      <x:c r="J9" s="59"/>
      <x:c r="K9" s="59"/>
      <x:c r="L9" s="59"/>
      <x:c r="M9" s="59"/>
      <x:c r="N9" s="59"/>
      <x:c r="O9" s="59"/>
      <x:c r="P9" s="59"/>
      <x:c r="Q9" s="59"/>
      <x:c r="R9" s="59"/>
      <x:c r="S9" s="59"/>
      <x:c r="T9" s="59"/>
      <x:c r="U9" s="59"/>
      <x:c r="V9" s="59"/>
      <x:c r="W9" s="59"/>
      <x:c r="X9" s="59"/>
      <x:c r="Y9" s="59"/>
      <x:c r="Z9" s="59"/>
      <x:c r="AA9" s="59"/>
      <x:c r="AB9" s="59"/>
      <x:c r="AC9" s="59"/>
      <x:c r="AD9" s="59"/>
      <x:c r="AE9" s="59"/>
      <x:c r="AF9" s="59"/>
      <x:c r="AG9" s="59"/>
      <x:c r="AH9" s="59"/>
      <x:c r="AI9" s="59"/>
      <x:c r="AJ9" s="59"/>
      <x:c r="AK9" s="59"/>
      <x:c r="AL9" s="59"/>
      <x:c r="AM9" s="59"/>
      <x:c r="AN9" s="59"/>
    </x:row>
    <x:row r="10">
      <x:c r="A10" s="21" t="str">
        <x:v>Annex A.3</x:v>
      </x:c>
      <x:c r="B10" s="21" t="str">
        <x:v>Internal organization</x:v>
      </x:c>
      <x:c r="C10" s="21" t="str">
        <x:v>Annex A.3 – Internal organization: Define AI roles and responsibilities; provide reporting and confidential escalation paths; investigate and resolve AI-related concerns.</x:v>
      </x:c>
      <x:c r="D10" s="21" t="str">
        <x:v>Roles, responsibilities, concern reporting, escalation, investigation, and resolution.</x:v>
      </x:c>
      <x:c r="E10" s="59"/>
      <x:c r="F10" s="59"/>
      <x:c r="G10" s="59"/>
      <x:c r="H10" s="59"/>
      <x:c r="I10" s="59"/>
      <x:c r="J10" s="59"/>
      <x:c r="K10" s="59"/>
      <x:c r="L10" s="59"/>
      <x:c r="M10" s="59"/>
      <x:c r="N10" s="59"/>
      <x:c r="O10" s="59"/>
      <x:c r="P10" s="59"/>
      <x:c r="Q10" s="59"/>
      <x:c r="R10" s="59"/>
      <x:c r="S10" s="59"/>
      <x:c r="T10" s="59"/>
      <x:c r="U10" s="59"/>
      <x:c r="V10" s="59"/>
      <x:c r="W10" s="59"/>
      <x:c r="X10" s="59"/>
      <x:c r="Y10" s="59"/>
      <x:c r="Z10" s="59"/>
      <x:c r="AA10" s="59"/>
      <x:c r="AB10" s="59"/>
      <x:c r="AC10" s="59"/>
      <x:c r="AD10" s="59"/>
      <x:c r="AE10" s="59"/>
      <x:c r="AF10" s="59"/>
      <x:c r="AG10" s="59"/>
      <x:c r="AH10" s="59"/>
      <x:c r="AI10" s="59"/>
      <x:c r="AJ10" s="59"/>
      <x:c r="AK10" s="59"/>
      <x:c r="AL10" s="59"/>
      <x:c r="AM10" s="59"/>
      <x:c r="AN10" s="59"/>
    </x:row>
    <x:row r="11">
      <x:c r="A11" s="21" t="str">
        <x:v>Annex A.4</x:v>
      </x:c>
      <x:c r="B11" s="21" t="str">
        <x:v>Resources for AI systems</x:v>
      </x:c>
      <x:c r="C11" s="21" t="str">
        <x:v>Annex A.4 – Resources for AI systems: Maintain a register of AI resources including data, tools, systems, people, tooling, compute resources, and relevant operational/environmental impacts.</x:v>
      </x:c>
      <x:c r="D11" s="21" t="str">
        <x:v>AI resource inventory including data, tools, systems, people, compute, and operational impacts.</x:v>
      </x:c>
      <x:c r="E11" s="59"/>
      <x:c r="F11" s="59"/>
      <x:c r="G11" s="59"/>
      <x:c r="H11" s="59"/>
      <x:c r="I11" s="59"/>
      <x:c r="J11" s="59"/>
      <x:c r="K11" s="59"/>
      <x:c r="L11" s="59"/>
      <x:c r="M11" s="59"/>
      <x:c r="N11" s="59"/>
      <x:c r="O11" s="59"/>
      <x:c r="P11" s="59"/>
      <x:c r="Q11" s="59"/>
      <x:c r="R11" s="59"/>
      <x:c r="S11" s="59"/>
      <x:c r="T11" s="59"/>
      <x:c r="U11" s="59"/>
      <x:c r="V11" s="59"/>
      <x:c r="W11" s="59"/>
      <x:c r="X11" s="59"/>
      <x:c r="Y11" s="59"/>
      <x:c r="Z11" s="59"/>
      <x:c r="AA11" s="59"/>
      <x:c r="AB11" s="59"/>
      <x:c r="AC11" s="59"/>
      <x:c r="AD11" s="59"/>
      <x:c r="AE11" s="59"/>
      <x:c r="AF11" s="59"/>
      <x:c r="AG11" s="59"/>
      <x:c r="AH11" s="59"/>
      <x:c r="AI11" s="59"/>
      <x:c r="AJ11" s="59"/>
      <x:c r="AK11" s="59"/>
      <x:c r="AL11" s="59"/>
      <x:c r="AM11" s="59"/>
      <x:c r="AN11" s="59"/>
    </x:row>
    <x:row r="12">
      <x:c r="A12" s="21" t="str">
        <x:v>Annex A.5</x:v>
      </x:c>
      <x:c r="B12" s="21" t="str">
        <x:v>Assessing impacts of AI systems</x:v>
      </x:c>
      <x:c r="C12" s="21" t="str">
        <x:v>Annex A.5 – Assessing impacts of AI systems: Perform documented, repeatable impact assessments on individuals, groups, or society; update after significant changes; feed findings into design, controls, and stakeholder communication.</x:v>
      </x:c>
      <x:c r="D12" s="21" t="str">
        <x:v>Documented AI impact assessments across the lifecycle and use in design/control decisions.</x:v>
      </x:c>
      <x:c r="E12" s="59"/>
      <x:c r="F12" s="59"/>
      <x:c r="G12" s="59"/>
      <x:c r="H12" s="59"/>
      <x:c r="I12" s="59"/>
      <x:c r="J12" s="59"/>
      <x:c r="K12" s="59"/>
      <x:c r="L12" s="59"/>
      <x:c r="M12" s="59"/>
      <x:c r="N12" s="59"/>
      <x:c r="O12" s="59"/>
      <x:c r="P12" s="59"/>
      <x:c r="Q12" s="59"/>
      <x:c r="R12" s="59"/>
      <x:c r="S12" s="59"/>
      <x:c r="T12" s="59"/>
      <x:c r="U12" s="59"/>
      <x:c r="V12" s="59"/>
      <x:c r="W12" s="59"/>
      <x:c r="X12" s="59"/>
      <x:c r="Y12" s="59"/>
      <x:c r="Z12" s="59"/>
      <x:c r="AA12" s="59"/>
      <x:c r="AB12" s="59"/>
      <x:c r="AC12" s="59"/>
      <x:c r="AD12" s="59"/>
      <x:c r="AE12" s="59"/>
      <x:c r="AF12" s="59"/>
      <x:c r="AG12" s="59"/>
      <x:c r="AH12" s="59"/>
      <x:c r="AI12" s="59"/>
      <x:c r="AJ12" s="59"/>
      <x:c r="AK12" s="59"/>
      <x:c r="AL12" s="59"/>
      <x:c r="AM12" s="59"/>
      <x:c r="AN12" s="59"/>
    </x:row>
    <x:row r="13">
      <x:c r="A13" s="21" t="str">
        <x:v>Annex A.6</x:v>
      </x:c>
      <x:c r="B13" s="21" t="str">
        <x:v>AI system life cycle</x:v>
      </x:c>
      <x:c r="C13" s="21" t="str">
        <x:v>Annex A.6 – AI system life cycle: Define responsible development objectives, specify verification and validation, maintain technical documentation, and record/maintain event logs during system use.</x:v>
      </x:c>
      <x:c r="D13" s="21" t="str">
        <x:v>Responsible development objectives, V&amp;V, technical documentation, logs, and lifecycle controls.</x:v>
      </x:c>
      <x:c r="E13" s="59"/>
      <x:c r="F13" s="59"/>
      <x:c r="G13" s="59"/>
      <x:c r="H13" s="59"/>
      <x:c r="I13" s="59"/>
      <x:c r="J13" s="59"/>
      <x:c r="K13" s="59"/>
      <x:c r="L13" s="59"/>
      <x:c r="M13" s="59"/>
      <x:c r="N13" s="59"/>
      <x:c r="O13" s="59"/>
      <x:c r="P13" s="59"/>
      <x:c r="Q13" s="59"/>
      <x:c r="R13" s="59"/>
      <x:c r="S13" s="59"/>
      <x:c r="T13" s="59"/>
      <x:c r="U13" s="59"/>
      <x:c r="V13" s="59"/>
      <x:c r="W13" s="59"/>
      <x:c r="X13" s="59"/>
      <x:c r="Y13" s="59"/>
      <x:c r="Z13" s="59"/>
      <x:c r="AA13" s="59"/>
      <x:c r="AB13" s="59"/>
      <x:c r="AC13" s="59"/>
      <x:c r="AD13" s="59"/>
      <x:c r="AE13" s="59"/>
      <x:c r="AF13" s="59"/>
      <x:c r="AG13" s="59"/>
      <x:c r="AH13" s="59"/>
      <x:c r="AI13" s="59"/>
      <x:c r="AJ13" s="59"/>
      <x:c r="AK13" s="59"/>
      <x:c r="AL13" s="59"/>
      <x:c r="AM13" s="59"/>
      <x:c r="AN13" s="59"/>
    </x:row>
    <x:row r="14">
      <x:c r="A14" s="21" t="str">
        <x:v>Annex A.7</x:v>
      </x:c>
      <x:c r="B14" s="21" t="str">
        <x:v>Data for AI systems</x:v>
      </x:c>
      <x:c r="C14" s="21" t="str">
        <x:v>Annex A.7 – Data for AI systems: Maintain documented AI data management, identify sources and provenance, record intended use, define data quality requirements, and document/justify preparation methods.</x:v>
      </x:c>
      <x:c r="D14" s="21" t="str">
        <x:v>Data management, provenance, intended use, data quality, and data preparation.</x:v>
      </x:c>
      <x:c r="E14" s="59"/>
      <x:c r="F14" s="59"/>
      <x:c r="G14" s="59"/>
      <x:c r="H14" s="59"/>
      <x:c r="I14" s="59"/>
      <x:c r="J14" s="59"/>
      <x:c r="K14" s="59"/>
      <x:c r="L14" s="59"/>
      <x:c r="M14" s="59"/>
      <x:c r="N14" s="59"/>
      <x:c r="O14" s="59"/>
      <x:c r="P14" s="59"/>
      <x:c r="Q14" s="59"/>
      <x:c r="R14" s="59"/>
      <x:c r="S14" s="59"/>
      <x:c r="T14" s="59"/>
      <x:c r="U14" s="59"/>
      <x:c r="V14" s="59"/>
      <x:c r="W14" s="59"/>
      <x:c r="X14" s="59"/>
      <x:c r="Y14" s="59"/>
      <x:c r="Z14" s="59"/>
      <x:c r="AA14" s="59"/>
      <x:c r="AB14" s="59"/>
      <x:c r="AC14" s="59"/>
      <x:c r="AD14" s="59"/>
      <x:c r="AE14" s="59"/>
      <x:c r="AF14" s="59"/>
      <x:c r="AG14" s="59"/>
      <x:c r="AH14" s="59"/>
      <x:c r="AI14" s="59"/>
      <x:c r="AJ14" s="59"/>
      <x:c r="AK14" s="59"/>
      <x:c r="AL14" s="59"/>
      <x:c r="AM14" s="59"/>
      <x:c r="AN14" s="59"/>
    </x:row>
    <x:row r="15">
      <x:c r="A15" s="21" t="str">
        <x:v>Annex A.8</x:v>
      </x:c>
      <x:c r="B15" s="21" t="str">
        <x:v>Information for interested parties</x:v>
      </x:c>
      <x:c r="C15" s="21" t="str">
        <x:v>Annex A.8 – Information for interested parties: Provide necessary documentation to users and interested parties; define incident reporting/escalation, incident communication, and stakeholder information requirements.</x:v>
      </x:c>
      <x:c r="D15" s="21" t="str">
        <x:v>Documentation, incident reporting/escalation, communication plans, stakeholder information.</x:v>
      </x:c>
      <x:c r="E15" s="59"/>
      <x:c r="F15" s="59"/>
      <x:c r="G15" s="59"/>
      <x:c r="H15" s="59"/>
      <x:c r="I15" s="59"/>
      <x:c r="J15" s="59"/>
      <x:c r="K15" s="59"/>
      <x:c r="L15" s="59"/>
      <x:c r="M15" s="59"/>
      <x:c r="N15" s="59"/>
      <x:c r="O15" s="59"/>
      <x:c r="P15" s="59"/>
      <x:c r="Q15" s="59"/>
      <x:c r="R15" s="59"/>
      <x:c r="S15" s="59"/>
      <x:c r="T15" s="59"/>
      <x:c r="U15" s="59"/>
      <x:c r="V15" s="59"/>
      <x:c r="W15" s="59"/>
      <x:c r="X15" s="59"/>
      <x:c r="Y15" s="59"/>
      <x:c r="Z15" s="59"/>
      <x:c r="AA15" s="59"/>
      <x:c r="AB15" s="59"/>
      <x:c r="AC15" s="59"/>
      <x:c r="AD15" s="59"/>
      <x:c r="AE15" s="59"/>
      <x:c r="AF15" s="59"/>
      <x:c r="AG15" s="59"/>
      <x:c r="AH15" s="59"/>
      <x:c r="AI15" s="59"/>
      <x:c r="AJ15" s="59"/>
      <x:c r="AK15" s="59"/>
      <x:c r="AL15" s="59"/>
      <x:c r="AM15" s="59"/>
      <x:c r="AN15" s="59"/>
    </x:row>
    <x:row r="16">
      <x:c r="A16" s="21" t="str">
        <x:v>Annex A.9</x:v>
      </x:c>
      <x:c r="B16" s="21" t="str">
        <x:v>Use of AI systems</x:v>
      </x:c>
      <x:c r="C16" s="21" t="str">
        <x:v>Annex A.9 – Use of AI systems: Define responsible AI use processes, ethical/appropriate-use objectives, intended-purpose usage boundaries, and monitoring/remediation for misuse or unintended consequences.</x:v>
      </x:c>
      <x:c r="D16" s="21" t="str">
        <x:v>Responsible use process, intended-purpose boundaries, ethical objectives, and misuse monitoring.</x:v>
      </x:c>
      <x:c r="E16" s="59"/>
      <x:c r="F16" s="59"/>
      <x:c r="G16" s="59"/>
      <x:c r="H16" s="59"/>
      <x:c r="I16" s="59"/>
      <x:c r="J16" s="59"/>
      <x:c r="K16" s="59"/>
      <x:c r="L16" s="59"/>
      <x:c r="M16" s="59"/>
      <x:c r="N16" s="59"/>
      <x:c r="O16" s="59"/>
      <x:c r="P16" s="59"/>
      <x:c r="Q16" s="59"/>
      <x:c r="R16" s="59"/>
      <x:c r="S16" s="59"/>
      <x:c r="T16" s="59"/>
      <x:c r="U16" s="59"/>
      <x:c r="V16" s="59"/>
      <x:c r="W16" s="59"/>
      <x:c r="X16" s="59"/>
      <x:c r="Y16" s="59"/>
      <x:c r="Z16" s="59"/>
      <x:c r="AA16" s="59"/>
      <x:c r="AB16" s="59"/>
      <x:c r="AC16" s="59"/>
      <x:c r="AD16" s="59"/>
      <x:c r="AE16" s="59"/>
      <x:c r="AF16" s="59"/>
      <x:c r="AG16" s="59"/>
      <x:c r="AH16" s="59"/>
      <x:c r="AI16" s="59"/>
      <x:c r="AJ16" s="59"/>
      <x:c r="AK16" s="59"/>
      <x:c r="AL16" s="59"/>
      <x:c r="AM16" s="59"/>
      <x:c r="AN16" s="59"/>
    </x:row>
    <x:row r="17">
      <x:c r="A17" s="21" t="str">
        <x:v>Annex A.10</x:v>
      </x:c>
      <x:c r="B17" s="21" t="str">
        <x:v>Third-party and customer relationships</x:v>
      </x:c>
      <x:c r="C17" s="21" t="str">
        <x:v>Annex A.10 – Third-party and customer relationships: Define lifecycle responsibilities with third parties, manage AI suppliers, capture customer expectations, and review third-party roles through ongoing governance.</x:v>
      </x:c>
      <x:c r="D17" s="21" t="str">
        <x:v>Supplier/customer responsibilities, selection/management, expectations, and ongoing governance.</x:v>
      </x:c>
      <x:c r="E17" s="59"/>
      <x:c r="F17" s="59"/>
      <x:c r="G17" s="59"/>
      <x:c r="H17" s="59"/>
      <x:c r="I17" s="59"/>
      <x:c r="J17" s="59"/>
      <x:c r="K17" s="59"/>
      <x:c r="L17" s="59"/>
      <x:c r="M17" s="59"/>
      <x:c r="N17" s="59"/>
      <x:c r="O17" s="59"/>
      <x:c r="P17" s="59"/>
      <x:c r="Q17" s="59"/>
      <x:c r="R17" s="59"/>
      <x:c r="S17" s="59"/>
      <x:c r="T17" s="59"/>
      <x:c r="U17" s="59"/>
      <x:c r="V17" s="59"/>
      <x:c r="W17" s="59"/>
      <x:c r="X17" s="59"/>
      <x:c r="Y17" s="59"/>
      <x:c r="Z17" s="59"/>
      <x:c r="AA17" s="59"/>
      <x:c r="AB17" s="59"/>
      <x:c r="AC17" s="59"/>
      <x:c r="AD17" s="59"/>
      <x:c r="AE17" s="59"/>
      <x:c r="AF17" s="59"/>
      <x:c r="AG17" s="59"/>
      <x:c r="AH17" s="59"/>
      <x:c r="AI17" s="59"/>
      <x:c r="AJ17" s="59"/>
      <x:c r="AK17" s="59"/>
      <x:c r="AL17" s="59"/>
      <x:c r="AM17" s="59"/>
      <x:c r="AN17" s="59"/>
    </x:row>
    <x:row r="18">
      <x:c r="A18" s="59"/>
      <x:c r="B18" s="59"/>
      <x:c r="C18" s="59"/>
      <x:c r="D18" s="59"/>
      <x:c r="E18" s="59"/>
      <x:c r="F18" s="59"/>
      <x:c r="G18" s="59"/>
      <x:c r="H18" s="59"/>
      <x:c r="I18" s="59"/>
      <x:c r="J18" s="59"/>
      <x:c r="K18" s="59"/>
      <x:c r="L18" s="59"/>
      <x:c r="M18" s="59"/>
      <x:c r="N18" s="59"/>
      <x:c r="O18" s="59"/>
      <x:c r="P18" s="59"/>
      <x:c r="Q18" s="59"/>
      <x:c r="R18" s="59"/>
      <x:c r="S18" s="59"/>
      <x:c r="T18" s="59"/>
      <x:c r="U18" s="59"/>
      <x:c r="V18" s="59"/>
      <x:c r="W18" s="59"/>
      <x:c r="X18" s="59"/>
      <x:c r="Y18" s="59"/>
      <x:c r="Z18" s="59"/>
      <x:c r="AA18" s="59"/>
      <x:c r="AB18" s="59"/>
      <x:c r="AC18" s="59"/>
      <x:c r="AD18" s="59"/>
      <x:c r="AE18" s="59"/>
      <x:c r="AF18" s="59"/>
      <x:c r="AG18" s="59"/>
      <x:c r="AH18" s="59"/>
      <x:c r="AI18" s="59"/>
      <x:c r="AJ18" s="59"/>
      <x:c r="AK18" s="59"/>
      <x:c r="AL18" s="59"/>
      <x:c r="AM18" s="59"/>
      <x:c r="AN18" s="59"/>
    </x:row>
    <x:row r="19">
      <x:c r="A19" s="59"/>
      <x:c r="B19" s="59"/>
      <x:c r="C19" s="59"/>
      <x:c r="D19" s="59"/>
      <x:c r="E19" s="59"/>
      <x:c r="F19" s="59"/>
      <x:c r="G19" s="59"/>
      <x:c r="H19" s="59"/>
      <x:c r="I19" s="59"/>
      <x:c r="J19" s="59"/>
      <x:c r="K19" s="59"/>
      <x:c r="L19" s="59"/>
      <x:c r="M19" s="59"/>
      <x:c r="N19" s="59"/>
      <x:c r="O19" s="59"/>
      <x:c r="P19" s="59"/>
      <x:c r="Q19" s="59"/>
      <x:c r="R19" s="59"/>
      <x:c r="S19" s="59"/>
      <x:c r="T19" s="59"/>
      <x:c r="U19" s="59"/>
      <x:c r="V19" s="59"/>
      <x:c r="W19" s="59"/>
      <x:c r="X19" s="59"/>
      <x:c r="Y19" s="59"/>
      <x:c r="Z19" s="59"/>
      <x:c r="AA19" s="59"/>
      <x:c r="AB19" s="59"/>
      <x:c r="AC19" s="59"/>
      <x:c r="AD19" s="59"/>
      <x:c r="AE19" s="59"/>
      <x:c r="AF19" s="59"/>
      <x:c r="AG19" s="59"/>
      <x:c r="AH19" s="59"/>
      <x:c r="AI19" s="59"/>
      <x:c r="AJ19" s="59"/>
      <x:c r="AK19" s="59"/>
      <x:c r="AL19" s="59"/>
      <x:c r="AM19" s="59"/>
      <x:c r="AN19" s="59"/>
    </x:row>
    <x:row r="20">
      <x:c r="A20" s="59"/>
      <x:c r="B20" s="59"/>
      <x:c r="C20" s="59"/>
      <x:c r="D20" s="59"/>
      <x:c r="E20" s="59"/>
      <x:c r="F20" s="59"/>
      <x:c r="G20" s="59"/>
      <x:c r="H20" s="59"/>
      <x:c r="I20" s="59"/>
      <x:c r="J20" s="59"/>
      <x:c r="K20" s="59"/>
      <x:c r="L20" s="59"/>
      <x:c r="M20" s="59"/>
      <x:c r="N20" s="59"/>
      <x:c r="O20" s="59"/>
      <x:c r="P20" s="59"/>
      <x:c r="Q20" s="59"/>
      <x:c r="R20" s="59"/>
      <x:c r="S20" s="59"/>
      <x:c r="T20" s="59"/>
      <x:c r="U20" s="59"/>
      <x:c r="V20" s="59"/>
      <x:c r="W20" s="59"/>
      <x:c r="X20" s="59"/>
      <x:c r="Y20" s="59"/>
      <x:c r="Z20" s="59"/>
      <x:c r="AA20" s="59"/>
      <x:c r="AB20" s="59"/>
      <x:c r="AC20" s="59"/>
      <x:c r="AD20" s="59"/>
      <x:c r="AE20" s="59"/>
      <x:c r="AF20" s="59"/>
      <x:c r="AG20" s="59"/>
      <x:c r="AH20" s="59"/>
      <x:c r="AI20" s="59"/>
      <x:c r="AJ20" s="59"/>
      <x:c r="AK20" s="59"/>
      <x:c r="AL20" s="59"/>
      <x:c r="AM20" s="59"/>
      <x:c r="AN20" s="59"/>
    </x:row>
    <x:row r="21">
      <x:c r="A21" s="59"/>
      <x:c r="B21" s="59"/>
      <x:c r="C21" s="59"/>
      <x:c r="D21" s="59"/>
      <x:c r="E21" s="59"/>
      <x:c r="F21" s="59"/>
      <x:c r="G21" s="59"/>
      <x:c r="H21" s="59"/>
      <x:c r="I21" s="59"/>
      <x:c r="J21" s="59"/>
      <x:c r="K21" s="59"/>
      <x:c r="L21" s="59"/>
      <x:c r="M21" s="59"/>
      <x:c r="N21" s="59"/>
      <x:c r="O21" s="59"/>
      <x:c r="P21" s="59"/>
      <x:c r="Q21" s="59"/>
      <x:c r="R21" s="59"/>
      <x:c r="S21" s="59"/>
      <x:c r="T21" s="59"/>
      <x:c r="U21" s="59"/>
      <x:c r="V21" s="59"/>
      <x:c r="W21" s="59"/>
      <x:c r="X21" s="59"/>
      <x:c r="Y21" s="59"/>
      <x:c r="Z21" s="59"/>
      <x:c r="AA21" s="59"/>
      <x:c r="AB21" s="59"/>
      <x:c r="AC21" s="59"/>
      <x:c r="AD21" s="59"/>
      <x:c r="AE21" s="59"/>
      <x:c r="AF21" s="59"/>
      <x:c r="AG21" s="59"/>
      <x:c r="AH21" s="59"/>
      <x:c r="AI21" s="59"/>
      <x:c r="AJ21" s="59"/>
      <x:c r="AK21" s="59"/>
      <x:c r="AL21" s="59"/>
      <x:c r="AM21" s="59"/>
      <x:c r="AN21" s="59"/>
    </x:row>
    <x:row r="22">
      <x:c r="A22" s="59"/>
      <x:c r="B22" s="59"/>
      <x:c r="C22" s="59"/>
      <x:c r="D22" s="59"/>
      <x:c r="E22" s="59"/>
      <x:c r="F22" s="59"/>
      <x:c r="G22" s="59"/>
      <x:c r="H22" s="59"/>
      <x:c r="I22" s="59"/>
      <x:c r="J22" s="59"/>
      <x:c r="K22" s="59"/>
      <x:c r="L22" s="59"/>
      <x:c r="M22" s="59"/>
      <x:c r="N22" s="59"/>
      <x:c r="O22" s="59"/>
      <x:c r="P22" s="59"/>
      <x:c r="Q22" s="59"/>
      <x:c r="R22" s="59"/>
      <x:c r="S22" s="59"/>
      <x:c r="T22" s="59"/>
      <x:c r="U22" s="59"/>
      <x:c r="V22" s="59"/>
      <x:c r="W22" s="59"/>
      <x:c r="X22" s="59"/>
      <x:c r="Y22" s="59"/>
      <x:c r="Z22" s="59"/>
      <x:c r="AA22" s="59"/>
      <x:c r="AB22" s="59"/>
      <x:c r="AC22" s="59"/>
      <x:c r="AD22" s="59"/>
      <x:c r="AE22" s="59"/>
      <x:c r="AF22" s="59"/>
      <x:c r="AG22" s="59"/>
      <x:c r="AH22" s="59"/>
      <x:c r="AI22" s="59"/>
      <x:c r="AJ22" s="59"/>
      <x:c r="AK22" s="59"/>
      <x:c r="AL22" s="59"/>
      <x:c r="AM22" s="59"/>
      <x:c r="AN22" s="59"/>
    </x:row>
    <x:row r="23">
      <x:c r="A23" s="59"/>
      <x:c r="B23" s="59"/>
      <x:c r="C23" s="59"/>
      <x:c r="D23" s="59"/>
      <x:c r="E23" s="59"/>
      <x:c r="F23" s="59"/>
      <x:c r="G23" s="59"/>
      <x:c r="H23" s="59"/>
      <x:c r="I23" s="59"/>
      <x:c r="J23" s="59"/>
      <x:c r="K23" s="59"/>
      <x:c r="L23" s="59"/>
      <x:c r="M23" s="59"/>
      <x:c r="N23" s="59"/>
      <x:c r="O23" s="59"/>
      <x:c r="P23" s="59"/>
      <x:c r="Q23" s="59"/>
      <x:c r="R23" s="59"/>
      <x:c r="S23" s="59"/>
      <x:c r="T23" s="59"/>
      <x:c r="U23" s="59"/>
      <x:c r="V23" s="59"/>
      <x:c r="W23" s="59"/>
      <x:c r="X23" s="59"/>
      <x:c r="Y23" s="59"/>
      <x:c r="Z23" s="59"/>
      <x:c r="AA23" s="59"/>
      <x:c r="AB23" s="59"/>
      <x:c r="AC23" s="59"/>
      <x:c r="AD23" s="59"/>
      <x:c r="AE23" s="59"/>
      <x:c r="AF23" s="59"/>
      <x:c r="AG23" s="59"/>
      <x:c r="AH23" s="59"/>
      <x:c r="AI23" s="59"/>
      <x:c r="AJ23" s="59"/>
      <x:c r="AK23" s="59"/>
      <x:c r="AL23" s="59"/>
      <x:c r="AM23" s="59"/>
      <x:c r="AN23" s="59"/>
    </x:row>
    <x:row r="24">
      <x:c r="A24" s="59"/>
      <x:c r="B24" s="59"/>
      <x:c r="C24" s="59"/>
      <x:c r="D24" s="59"/>
      <x:c r="E24" s="59"/>
      <x:c r="F24" s="59"/>
      <x:c r="G24" s="59"/>
      <x:c r="H24" s="59"/>
      <x:c r="I24" s="59"/>
      <x:c r="J24" s="59"/>
      <x:c r="K24" s="59"/>
      <x:c r="L24" s="59"/>
      <x:c r="M24" s="59"/>
      <x:c r="N24" s="59"/>
      <x:c r="O24" s="59"/>
      <x:c r="P24" s="59"/>
      <x:c r="Q24" s="59"/>
      <x:c r="R24" s="59"/>
      <x:c r="S24" s="59"/>
      <x:c r="T24" s="59"/>
      <x:c r="U24" s="59"/>
      <x:c r="V24" s="59"/>
      <x:c r="W24" s="59"/>
      <x:c r="X24" s="59"/>
      <x:c r="Y24" s="59"/>
      <x:c r="Z24" s="59"/>
      <x:c r="AA24" s="59"/>
      <x:c r="AB24" s="59"/>
      <x:c r="AC24" s="59"/>
      <x:c r="AD24" s="59"/>
      <x:c r="AE24" s="59"/>
      <x:c r="AF24" s="59"/>
      <x:c r="AG24" s="59"/>
      <x:c r="AH24" s="59"/>
      <x:c r="AI24" s="59"/>
      <x:c r="AJ24" s="59"/>
      <x:c r="AK24" s="59"/>
      <x:c r="AL24" s="59"/>
      <x:c r="AM24" s="59"/>
      <x:c r="AN24" s="59"/>
    </x:row>
    <x:row r="25">
      <x:c r="A25" s="59"/>
      <x:c r="B25" s="59"/>
      <x:c r="C25" s="59"/>
      <x:c r="D25" s="59"/>
      <x:c r="E25" s="59"/>
      <x:c r="F25" s="59"/>
      <x:c r="G25" s="59"/>
      <x:c r="H25" s="59"/>
      <x:c r="I25" s="59"/>
      <x:c r="J25" s="59"/>
      <x:c r="K25" s="59"/>
      <x:c r="L25" s="59"/>
      <x:c r="M25" s="59"/>
      <x:c r="N25" s="59"/>
      <x:c r="O25" s="59"/>
      <x:c r="P25" s="59"/>
      <x:c r="Q25" s="59"/>
      <x:c r="R25" s="59"/>
      <x:c r="S25" s="59"/>
      <x:c r="T25" s="59"/>
      <x:c r="U25" s="59"/>
      <x:c r="V25" s="59"/>
      <x:c r="W25" s="59"/>
      <x:c r="X25" s="59"/>
      <x:c r="Y25" s="59"/>
      <x:c r="Z25" s="59"/>
      <x:c r="AA25" s="59"/>
      <x:c r="AB25" s="59"/>
      <x:c r="AC25" s="59"/>
      <x:c r="AD25" s="59"/>
      <x:c r="AE25" s="59"/>
      <x:c r="AF25" s="59"/>
      <x:c r="AG25" s="59"/>
      <x:c r="AH25" s="59"/>
      <x:c r="AI25" s="59"/>
      <x:c r="AJ25" s="59"/>
      <x:c r="AK25" s="59"/>
      <x:c r="AL25" s="59"/>
      <x:c r="AM25" s="59"/>
      <x:c r="AN25" s="59"/>
    </x:row>
    <x:row r="26">
      <x:c r="A26" s="59"/>
      <x:c r="B26" s="59"/>
      <x:c r="C26" s="59"/>
      <x:c r="D26" s="59"/>
      <x:c r="E26" s="59"/>
      <x:c r="F26" s="59"/>
      <x:c r="G26" s="59"/>
      <x:c r="H26" s="59"/>
      <x:c r="I26" s="59"/>
      <x:c r="J26" s="59"/>
      <x:c r="K26" s="59"/>
      <x:c r="L26" s="59"/>
      <x:c r="M26" s="59"/>
      <x:c r="N26" s="59"/>
      <x:c r="O26" s="59"/>
      <x:c r="P26" s="59"/>
      <x:c r="Q26" s="59"/>
      <x:c r="R26" s="59"/>
      <x:c r="S26" s="59"/>
      <x:c r="T26" s="59"/>
      <x:c r="U26" s="59"/>
      <x:c r="V26" s="59"/>
      <x:c r="W26" s="59"/>
      <x:c r="X26" s="59"/>
      <x:c r="Y26" s="59"/>
      <x:c r="Z26" s="59"/>
      <x:c r="AA26" s="59"/>
      <x:c r="AB26" s="59"/>
      <x:c r="AC26" s="59"/>
      <x:c r="AD26" s="59"/>
      <x:c r="AE26" s="59"/>
      <x:c r="AF26" s="59"/>
      <x:c r="AG26" s="59"/>
      <x:c r="AH26" s="59"/>
      <x:c r="AI26" s="59"/>
      <x:c r="AJ26" s="59"/>
      <x:c r="AK26" s="59"/>
      <x:c r="AL26" s="59"/>
      <x:c r="AM26" s="59"/>
      <x:c r="AN26" s="59"/>
    </x:row>
    <x:row r="27">
      <x:c r="A27" s="59"/>
      <x:c r="B27" s="59"/>
      <x:c r="C27" s="59"/>
      <x:c r="D27" s="59"/>
      <x:c r="E27" s="59"/>
      <x:c r="F27" s="59"/>
      <x:c r="G27" s="59"/>
      <x:c r="H27" s="59"/>
      <x:c r="I27" s="59"/>
      <x:c r="J27" s="59"/>
      <x:c r="K27" s="59"/>
      <x:c r="L27" s="59"/>
      <x:c r="M27" s="59"/>
      <x:c r="N27" s="59"/>
      <x:c r="O27" s="59"/>
      <x:c r="P27" s="59"/>
      <x:c r="Q27" s="59"/>
      <x:c r="R27" s="59"/>
      <x:c r="S27" s="59"/>
      <x:c r="T27" s="59"/>
      <x:c r="U27" s="59"/>
      <x:c r="V27" s="59"/>
      <x:c r="W27" s="59"/>
      <x:c r="X27" s="59"/>
      <x:c r="Y27" s="59"/>
      <x:c r="Z27" s="59"/>
      <x:c r="AA27" s="59"/>
      <x:c r="AB27" s="59"/>
      <x:c r="AC27" s="59"/>
      <x:c r="AD27" s="59"/>
      <x:c r="AE27" s="59"/>
      <x:c r="AF27" s="59"/>
      <x:c r="AG27" s="59"/>
      <x:c r="AH27" s="59"/>
      <x:c r="AI27" s="59"/>
      <x:c r="AJ27" s="59"/>
      <x:c r="AK27" s="59"/>
      <x:c r="AL27" s="59"/>
      <x:c r="AM27" s="59"/>
      <x:c r="AN27" s="59"/>
    </x:row>
    <x:row r="28">
      <x:c r="A28" s="59"/>
      <x:c r="B28" s="59"/>
      <x:c r="C28" s="59"/>
      <x:c r="D28" s="59"/>
      <x:c r="E28" s="59"/>
      <x:c r="F28" s="59"/>
      <x:c r="G28" s="59"/>
      <x:c r="H28" s="59"/>
      <x:c r="I28" s="59"/>
      <x:c r="J28" s="59"/>
      <x:c r="K28" s="59"/>
      <x:c r="L28" s="59"/>
      <x:c r="M28" s="59"/>
      <x:c r="N28" s="59"/>
      <x:c r="O28" s="59"/>
      <x:c r="P28" s="59"/>
      <x:c r="Q28" s="59"/>
      <x:c r="R28" s="59"/>
      <x:c r="S28" s="59"/>
      <x:c r="T28" s="59"/>
      <x:c r="U28" s="59"/>
      <x:c r="V28" s="59"/>
      <x:c r="W28" s="59"/>
      <x:c r="X28" s="59"/>
      <x:c r="Y28" s="59"/>
      <x:c r="Z28" s="59"/>
      <x:c r="AA28" s="59"/>
      <x:c r="AB28" s="59"/>
      <x:c r="AC28" s="59"/>
      <x:c r="AD28" s="59"/>
      <x:c r="AE28" s="59"/>
      <x:c r="AF28" s="59"/>
      <x:c r="AG28" s="59"/>
      <x:c r="AH28" s="59"/>
      <x:c r="AI28" s="59"/>
      <x:c r="AJ28" s="59"/>
      <x:c r="AK28" s="59"/>
      <x:c r="AL28" s="59"/>
      <x:c r="AM28" s="59"/>
      <x:c r="AN28" s="59"/>
    </x:row>
    <x:row r="29">
      <x:c r="A29" s="59"/>
      <x:c r="B29" s="59"/>
      <x:c r="C29" s="59"/>
      <x:c r="D29" s="59"/>
      <x:c r="E29" s="59"/>
      <x:c r="F29" s="59"/>
      <x:c r="G29" s="59"/>
      <x:c r="H29" s="59"/>
      <x:c r="I29" s="59"/>
      <x:c r="J29" s="59"/>
      <x:c r="K29" s="59"/>
      <x:c r="L29" s="59"/>
      <x:c r="M29" s="59"/>
      <x:c r="N29" s="59"/>
      <x:c r="O29" s="59"/>
      <x:c r="P29" s="59"/>
      <x:c r="Q29" s="59"/>
      <x:c r="R29" s="59"/>
      <x:c r="S29" s="59"/>
      <x:c r="T29" s="59"/>
      <x:c r="U29" s="59"/>
      <x:c r="V29" s="59"/>
      <x:c r="W29" s="59"/>
      <x:c r="X29" s="59"/>
      <x:c r="Y29" s="59"/>
      <x:c r="Z29" s="59"/>
      <x:c r="AA29" s="59"/>
      <x:c r="AB29" s="59"/>
      <x:c r="AC29" s="59"/>
      <x:c r="AD29" s="59"/>
      <x:c r="AE29" s="59"/>
      <x:c r="AF29" s="59"/>
      <x:c r="AG29" s="59"/>
      <x:c r="AH29" s="59"/>
      <x:c r="AI29" s="59"/>
      <x:c r="AJ29" s="59"/>
      <x:c r="AK29" s="59"/>
      <x:c r="AL29" s="59"/>
      <x:c r="AM29" s="59"/>
      <x:c r="AN29" s="59"/>
    </x:row>
    <x:row r="30">
      <x:c r="A30" s="59"/>
      <x:c r="B30" s="59"/>
      <x:c r="C30" s="59"/>
      <x:c r="D30" s="59"/>
      <x:c r="E30" s="59"/>
      <x:c r="F30" s="59"/>
      <x:c r="G30" s="59"/>
      <x:c r="H30" s="59"/>
      <x:c r="I30" s="59"/>
      <x:c r="J30" s="59"/>
      <x:c r="K30" s="59"/>
      <x:c r="L30" s="59"/>
      <x:c r="M30" s="59"/>
      <x:c r="N30" s="59"/>
      <x:c r="O30" s="59"/>
      <x:c r="P30" s="59"/>
      <x:c r="Q30" s="59"/>
      <x:c r="R30" s="59"/>
      <x:c r="S30" s="59"/>
      <x:c r="T30" s="59"/>
      <x:c r="U30" s="59"/>
      <x:c r="V30" s="59"/>
      <x:c r="W30" s="59"/>
      <x:c r="X30" s="59"/>
      <x:c r="Y30" s="59"/>
      <x:c r="Z30" s="59"/>
      <x:c r="AA30" s="59"/>
      <x:c r="AB30" s="59"/>
      <x:c r="AC30" s="59"/>
      <x:c r="AD30" s="59"/>
      <x:c r="AE30" s="59"/>
      <x:c r="AF30" s="59"/>
      <x:c r="AG30" s="59"/>
      <x:c r="AH30" s="59"/>
      <x:c r="AI30" s="59"/>
      <x:c r="AJ30" s="59"/>
      <x:c r="AK30" s="59"/>
      <x:c r="AL30" s="59"/>
      <x:c r="AM30" s="59"/>
      <x:c r="AN30" s="59"/>
    </x:row>
    <x:row r="31">
      <x:c r="A31" s="59"/>
      <x:c r="B31" s="59"/>
      <x:c r="C31" s="59"/>
      <x:c r="D31" s="59"/>
      <x:c r="E31" s="59"/>
      <x:c r="F31" s="59"/>
      <x:c r="G31" s="59"/>
      <x:c r="H31" s="59"/>
      <x:c r="I31" s="59"/>
      <x:c r="J31" s="59"/>
      <x:c r="K31" s="59"/>
      <x:c r="L31" s="59"/>
      <x:c r="M31" s="59"/>
      <x:c r="N31" s="59"/>
      <x:c r="O31" s="59"/>
      <x:c r="P31" s="59"/>
      <x:c r="Q31" s="59"/>
      <x:c r="R31" s="59"/>
      <x:c r="S31" s="59"/>
      <x:c r="T31" s="59"/>
      <x:c r="U31" s="59"/>
      <x:c r="V31" s="59"/>
      <x:c r="W31" s="59"/>
      <x:c r="X31" s="59"/>
      <x:c r="Y31" s="59"/>
      <x:c r="Z31" s="59"/>
      <x:c r="AA31" s="59"/>
      <x:c r="AB31" s="59"/>
      <x:c r="AC31" s="59"/>
      <x:c r="AD31" s="59"/>
      <x:c r="AE31" s="59"/>
      <x:c r="AF31" s="59"/>
      <x:c r="AG31" s="59"/>
      <x:c r="AH31" s="59"/>
      <x:c r="AI31" s="59"/>
      <x:c r="AJ31" s="59"/>
      <x:c r="AK31" s="59"/>
      <x:c r="AL31" s="59"/>
      <x:c r="AM31" s="59"/>
      <x:c r="AN31" s="59"/>
    </x:row>
    <x:row r="32">
      <x:c r="A32" s="59"/>
      <x:c r="B32" s="59"/>
      <x:c r="C32" s="59"/>
      <x:c r="D32" s="59"/>
      <x:c r="E32" s="59"/>
      <x:c r="F32" s="59"/>
      <x:c r="G32" s="59"/>
      <x:c r="H32" s="59"/>
      <x:c r="I32" s="59"/>
      <x:c r="J32" s="59"/>
      <x:c r="K32" s="59"/>
      <x:c r="L32" s="59"/>
      <x:c r="M32" s="59"/>
      <x:c r="N32" s="59"/>
      <x:c r="O32" s="59"/>
      <x:c r="P32" s="59"/>
      <x:c r="Q32" s="59"/>
      <x:c r="R32" s="59"/>
      <x:c r="S32" s="59"/>
      <x:c r="T32" s="59"/>
      <x:c r="U32" s="59"/>
      <x:c r="V32" s="59"/>
      <x:c r="W32" s="59"/>
      <x:c r="X32" s="59"/>
      <x:c r="Y32" s="59"/>
      <x:c r="Z32" s="59"/>
      <x:c r="AA32" s="59"/>
      <x:c r="AB32" s="59"/>
      <x:c r="AC32" s="59"/>
      <x:c r="AD32" s="59"/>
      <x:c r="AE32" s="59"/>
      <x:c r="AF32" s="59"/>
      <x:c r="AG32" s="59"/>
      <x:c r="AH32" s="59"/>
      <x:c r="AI32" s="59"/>
      <x:c r="AJ32" s="59"/>
      <x:c r="AK32" s="59"/>
      <x:c r="AL32" s="59"/>
      <x:c r="AM32" s="59"/>
      <x:c r="AN32" s="59"/>
    </x:row>
    <x:row r="33">
      <x:c r="A33" s="59"/>
      <x:c r="B33" s="59"/>
      <x:c r="C33" s="59"/>
      <x:c r="D33" s="59"/>
      <x:c r="E33" s="59"/>
      <x:c r="F33" s="59"/>
      <x:c r="G33" s="59"/>
      <x:c r="H33" s="59"/>
      <x:c r="I33" s="59"/>
      <x:c r="J33" s="59"/>
      <x:c r="K33" s="59"/>
      <x:c r="L33" s="59"/>
      <x:c r="M33" s="59"/>
      <x:c r="N33" s="59"/>
      <x:c r="O33" s="59"/>
      <x:c r="P33" s="59"/>
      <x:c r="Q33" s="59"/>
      <x:c r="R33" s="59"/>
      <x:c r="S33" s="59"/>
      <x:c r="T33" s="59"/>
      <x:c r="U33" s="59"/>
      <x:c r="V33" s="59"/>
      <x:c r="W33" s="59"/>
      <x:c r="X33" s="59"/>
      <x:c r="Y33" s="59"/>
      <x:c r="Z33" s="59"/>
      <x:c r="AA33" s="59"/>
      <x:c r="AB33" s="59"/>
      <x:c r="AC33" s="59"/>
      <x:c r="AD33" s="59"/>
      <x:c r="AE33" s="59"/>
      <x:c r="AF33" s="59"/>
      <x:c r="AG33" s="59"/>
      <x:c r="AH33" s="59"/>
      <x:c r="AI33" s="59"/>
      <x:c r="AJ33" s="59"/>
      <x:c r="AK33" s="59"/>
      <x:c r="AL33" s="59"/>
      <x:c r="AM33" s="59"/>
      <x:c r="AN33" s="59"/>
    </x:row>
    <x:row r="34">
      <x:c r="A34" s="59"/>
      <x:c r="B34" s="59"/>
      <x:c r="C34" s="59"/>
      <x:c r="D34" s="59"/>
      <x:c r="E34" s="59"/>
      <x:c r="F34" s="59"/>
      <x:c r="G34" s="59"/>
      <x:c r="H34" s="59"/>
      <x:c r="I34" s="59"/>
      <x:c r="J34" s="59"/>
      <x:c r="K34" s="59"/>
      <x:c r="L34" s="59"/>
      <x:c r="M34" s="59"/>
      <x:c r="N34" s="59"/>
      <x:c r="O34" s="59"/>
      <x:c r="P34" s="59"/>
      <x:c r="Q34" s="59"/>
      <x:c r="R34" s="59"/>
      <x:c r="S34" s="59"/>
      <x:c r="T34" s="59"/>
      <x:c r="U34" s="59"/>
      <x:c r="V34" s="59"/>
      <x:c r="W34" s="59"/>
      <x:c r="X34" s="59"/>
      <x:c r="Y34" s="59"/>
      <x:c r="Z34" s="59"/>
      <x:c r="AA34" s="59"/>
      <x:c r="AB34" s="59"/>
      <x:c r="AC34" s="59"/>
      <x:c r="AD34" s="59"/>
      <x:c r="AE34" s="59"/>
      <x:c r="AF34" s="59"/>
      <x:c r="AG34" s="59"/>
      <x:c r="AH34" s="59"/>
      <x:c r="AI34" s="59"/>
      <x:c r="AJ34" s="59"/>
      <x:c r="AK34" s="59"/>
      <x:c r="AL34" s="59"/>
      <x:c r="AM34" s="59"/>
      <x:c r="AN34" s="59"/>
    </x:row>
    <x:row r="35">
      <x:c r="A35" s="59"/>
      <x:c r="B35" s="59"/>
      <x:c r="C35" s="59"/>
      <x:c r="D35" s="59"/>
      <x:c r="E35" s="59"/>
      <x:c r="F35" s="59"/>
      <x:c r="G35" s="59"/>
      <x:c r="H35" s="59"/>
      <x:c r="I35" s="59"/>
      <x:c r="J35" s="59"/>
      <x:c r="K35" s="59"/>
      <x:c r="L35" s="59"/>
      <x:c r="M35" s="59"/>
      <x:c r="N35" s="59"/>
      <x:c r="O35" s="59"/>
      <x:c r="P35" s="59"/>
      <x:c r="Q35" s="59"/>
      <x:c r="R35" s="59"/>
      <x:c r="S35" s="59"/>
      <x:c r="T35" s="59"/>
      <x:c r="U35" s="59"/>
      <x:c r="V35" s="59"/>
      <x:c r="W35" s="59"/>
      <x:c r="X35" s="59"/>
      <x:c r="Y35" s="59"/>
      <x:c r="Z35" s="59"/>
      <x:c r="AA35" s="59"/>
      <x:c r="AB35" s="59"/>
      <x:c r="AC35" s="59"/>
      <x:c r="AD35" s="59"/>
      <x:c r="AE35" s="59"/>
      <x:c r="AF35" s="59"/>
      <x:c r="AG35" s="59"/>
      <x:c r="AH35" s="59"/>
      <x:c r="AI35" s="59"/>
      <x:c r="AJ35" s="59"/>
      <x:c r="AK35" s="59"/>
      <x:c r="AL35" s="59"/>
      <x:c r="AM35" s="59"/>
      <x:c r="AN35" s="59"/>
    </x:row>
    <x:row r="36">
      <x:c r="A36" s="59"/>
      <x:c r="B36" s="59"/>
      <x:c r="C36" s="59"/>
      <x:c r="D36" s="59"/>
      <x:c r="E36" s="59"/>
      <x:c r="F36" s="59"/>
      <x:c r="G36" s="59"/>
      <x:c r="H36" s="59"/>
      <x:c r="I36" s="59"/>
      <x:c r="J36" s="59"/>
      <x:c r="K36" s="59"/>
      <x:c r="L36" s="59"/>
      <x:c r="M36" s="59"/>
      <x:c r="N36" s="59"/>
      <x:c r="O36" s="59"/>
      <x:c r="P36" s="59"/>
      <x:c r="Q36" s="59"/>
      <x:c r="R36" s="59"/>
      <x:c r="S36" s="59"/>
      <x:c r="T36" s="59"/>
      <x:c r="U36" s="59"/>
      <x:c r="V36" s="59"/>
      <x:c r="W36" s="59"/>
      <x:c r="X36" s="59"/>
      <x:c r="Y36" s="59"/>
      <x:c r="Z36" s="59"/>
      <x:c r="AA36" s="59"/>
      <x:c r="AB36" s="59"/>
      <x:c r="AC36" s="59"/>
      <x:c r="AD36" s="59"/>
      <x:c r="AE36" s="59"/>
      <x:c r="AF36" s="59"/>
      <x:c r="AG36" s="59"/>
      <x:c r="AH36" s="59"/>
      <x:c r="AI36" s="59"/>
      <x:c r="AJ36" s="59"/>
      <x:c r="AK36" s="59"/>
      <x:c r="AL36" s="59"/>
      <x:c r="AM36" s="59"/>
      <x:c r="AN36" s="59"/>
    </x:row>
    <x:row r="37">
      <x:c r="A37" s="59"/>
      <x:c r="B37" s="59"/>
      <x:c r="C37" s="59"/>
      <x:c r="D37" s="59"/>
      <x:c r="E37" s="59"/>
      <x:c r="F37" s="59"/>
      <x:c r="G37" s="59"/>
      <x:c r="H37" s="59"/>
      <x:c r="I37" s="59"/>
      <x:c r="J37" s="59"/>
      <x:c r="K37" s="59"/>
      <x:c r="L37" s="59"/>
      <x:c r="M37" s="59"/>
      <x:c r="N37" s="59"/>
      <x:c r="O37" s="59"/>
      <x:c r="P37" s="59"/>
      <x:c r="Q37" s="59"/>
      <x:c r="R37" s="59"/>
      <x:c r="S37" s="59"/>
      <x:c r="T37" s="59"/>
      <x:c r="U37" s="59"/>
      <x:c r="V37" s="59"/>
      <x:c r="W37" s="59"/>
      <x:c r="X37" s="59"/>
      <x:c r="Y37" s="59"/>
      <x:c r="Z37" s="59"/>
      <x:c r="AA37" s="59"/>
      <x:c r="AB37" s="59"/>
      <x:c r="AC37" s="59"/>
      <x:c r="AD37" s="59"/>
      <x:c r="AE37" s="59"/>
      <x:c r="AF37" s="59"/>
      <x:c r="AG37" s="59"/>
      <x:c r="AH37" s="59"/>
      <x:c r="AI37" s="59"/>
      <x:c r="AJ37" s="59"/>
      <x:c r="AK37" s="59"/>
      <x:c r="AL37" s="59"/>
      <x:c r="AM37" s="59"/>
      <x:c r="AN37" s="59"/>
    </x:row>
    <x:row r="38">
      <x:c r="A38" s="59"/>
      <x:c r="B38" s="59"/>
      <x:c r="C38" s="59"/>
      <x:c r="D38" s="59"/>
      <x:c r="E38" s="59"/>
      <x:c r="F38" s="59"/>
      <x:c r="G38" s="59"/>
      <x:c r="H38" s="59"/>
      <x:c r="I38" s="59"/>
      <x:c r="J38" s="59"/>
      <x:c r="K38" s="59"/>
      <x:c r="L38" s="59"/>
      <x:c r="M38" s="59"/>
      <x:c r="N38" s="59"/>
      <x:c r="O38" s="59"/>
      <x:c r="P38" s="59"/>
      <x:c r="Q38" s="59"/>
      <x:c r="R38" s="59"/>
      <x:c r="S38" s="59"/>
      <x:c r="T38" s="59"/>
      <x:c r="U38" s="59"/>
      <x:c r="V38" s="59"/>
      <x:c r="W38" s="59"/>
      <x:c r="X38" s="59"/>
      <x:c r="Y38" s="59"/>
      <x:c r="Z38" s="59"/>
      <x:c r="AA38" s="59"/>
      <x:c r="AB38" s="59"/>
      <x:c r="AC38" s="59"/>
      <x:c r="AD38" s="59"/>
      <x:c r="AE38" s="59"/>
      <x:c r="AF38" s="59"/>
      <x:c r="AG38" s="59"/>
      <x:c r="AH38" s="59"/>
      <x:c r="AI38" s="59"/>
      <x:c r="AJ38" s="59"/>
      <x:c r="AK38" s="59"/>
      <x:c r="AL38" s="59"/>
      <x:c r="AM38" s="59"/>
      <x:c r="AN38" s="59"/>
    </x:row>
    <x:row r="39">
      <x:c r="A39" s="59"/>
      <x:c r="B39" s="59"/>
      <x:c r="C39" s="59"/>
      <x:c r="D39" s="59"/>
      <x:c r="E39" s="59"/>
      <x:c r="F39" s="59"/>
      <x:c r="G39" s="59"/>
      <x:c r="H39" s="59"/>
      <x:c r="I39" s="59"/>
      <x:c r="J39" s="59"/>
      <x:c r="K39" s="59"/>
      <x:c r="L39" s="59"/>
      <x:c r="M39" s="59"/>
      <x:c r="N39" s="59"/>
      <x:c r="O39" s="59"/>
      <x:c r="P39" s="59"/>
      <x:c r="Q39" s="59"/>
      <x:c r="R39" s="59"/>
      <x:c r="S39" s="59"/>
      <x:c r="T39" s="59"/>
      <x:c r="U39" s="59"/>
      <x:c r="V39" s="59"/>
      <x:c r="W39" s="59"/>
      <x:c r="X39" s="59"/>
      <x:c r="Y39" s="59"/>
      <x:c r="Z39" s="59"/>
      <x:c r="AA39" s="59"/>
      <x:c r="AB39" s="59"/>
      <x:c r="AC39" s="59"/>
      <x:c r="AD39" s="59"/>
      <x:c r="AE39" s="59"/>
      <x:c r="AF39" s="59"/>
      <x:c r="AG39" s="59"/>
      <x:c r="AH39" s="59"/>
      <x:c r="AI39" s="59"/>
      <x:c r="AJ39" s="59"/>
      <x:c r="AK39" s="59"/>
      <x:c r="AL39" s="59"/>
      <x:c r="AM39" s="59"/>
      <x:c r="AN39" s="59"/>
    </x:row>
    <x:row r="40">
      <x:c r="A40" s="59"/>
      <x:c r="B40" s="59"/>
      <x:c r="C40" s="59"/>
      <x:c r="D40" s="59"/>
      <x:c r="E40" s="59"/>
      <x:c r="F40" s="59"/>
      <x:c r="G40" s="59"/>
      <x:c r="H40" s="59"/>
      <x:c r="I40" s="59"/>
      <x:c r="J40" s="59"/>
      <x:c r="K40" s="59"/>
      <x:c r="L40" s="59"/>
      <x:c r="M40" s="59"/>
      <x:c r="N40" s="59"/>
      <x:c r="O40" s="59"/>
      <x:c r="P40" s="59"/>
      <x:c r="Q40" s="59"/>
      <x:c r="R40" s="59"/>
      <x:c r="S40" s="59"/>
      <x:c r="T40" s="59"/>
      <x:c r="U40" s="59"/>
      <x:c r="V40" s="59"/>
      <x:c r="W40" s="59"/>
      <x:c r="X40" s="59"/>
      <x:c r="Y40" s="59"/>
      <x:c r="Z40" s="59"/>
      <x:c r="AA40" s="59"/>
      <x:c r="AB40" s="59"/>
      <x:c r="AC40" s="59"/>
      <x:c r="AD40" s="59"/>
      <x:c r="AE40" s="59"/>
      <x:c r="AF40" s="59"/>
      <x:c r="AG40" s="59"/>
      <x:c r="AH40" s="59"/>
      <x:c r="AI40" s="59"/>
      <x:c r="AJ40" s="59"/>
      <x:c r="AK40" s="59"/>
      <x:c r="AL40" s="59"/>
      <x:c r="AM40" s="59"/>
      <x:c r="AN40" s="59"/>
    </x:row>
    <x:row r="41">
      <x:c r="A41" s="59"/>
      <x:c r="B41" s="59"/>
      <x:c r="C41" s="59"/>
      <x:c r="D41" s="59"/>
      <x:c r="E41" s="59"/>
      <x:c r="F41" s="59"/>
      <x:c r="G41" s="59"/>
      <x:c r="H41" s="59"/>
      <x:c r="I41" s="59"/>
      <x:c r="J41" s="59"/>
      <x:c r="K41" s="59"/>
      <x:c r="L41" s="59"/>
      <x:c r="M41" s="59"/>
      <x:c r="N41" s="59"/>
      <x:c r="O41" s="59"/>
      <x:c r="P41" s="59"/>
      <x:c r="Q41" s="59"/>
      <x:c r="R41" s="59"/>
      <x:c r="S41" s="59"/>
      <x:c r="T41" s="59"/>
      <x:c r="U41" s="59"/>
      <x:c r="V41" s="59"/>
      <x:c r="W41" s="59"/>
      <x:c r="X41" s="59"/>
      <x:c r="Y41" s="59"/>
      <x:c r="Z41" s="59"/>
      <x:c r="AA41" s="59"/>
      <x:c r="AB41" s="59"/>
      <x:c r="AC41" s="59"/>
      <x:c r="AD41" s="59"/>
      <x:c r="AE41" s="59"/>
      <x:c r="AF41" s="59"/>
      <x:c r="AG41" s="59"/>
      <x:c r="AH41" s="59"/>
      <x:c r="AI41" s="59"/>
      <x:c r="AJ41" s="59"/>
      <x:c r="AK41" s="59"/>
      <x:c r="AL41" s="59"/>
      <x:c r="AM41" s="59"/>
      <x:c r="AN41" s="59"/>
    </x:row>
    <x:row r="42">
      <x:c r="A42" s="59"/>
      <x:c r="B42" s="59"/>
      <x:c r="C42" s="59"/>
      <x:c r="D42" s="59"/>
      <x:c r="E42" s="59"/>
      <x:c r="F42" s="59"/>
      <x:c r="G42" s="59"/>
      <x:c r="H42" s="59"/>
      <x:c r="I42" s="59"/>
      <x:c r="J42" s="59"/>
      <x:c r="K42" s="59"/>
      <x:c r="L42" s="59"/>
      <x:c r="M42" s="59"/>
      <x:c r="N42" s="59"/>
      <x:c r="O42" s="59"/>
      <x:c r="P42" s="59"/>
      <x:c r="Q42" s="59"/>
      <x:c r="R42" s="59"/>
      <x:c r="S42" s="59"/>
      <x:c r="T42" s="59"/>
      <x:c r="U42" s="59"/>
      <x:c r="V42" s="59"/>
      <x:c r="W42" s="59"/>
      <x:c r="X42" s="59"/>
      <x:c r="Y42" s="59"/>
      <x:c r="Z42" s="59"/>
      <x:c r="AA42" s="59"/>
      <x:c r="AB42" s="59"/>
      <x:c r="AC42" s="59"/>
      <x:c r="AD42" s="59"/>
      <x:c r="AE42" s="59"/>
      <x:c r="AF42" s="59"/>
      <x:c r="AG42" s="59"/>
      <x:c r="AH42" s="59"/>
      <x:c r="AI42" s="59"/>
      <x:c r="AJ42" s="59"/>
      <x:c r="AK42" s="59"/>
      <x:c r="AL42" s="59"/>
      <x:c r="AM42" s="59"/>
      <x:c r="AN42" s="59"/>
    </x:row>
    <x:row r="43">
      <x:c r="A43" s="59"/>
      <x:c r="B43" s="59"/>
      <x:c r="C43" s="59"/>
      <x:c r="D43" s="59"/>
      <x:c r="E43" s="59"/>
      <x:c r="F43" s="59"/>
      <x:c r="G43" s="59"/>
      <x:c r="H43" s="59"/>
      <x:c r="I43" s="59"/>
      <x:c r="J43" s="59"/>
      <x:c r="K43" s="59"/>
      <x:c r="L43" s="59"/>
      <x:c r="M43" s="59"/>
      <x:c r="N43" s="59"/>
      <x:c r="O43" s="59"/>
      <x:c r="P43" s="59"/>
      <x:c r="Q43" s="59"/>
      <x:c r="R43" s="59"/>
      <x:c r="S43" s="59"/>
      <x:c r="T43" s="59"/>
      <x:c r="U43" s="59"/>
      <x:c r="V43" s="59"/>
      <x:c r="W43" s="59"/>
      <x:c r="X43" s="59"/>
      <x:c r="Y43" s="59"/>
      <x:c r="Z43" s="59"/>
      <x:c r="AA43" s="59"/>
      <x:c r="AB43" s="59"/>
      <x:c r="AC43" s="59"/>
      <x:c r="AD43" s="59"/>
      <x:c r="AE43" s="59"/>
      <x:c r="AF43" s="59"/>
      <x:c r="AG43" s="59"/>
      <x:c r="AH43" s="59"/>
      <x:c r="AI43" s="59"/>
      <x:c r="AJ43" s="59"/>
      <x:c r="AK43" s="59"/>
      <x:c r="AL43" s="59"/>
      <x:c r="AM43" s="59"/>
      <x:c r="AN43" s="59"/>
    </x:row>
    <x:row r="44">
      <x:c r="A44" s="59"/>
      <x:c r="B44" s="59"/>
      <x:c r="C44" s="59"/>
      <x:c r="D44" s="59"/>
      <x:c r="E44" s="59"/>
      <x:c r="F44" s="59"/>
      <x:c r="G44" s="59"/>
      <x:c r="H44" s="59"/>
      <x:c r="I44" s="59"/>
      <x:c r="J44" s="59"/>
      <x:c r="K44" s="59"/>
      <x:c r="L44" s="59"/>
      <x:c r="M44" s="59"/>
      <x:c r="N44" s="59"/>
      <x:c r="O44" s="59"/>
      <x:c r="P44" s="59"/>
      <x:c r="Q44" s="59"/>
      <x:c r="R44" s="59"/>
      <x:c r="S44" s="59"/>
      <x:c r="T44" s="59"/>
      <x:c r="U44" s="59"/>
      <x:c r="V44" s="59"/>
      <x:c r="W44" s="59"/>
      <x:c r="X44" s="59"/>
      <x:c r="Y44" s="59"/>
      <x:c r="Z44" s="59"/>
      <x:c r="AA44" s="59"/>
      <x:c r="AB44" s="59"/>
      <x:c r="AC44" s="59"/>
      <x:c r="AD44" s="59"/>
      <x:c r="AE44" s="59"/>
      <x:c r="AF44" s="59"/>
      <x:c r="AG44" s="59"/>
      <x:c r="AH44" s="59"/>
      <x:c r="AI44" s="59"/>
      <x:c r="AJ44" s="59"/>
      <x:c r="AK44" s="59"/>
      <x:c r="AL44" s="59"/>
      <x:c r="AM44" s="59"/>
      <x:c r="AN44" s="59"/>
    </x:row>
    <x:row r="45">
      <x:c r="A45" s="59"/>
      <x:c r="B45" s="59"/>
      <x:c r="C45" s="59"/>
      <x:c r="D45" s="59"/>
      <x:c r="E45" s="59"/>
      <x:c r="F45" s="59"/>
      <x:c r="G45" s="59"/>
      <x:c r="H45" s="59"/>
      <x:c r="I45" s="59"/>
      <x:c r="J45" s="59"/>
      <x:c r="K45" s="59"/>
      <x:c r="L45" s="59"/>
      <x:c r="M45" s="59"/>
      <x:c r="N45" s="59"/>
      <x:c r="O45" s="59"/>
      <x:c r="P45" s="59"/>
      <x:c r="Q45" s="59"/>
      <x:c r="R45" s="59"/>
      <x:c r="S45" s="59"/>
      <x:c r="T45" s="59"/>
      <x:c r="U45" s="59"/>
      <x:c r="V45" s="59"/>
      <x:c r="W45" s="59"/>
      <x:c r="X45" s="59"/>
      <x:c r="Y45" s="59"/>
      <x:c r="Z45" s="59"/>
      <x:c r="AA45" s="59"/>
      <x:c r="AB45" s="59"/>
      <x:c r="AC45" s="59"/>
      <x:c r="AD45" s="59"/>
      <x:c r="AE45" s="59"/>
      <x:c r="AF45" s="59"/>
      <x:c r="AG45" s="59"/>
      <x:c r="AH45" s="59"/>
      <x:c r="AI45" s="59"/>
      <x:c r="AJ45" s="59"/>
      <x:c r="AK45" s="59"/>
      <x:c r="AL45" s="59"/>
      <x:c r="AM45" s="59"/>
      <x:c r="AN45" s="59"/>
    </x:row>
    <x:row r="46">
      <x:c r="A46" s="59"/>
      <x:c r="B46" s="59"/>
      <x:c r="C46" s="59"/>
      <x:c r="D46" s="59"/>
      <x:c r="E46" s="59"/>
      <x:c r="F46" s="59"/>
      <x:c r="G46" s="59"/>
      <x:c r="H46" s="59"/>
      <x:c r="I46" s="59"/>
      <x:c r="J46" s="59"/>
      <x:c r="K46" s="59"/>
      <x:c r="L46" s="59"/>
      <x:c r="M46" s="59"/>
      <x:c r="N46" s="59"/>
      <x:c r="O46" s="59"/>
      <x:c r="P46" s="59"/>
      <x:c r="Q46" s="59"/>
      <x:c r="R46" s="59"/>
      <x:c r="S46" s="59"/>
      <x:c r="T46" s="59"/>
      <x:c r="U46" s="59"/>
      <x:c r="V46" s="59"/>
      <x:c r="W46" s="59"/>
      <x:c r="X46" s="59"/>
      <x:c r="Y46" s="59"/>
      <x:c r="Z46" s="59"/>
      <x:c r="AA46" s="59"/>
      <x:c r="AB46" s="59"/>
      <x:c r="AC46" s="59"/>
      <x:c r="AD46" s="59"/>
      <x:c r="AE46" s="59"/>
      <x:c r="AF46" s="59"/>
      <x:c r="AG46" s="59"/>
      <x:c r="AH46" s="59"/>
      <x:c r="AI46" s="59"/>
      <x:c r="AJ46" s="59"/>
      <x:c r="AK46" s="59"/>
      <x:c r="AL46" s="59"/>
      <x:c r="AM46" s="59"/>
      <x:c r="AN46" s="59"/>
    </x:row>
    <x:row r="47">
      <x:c r="A47" s="59"/>
      <x:c r="B47" s="59"/>
      <x:c r="C47" s="59"/>
      <x:c r="D47" s="59"/>
      <x:c r="E47" s="59"/>
      <x:c r="F47" s="59"/>
      <x:c r="G47" s="59"/>
      <x:c r="H47" s="59"/>
      <x:c r="I47" s="59"/>
      <x:c r="J47" s="59"/>
      <x:c r="K47" s="59"/>
      <x:c r="L47" s="59"/>
      <x:c r="M47" s="59"/>
      <x:c r="N47" s="59"/>
      <x:c r="O47" s="59"/>
      <x:c r="P47" s="59"/>
      <x:c r="Q47" s="59"/>
      <x:c r="R47" s="59"/>
      <x:c r="S47" s="59"/>
      <x:c r="T47" s="59"/>
      <x:c r="U47" s="59"/>
      <x:c r="V47" s="59"/>
      <x:c r="W47" s="59"/>
      <x:c r="X47" s="59"/>
      <x:c r="Y47" s="59"/>
      <x:c r="Z47" s="59"/>
      <x:c r="AA47" s="59"/>
      <x:c r="AB47" s="59"/>
      <x:c r="AC47" s="59"/>
      <x:c r="AD47" s="59"/>
      <x:c r="AE47" s="59"/>
      <x:c r="AF47" s="59"/>
      <x:c r="AG47" s="59"/>
      <x:c r="AH47" s="59"/>
      <x:c r="AI47" s="59"/>
      <x:c r="AJ47" s="59"/>
      <x:c r="AK47" s="59"/>
      <x:c r="AL47" s="59"/>
      <x:c r="AM47" s="59"/>
      <x:c r="AN47" s="59"/>
    </x:row>
    <x:row r="48">
      <x:c r="A48" s="59"/>
      <x:c r="B48" s="59"/>
      <x:c r="C48" s="59"/>
      <x:c r="D48" s="59"/>
      <x:c r="E48" s="59"/>
      <x:c r="F48" s="59"/>
      <x:c r="G48" s="59"/>
      <x:c r="H48" s="59"/>
      <x:c r="I48" s="59"/>
      <x:c r="J48" s="59"/>
      <x:c r="K48" s="59"/>
      <x:c r="L48" s="59"/>
      <x:c r="M48" s="59"/>
      <x:c r="N48" s="59"/>
      <x:c r="O48" s="59"/>
      <x:c r="P48" s="59"/>
      <x:c r="Q48" s="59"/>
      <x:c r="R48" s="59"/>
      <x:c r="S48" s="59"/>
      <x:c r="T48" s="59"/>
      <x:c r="U48" s="59"/>
      <x:c r="V48" s="59"/>
      <x:c r="W48" s="59"/>
      <x:c r="X48" s="59"/>
      <x:c r="Y48" s="59"/>
      <x:c r="Z48" s="59"/>
      <x:c r="AA48" s="59"/>
      <x:c r="AB48" s="59"/>
      <x:c r="AC48" s="59"/>
      <x:c r="AD48" s="59"/>
      <x:c r="AE48" s="59"/>
      <x:c r="AF48" s="59"/>
      <x:c r="AG48" s="59"/>
      <x:c r="AH48" s="59"/>
      <x:c r="AI48" s="59"/>
      <x:c r="AJ48" s="59"/>
      <x:c r="AK48" s="59"/>
      <x:c r="AL48" s="59"/>
      <x:c r="AM48" s="59"/>
      <x:c r="AN48" s="59"/>
    </x:row>
    <x:row r="49">
      <x:c r="A49" s="59"/>
      <x:c r="B49" s="59"/>
      <x:c r="C49" s="59"/>
      <x:c r="D49" s="59"/>
      <x:c r="E49" s="59"/>
      <x:c r="F49" s="59"/>
      <x:c r="G49" s="59"/>
      <x:c r="H49" s="59"/>
      <x:c r="I49" s="59"/>
      <x:c r="J49" s="59"/>
      <x:c r="K49" s="59"/>
      <x:c r="L49" s="59"/>
      <x:c r="M49" s="59"/>
      <x:c r="N49" s="59"/>
      <x:c r="O49" s="59"/>
      <x:c r="P49" s="59"/>
      <x:c r="Q49" s="59"/>
      <x:c r="R49" s="59"/>
      <x:c r="S49" s="59"/>
      <x:c r="T49" s="59"/>
      <x:c r="U49" s="59"/>
      <x:c r="V49" s="59"/>
      <x:c r="W49" s="59"/>
      <x:c r="X49" s="59"/>
      <x:c r="Y49" s="59"/>
      <x:c r="Z49" s="59"/>
      <x:c r="AA49" s="59"/>
      <x:c r="AB49" s="59"/>
      <x:c r="AC49" s="59"/>
      <x:c r="AD49" s="59"/>
      <x:c r="AE49" s="59"/>
      <x:c r="AF49" s="59"/>
      <x:c r="AG49" s="59"/>
      <x:c r="AH49" s="59"/>
      <x:c r="AI49" s="59"/>
      <x:c r="AJ49" s="59"/>
      <x:c r="AK49" s="59"/>
      <x:c r="AL49" s="59"/>
      <x:c r="AM49" s="59"/>
      <x:c r="AN49" s="59"/>
    </x:row>
    <x:row r="50">
      <x:c r="A50" s="59"/>
      <x:c r="B50" s="59"/>
      <x:c r="C50" s="59"/>
      <x:c r="D50" s="59"/>
      <x:c r="E50" s="59"/>
      <x:c r="F50" s="59"/>
      <x:c r="G50" s="59"/>
      <x:c r="H50" s="59"/>
      <x:c r="I50" s="59"/>
      <x:c r="J50" s="59"/>
      <x:c r="K50" s="59"/>
      <x:c r="L50" s="59"/>
      <x:c r="M50" s="59"/>
      <x:c r="N50" s="59"/>
      <x:c r="O50" s="59"/>
      <x:c r="P50" s="59"/>
      <x:c r="Q50" s="59"/>
      <x:c r="R50" s="59"/>
      <x:c r="S50" s="59"/>
      <x:c r="T50" s="59"/>
      <x:c r="U50" s="59"/>
      <x:c r="V50" s="59"/>
      <x:c r="W50" s="59"/>
      <x:c r="X50" s="59"/>
      <x:c r="Y50" s="59"/>
      <x:c r="Z50" s="59"/>
      <x:c r="AA50" s="59"/>
      <x:c r="AB50" s="59"/>
      <x:c r="AC50" s="59"/>
      <x:c r="AD50" s="59"/>
      <x:c r="AE50" s="59"/>
      <x:c r="AF50" s="59"/>
      <x:c r="AG50" s="59"/>
      <x:c r="AH50" s="59"/>
      <x:c r="AI50" s="59"/>
      <x:c r="AJ50" s="59"/>
      <x:c r="AK50" s="59"/>
      <x:c r="AL50" s="59"/>
      <x:c r="AM50" s="59"/>
      <x:c r="AN50" s="59"/>
    </x:row>
    <x:row r="51">
      <x:c r="A51" s="59"/>
      <x:c r="B51" s="59"/>
      <x:c r="C51" s="59"/>
      <x:c r="D51" s="59"/>
      <x:c r="E51" s="59"/>
      <x:c r="F51" s="59"/>
      <x:c r="G51" s="59"/>
      <x:c r="H51" s="59"/>
      <x:c r="I51" s="59"/>
      <x:c r="J51" s="59"/>
      <x:c r="K51" s="59"/>
      <x:c r="L51" s="59"/>
      <x:c r="M51" s="59"/>
      <x:c r="N51" s="59"/>
      <x:c r="O51" s="59"/>
      <x:c r="P51" s="59"/>
      <x:c r="Q51" s="59"/>
      <x:c r="R51" s="59"/>
      <x:c r="S51" s="59"/>
      <x:c r="T51" s="59"/>
      <x:c r="U51" s="59"/>
      <x:c r="V51" s="59"/>
      <x:c r="W51" s="59"/>
      <x:c r="X51" s="59"/>
      <x:c r="Y51" s="59"/>
      <x:c r="Z51" s="59"/>
      <x:c r="AA51" s="59"/>
      <x:c r="AB51" s="59"/>
      <x:c r="AC51" s="59"/>
      <x:c r="AD51" s="59"/>
      <x:c r="AE51" s="59"/>
      <x:c r="AF51" s="59"/>
      <x:c r="AG51" s="59"/>
      <x:c r="AH51" s="59"/>
      <x:c r="AI51" s="59"/>
      <x:c r="AJ51" s="59"/>
      <x:c r="AK51" s="59"/>
      <x:c r="AL51" s="59"/>
      <x:c r="AM51" s="59"/>
      <x:c r="AN51" s="59"/>
    </x:row>
    <x:row r="52">
      <x:c r="A52" s="59"/>
      <x:c r="B52" s="59"/>
      <x:c r="C52" s="59"/>
      <x:c r="D52" s="59"/>
      <x:c r="E52" s="59"/>
      <x:c r="F52" s="59"/>
      <x:c r="G52" s="59"/>
      <x:c r="H52" s="59"/>
      <x:c r="I52" s="59"/>
      <x:c r="J52" s="59"/>
      <x:c r="K52" s="59"/>
      <x:c r="L52" s="59"/>
      <x:c r="M52" s="59"/>
      <x:c r="N52" s="59"/>
      <x:c r="O52" s="59"/>
      <x:c r="P52" s="59"/>
      <x:c r="Q52" s="59"/>
      <x:c r="R52" s="59"/>
      <x:c r="S52" s="59"/>
      <x:c r="T52" s="59"/>
      <x:c r="U52" s="59"/>
      <x:c r="V52" s="59"/>
      <x:c r="W52" s="59"/>
      <x:c r="X52" s="59"/>
      <x:c r="Y52" s="59"/>
      <x:c r="Z52" s="59"/>
      <x:c r="AA52" s="59"/>
      <x:c r="AB52" s="59"/>
      <x:c r="AC52" s="59"/>
      <x:c r="AD52" s="59"/>
      <x:c r="AE52" s="59"/>
      <x:c r="AF52" s="59"/>
      <x:c r="AG52" s="59"/>
      <x:c r="AH52" s="59"/>
      <x:c r="AI52" s="59"/>
      <x:c r="AJ52" s="59"/>
      <x:c r="AK52" s="59"/>
      <x:c r="AL52" s="59"/>
      <x:c r="AM52" s="59"/>
      <x:c r="AN52" s="59"/>
    </x:row>
    <x:row r="53">
      <x:c r="A53" s="59"/>
      <x:c r="B53" s="59"/>
      <x:c r="C53" s="59"/>
      <x:c r="D53" s="59"/>
      <x:c r="E53" s="59"/>
      <x:c r="F53" s="59"/>
      <x:c r="G53" s="59"/>
      <x:c r="H53" s="59"/>
      <x:c r="I53" s="59"/>
      <x:c r="J53" s="59"/>
      <x:c r="K53" s="59"/>
      <x:c r="L53" s="59"/>
      <x:c r="M53" s="59"/>
      <x:c r="N53" s="59"/>
      <x:c r="O53" s="59"/>
      <x:c r="P53" s="59"/>
      <x:c r="Q53" s="59"/>
      <x:c r="R53" s="59"/>
      <x:c r="S53" s="59"/>
      <x:c r="T53" s="59"/>
      <x:c r="U53" s="59"/>
      <x:c r="V53" s="59"/>
      <x:c r="W53" s="59"/>
      <x:c r="X53" s="59"/>
      <x:c r="Y53" s="59"/>
      <x:c r="Z53" s="59"/>
      <x:c r="AA53" s="59"/>
      <x:c r="AB53" s="59"/>
      <x:c r="AC53" s="59"/>
      <x:c r="AD53" s="59"/>
      <x:c r="AE53" s="59"/>
      <x:c r="AF53" s="59"/>
      <x:c r="AG53" s="59"/>
      <x:c r="AH53" s="59"/>
      <x:c r="AI53" s="59"/>
      <x:c r="AJ53" s="59"/>
      <x:c r="AK53" s="59"/>
      <x:c r="AL53" s="59"/>
      <x:c r="AM53" s="59"/>
      <x:c r="AN53" s="59"/>
    </x:row>
    <x:row r="54">
      <x:c r="A54" s="59"/>
      <x:c r="B54" s="59"/>
      <x:c r="C54" s="59"/>
      <x:c r="D54" s="59"/>
      <x:c r="E54" s="59"/>
      <x:c r="F54" s="59"/>
      <x:c r="G54" s="59"/>
      <x:c r="H54" s="59"/>
      <x:c r="I54" s="59"/>
      <x:c r="J54" s="59"/>
      <x:c r="K54" s="59"/>
      <x:c r="L54" s="59"/>
      <x:c r="M54" s="59"/>
      <x:c r="N54" s="59"/>
      <x:c r="O54" s="59"/>
      <x:c r="P54" s="59"/>
      <x:c r="Q54" s="59"/>
      <x:c r="R54" s="59"/>
      <x:c r="S54" s="59"/>
      <x:c r="T54" s="59"/>
      <x:c r="U54" s="59"/>
      <x:c r="V54" s="59"/>
      <x:c r="W54" s="59"/>
      <x:c r="X54" s="59"/>
      <x:c r="Y54" s="59"/>
      <x:c r="Z54" s="59"/>
      <x:c r="AA54" s="59"/>
      <x:c r="AB54" s="59"/>
      <x:c r="AC54" s="59"/>
      <x:c r="AD54" s="59"/>
      <x:c r="AE54" s="59"/>
      <x:c r="AF54" s="59"/>
      <x:c r="AG54" s="59"/>
      <x:c r="AH54" s="59"/>
      <x:c r="AI54" s="59"/>
      <x:c r="AJ54" s="59"/>
      <x:c r="AK54" s="59"/>
      <x:c r="AL54" s="59"/>
      <x:c r="AM54" s="59"/>
      <x:c r="AN54" s="59"/>
    </x:row>
    <x:row r="55">
      <x:c r="A55" s="59"/>
      <x:c r="B55" s="59"/>
      <x:c r="C55" s="59"/>
      <x:c r="D55" s="59"/>
      <x:c r="E55" s="59"/>
      <x:c r="F55" s="59"/>
      <x:c r="G55" s="59"/>
      <x:c r="H55" s="59"/>
      <x:c r="I55" s="59"/>
      <x:c r="J55" s="59"/>
      <x:c r="K55" s="59"/>
      <x:c r="L55" s="59"/>
      <x:c r="M55" s="59"/>
      <x:c r="N55" s="59"/>
      <x:c r="O55" s="59"/>
      <x:c r="P55" s="59"/>
      <x:c r="Q55" s="59"/>
      <x:c r="R55" s="59"/>
      <x:c r="S55" s="59"/>
      <x:c r="T55" s="59"/>
      <x:c r="U55" s="59"/>
      <x:c r="V55" s="59"/>
      <x:c r="W55" s="59"/>
      <x:c r="X55" s="59"/>
      <x:c r="Y55" s="59"/>
      <x:c r="Z55" s="59"/>
      <x:c r="AA55" s="59"/>
      <x:c r="AB55" s="59"/>
      <x:c r="AC55" s="59"/>
      <x:c r="AD55" s="59"/>
      <x:c r="AE55" s="59"/>
      <x:c r="AF55" s="59"/>
      <x:c r="AG55" s="59"/>
      <x:c r="AH55" s="59"/>
      <x:c r="AI55" s="59"/>
      <x:c r="AJ55" s="59"/>
      <x:c r="AK55" s="59"/>
      <x:c r="AL55" s="59"/>
      <x:c r="AM55" s="59"/>
      <x:c r="AN55" s="59"/>
    </x:row>
    <x:row r="56">
      <x:c r="A56" s="59"/>
      <x:c r="B56" s="59"/>
      <x:c r="C56" s="59"/>
      <x:c r="D56" s="59"/>
      <x:c r="E56" s="59"/>
      <x:c r="F56" s="59"/>
      <x:c r="G56" s="59"/>
      <x:c r="H56" s="59"/>
      <x:c r="I56" s="59"/>
      <x:c r="J56" s="59"/>
      <x:c r="K56" s="59"/>
      <x:c r="L56" s="59"/>
      <x:c r="M56" s="59"/>
      <x:c r="N56" s="59"/>
      <x:c r="O56" s="59"/>
      <x:c r="P56" s="59"/>
      <x:c r="Q56" s="59"/>
      <x:c r="R56" s="59"/>
      <x:c r="S56" s="59"/>
      <x:c r="T56" s="59"/>
      <x:c r="U56" s="59"/>
      <x:c r="V56" s="59"/>
      <x:c r="W56" s="59"/>
      <x:c r="X56" s="59"/>
      <x:c r="Y56" s="59"/>
      <x:c r="Z56" s="59"/>
      <x:c r="AA56" s="59"/>
      <x:c r="AB56" s="59"/>
      <x:c r="AC56" s="59"/>
      <x:c r="AD56" s="59"/>
      <x:c r="AE56" s="59"/>
      <x:c r="AF56" s="59"/>
      <x:c r="AG56" s="59"/>
      <x:c r="AH56" s="59"/>
      <x:c r="AI56" s="59"/>
      <x:c r="AJ56" s="59"/>
      <x:c r="AK56" s="59"/>
      <x:c r="AL56" s="59"/>
      <x:c r="AM56" s="59"/>
      <x:c r="AN56" s="59"/>
    </x:row>
    <x:row r="57">
      <x:c r="A57" s="59"/>
      <x:c r="B57" s="59"/>
      <x:c r="C57" s="59"/>
      <x:c r="D57" s="59"/>
      <x:c r="E57" s="59"/>
      <x:c r="F57" s="59"/>
      <x:c r="G57" s="59"/>
      <x:c r="H57" s="59"/>
      <x:c r="I57" s="59"/>
      <x:c r="J57" s="59"/>
      <x:c r="K57" s="59"/>
      <x:c r="L57" s="59"/>
      <x:c r="M57" s="59"/>
      <x:c r="N57" s="59"/>
      <x:c r="O57" s="59"/>
      <x:c r="P57" s="59"/>
      <x:c r="Q57" s="59"/>
      <x:c r="R57" s="59"/>
      <x:c r="S57" s="59"/>
      <x:c r="T57" s="59"/>
      <x:c r="U57" s="59"/>
      <x:c r="V57" s="59"/>
      <x:c r="W57" s="59"/>
      <x:c r="X57" s="59"/>
      <x:c r="Y57" s="59"/>
      <x:c r="Z57" s="59"/>
      <x:c r="AA57" s="59"/>
      <x:c r="AB57" s="59"/>
      <x:c r="AC57" s="59"/>
      <x:c r="AD57" s="59"/>
      <x:c r="AE57" s="59"/>
      <x:c r="AF57" s="59"/>
      <x:c r="AG57" s="59"/>
      <x:c r="AH57" s="59"/>
      <x:c r="AI57" s="59"/>
      <x:c r="AJ57" s="59"/>
      <x:c r="AK57" s="59"/>
      <x:c r="AL57" s="59"/>
      <x:c r="AM57" s="59"/>
      <x:c r="AN57" s="59"/>
    </x:row>
    <x:row r="58">
      <x:c r="A58" s="59"/>
      <x:c r="B58" s="59"/>
      <x:c r="C58" s="59"/>
      <x:c r="D58" s="59"/>
      <x:c r="E58" s="59"/>
      <x:c r="F58" s="59"/>
      <x:c r="G58" s="59"/>
      <x:c r="H58" s="59"/>
      <x:c r="I58" s="59"/>
      <x:c r="J58" s="59"/>
      <x:c r="K58" s="59"/>
      <x:c r="L58" s="59"/>
      <x:c r="M58" s="59"/>
      <x:c r="N58" s="59"/>
      <x:c r="O58" s="59"/>
      <x:c r="P58" s="59"/>
      <x:c r="Q58" s="59"/>
      <x:c r="R58" s="59"/>
      <x:c r="S58" s="59"/>
      <x:c r="T58" s="59"/>
      <x:c r="U58" s="59"/>
      <x:c r="V58" s="59"/>
      <x:c r="W58" s="59"/>
      <x:c r="X58" s="59"/>
      <x:c r="Y58" s="59"/>
      <x:c r="Z58" s="59"/>
      <x:c r="AA58" s="59"/>
      <x:c r="AB58" s="59"/>
      <x:c r="AC58" s="59"/>
      <x:c r="AD58" s="59"/>
      <x:c r="AE58" s="59"/>
      <x:c r="AF58" s="59"/>
      <x:c r="AG58" s="59"/>
      <x:c r="AH58" s="59"/>
      <x:c r="AI58" s="59"/>
      <x:c r="AJ58" s="59"/>
      <x:c r="AK58" s="59"/>
      <x:c r="AL58" s="59"/>
      <x:c r="AM58" s="59"/>
      <x:c r="AN58" s="59"/>
    </x:row>
    <x:row r="59">
      <x:c r="A59" s="59"/>
      <x:c r="B59" s="59"/>
      <x:c r="C59" s="59"/>
      <x:c r="D59" s="59"/>
      <x:c r="E59" s="59"/>
      <x:c r="F59" s="59"/>
      <x:c r="G59" s="59"/>
      <x:c r="H59" s="59"/>
      <x:c r="I59" s="59"/>
      <x:c r="J59" s="59"/>
      <x:c r="K59" s="59"/>
      <x:c r="L59" s="59"/>
      <x:c r="M59" s="59"/>
      <x:c r="N59" s="59"/>
      <x:c r="O59" s="59"/>
      <x:c r="P59" s="59"/>
      <x:c r="Q59" s="59"/>
      <x:c r="R59" s="59"/>
      <x:c r="S59" s="59"/>
      <x:c r="T59" s="59"/>
      <x:c r="U59" s="59"/>
      <x:c r="V59" s="59"/>
      <x:c r="W59" s="59"/>
      <x:c r="X59" s="59"/>
      <x:c r="Y59" s="59"/>
      <x:c r="Z59" s="59"/>
      <x:c r="AA59" s="59"/>
      <x:c r="AB59" s="59"/>
      <x:c r="AC59" s="59"/>
      <x:c r="AD59" s="59"/>
      <x:c r="AE59" s="59"/>
      <x:c r="AF59" s="59"/>
      <x:c r="AG59" s="59"/>
      <x:c r="AH59" s="59"/>
      <x:c r="AI59" s="59"/>
      <x:c r="AJ59" s="59"/>
      <x:c r="AK59" s="59"/>
      <x:c r="AL59" s="59"/>
      <x:c r="AM59" s="59"/>
      <x:c r="AN59" s="59"/>
    </x:row>
    <x:row r="60">
      <x:c r="A60" s="59"/>
      <x:c r="B60" s="59"/>
      <x:c r="C60" s="59"/>
      <x:c r="D60" s="59"/>
      <x:c r="E60" s="59"/>
      <x:c r="F60" s="59"/>
      <x:c r="G60" s="59"/>
      <x:c r="H60" s="59"/>
      <x:c r="I60" s="59"/>
      <x:c r="J60" s="59"/>
      <x:c r="K60" s="59"/>
      <x:c r="L60" s="59"/>
      <x:c r="M60" s="59"/>
      <x:c r="N60" s="59"/>
      <x:c r="O60" s="59"/>
      <x:c r="P60" s="59"/>
      <x:c r="Q60" s="59"/>
      <x:c r="R60" s="59"/>
      <x:c r="S60" s="59"/>
      <x:c r="T60" s="59"/>
      <x:c r="U60" s="59"/>
      <x:c r="V60" s="59"/>
      <x:c r="W60" s="59"/>
      <x:c r="X60" s="59"/>
      <x:c r="Y60" s="59"/>
      <x:c r="Z60" s="59"/>
      <x:c r="AA60" s="59"/>
      <x:c r="AB60" s="59"/>
      <x:c r="AC60" s="59"/>
      <x:c r="AD60" s="59"/>
      <x:c r="AE60" s="59"/>
      <x:c r="AF60" s="59"/>
      <x:c r="AG60" s="59"/>
      <x:c r="AH60" s="59"/>
      <x:c r="AI60" s="59"/>
      <x:c r="AJ60" s="59"/>
      <x:c r="AK60" s="59"/>
      <x:c r="AL60" s="59"/>
      <x:c r="AM60" s="59"/>
      <x:c r="AN60" s="59"/>
    </x:row>
    <x:row r="61">
      <x:c r="A61" s="59"/>
      <x:c r="B61" s="59"/>
      <x:c r="C61" s="59"/>
      <x:c r="D61" s="59"/>
      <x:c r="E61" s="59"/>
      <x:c r="F61" s="59"/>
      <x:c r="G61" s="59"/>
      <x:c r="H61" s="59"/>
      <x:c r="I61" s="59"/>
      <x:c r="J61" s="59"/>
      <x:c r="K61" s="59"/>
      <x:c r="L61" s="59"/>
      <x:c r="M61" s="59"/>
      <x:c r="N61" s="59"/>
      <x:c r="O61" s="59"/>
      <x:c r="P61" s="59"/>
      <x:c r="Q61" s="59"/>
      <x:c r="R61" s="59"/>
      <x:c r="S61" s="59"/>
      <x:c r="T61" s="59"/>
      <x:c r="U61" s="59"/>
      <x:c r="V61" s="59"/>
      <x:c r="W61" s="59"/>
      <x:c r="X61" s="59"/>
      <x:c r="Y61" s="59"/>
      <x:c r="Z61" s="59"/>
      <x:c r="AA61" s="59"/>
      <x:c r="AB61" s="59"/>
      <x:c r="AC61" s="59"/>
      <x:c r="AD61" s="59"/>
      <x:c r="AE61" s="59"/>
      <x:c r="AF61" s="59"/>
      <x:c r="AG61" s="59"/>
      <x:c r="AH61" s="59"/>
      <x:c r="AI61" s="59"/>
      <x:c r="AJ61" s="59"/>
      <x:c r="AK61" s="59"/>
      <x:c r="AL61" s="59"/>
      <x:c r="AM61" s="59"/>
      <x:c r="AN61" s="59"/>
    </x:row>
    <x:row r="62">
      <x:c r="A62" s="59"/>
      <x:c r="B62" s="59"/>
      <x:c r="C62" s="59"/>
      <x:c r="D62" s="59"/>
      <x:c r="E62" s="59"/>
      <x:c r="F62" s="59"/>
      <x:c r="G62" s="59"/>
      <x:c r="H62" s="59"/>
      <x:c r="I62" s="59"/>
      <x:c r="J62" s="59"/>
      <x:c r="K62" s="59"/>
      <x:c r="L62" s="59"/>
      <x:c r="M62" s="59"/>
      <x:c r="N62" s="59"/>
      <x:c r="O62" s="59"/>
      <x:c r="P62" s="59"/>
      <x:c r="Q62" s="59"/>
      <x:c r="R62" s="59"/>
      <x:c r="S62" s="59"/>
      <x:c r="T62" s="59"/>
      <x:c r="U62" s="59"/>
      <x:c r="V62" s="59"/>
      <x:c r="W62" s="59"/>
      <x:c r="X62" s="59"/>
      <x:c r="Y62" s="59"/>
      <x:c r="Z62" s="59"/>
      <x:c r="AA62" s="59"/>
      <x:c r="AB62" s="59"/>
      <x:c r="AC62" s="59"/>
      <x:c r="AD62" s="59"/>
      <x:c r="AE62" s="59"/>
      <x:c r="AF62" s="59"/>
      <x:c r="AG62" s="59"/>
      <x:c r="AH62" s="59"/>
      <x:c r="AI62" s="59"/>
      <x:c r="AJ62" s="59"/>
      <x:c r="AK62" s="59"/>
      <x:c r="AL62" s="59"/>
      <x:c r="AM62" s="59"/>
      <x:c r="AN62" s="59"/>
    </x:row>
    <x:row r="63">
      <x:c r="A63" s="59"/>
      <x:c r="B63" s="59"/>
      <x:c r="C63" s="59"/>
      <x:c r="D63" s="59"/>
      <x:c r="E63" s="59"/>
      <x:c r="F63" s="59"/>
      <x:c r="G63" s="59"/>
      <x:c r="H63" s="59"/>
      <x:c r="I63" s="59"/>
      <x:c r="J63" s="59"/>
      <x:c r="K63" s="59"/>
      <x:c r="L63" s="59"/>
      <x:c r="M63" s="59"/>
      <x:c r="N63" s="59"/>
      <x:c r="O63" s="59"/>
      <x:c r="P63" s="59"/>
      <x:c r="Q63" s="59"/>
      <x:c r="R63" s="59"/>
      <x:c r="S63" s="59"/>
      <x:c r="T63" s="59"/>
      <x:c r="U63" s="59"/>
      <x:c r="V63" s="59"/>
      <x:c r="W63" s="59"/>
      <x:c r="X63" s="59"/>
      <x:c r="Y63" s="59"/>
      <x:c r="Z63" s="59"/>
      <x:c r="AA63" s="59"/>
      <x:c r="AB63" s="59"/>
      <x:c r="AC63" s="59"/>
      <x:c r="AD63" s="59"/>
      <x:c r="AE63" s="59"/>
      <x:c r="AF63" s="59"/>
      <x:c r="AG63" s="59"/>
      <x:c r="AH63" s="59"/>
      <x:c r="AI63" s="59"/>
      <x:c r="AJ63" s="59"/>
      <x:c r="AK63" s="59"/>
      <x:c r="AL63" s="59"/>
      <x:c r="AM63" s="59"/>
      <x:c r="AN63" s="59"/>
    </x:row>
    <x:row r="64">
      <x:c r="A64" s="59"/>
      <x:c r="B64" s="59"/>
      <x:c r="C64" s="59"/>
      <x:c r="D64" s="59"/>
      <x:c r="E64" s="59"/>
      <x:c r="F64" s="59"/>
      <x:c r="G64" s="59"/>
      <x:c r="H64" s="59"/>
      <x:c r="I64" s="59"/>
      <x:c r="J64" s="59"/>
      <x:c r="K64" s="59"/>
      <x:c r="L64" s="59"/>
      <x:c r="M64" s="59"/>
      <x:c r="N64" s="59"/>
      <x:c r="O64" s="59"/>
      <x:c r="P64" s="59"/>
      <x:c r="Q64" s="59"/>
      <x:c r="R64" s="59"/>
      <x:c r="S64" s="59"/>
      <x:c r="T64" s="59"/>
      <x:c r="U64" s="59"/>
      <x:c r="V64" s="59"/>
      <x:c r="W64" s="59"/>
      <x:c r="X64" s="59"/>
      <x:c r="Y64" s="59"/>
      <x:c r="Z64" s="59"/>
      <x:c r="AA64" s="59"/>
      <x:c r="AB64" s="59"/>
      <x:c r="AC64" s="59"/>
      <x:c r="AD64" s="59"/>
      <x:c r="AE64" s="59"/>
      <x:c r="AF64" s="59"/>
      <x:c r="AG64" s="59"/>
      <x:c r="AH64" s="59"/>
      <x:c r="AI64" s="59"/>
      <x:c r="AJ64" s="59"/>
      <x:c r="AK64" s="59"/>
      <x:c r="AL64" s="59"/>
      <x:c r="AM64" s="59"/>
      <x:c r="AN64" s="59"/>
    </x:row>
    <x:row r="65">
      <x:c r="A65" s="59"/>
      <x:c r="B65" s="59"/>
      <x:c r="C65" s="59"/>
      <x:c r="D65" s="59"/>
      <x:c r="E65" s="59"/>
      <x:c r="F65" s="59"/>
      <x:c r="G65" s="59"/>
      <x:c r="H65" s="59"/>
      <x:c r="I65" s="59"/>
      <x:c r="J65" s="59"/>
      <x:c r="K65" s="59"/>
      <x:c r="L65" s="59"/>
      <x:c r="M65" s="59"/>
      <x:c r="N65" s="59"/>
      <x:c r="O65" s="59"/>
      <x:c r="P65" s="59"/>
      <x:c r="Q65" s="59"/>
      <x:c r="R65" s="59"/>
      <x:c r="S65" s="59"/>
      <x:c r="T65" s="59"/>
      <x:c r="U65" s="59"/>
      <x:c r="V65" s="59"/>
      <x:c r="W65" s="59"/>
      <x:c r="X65" s="59"/>
      <x:c r="Y65" s="59"/>
      <x:c r="Z65" s="59"/>
      <x:c r="AA65" s="59"/>
      <x:c r="AB65" s="59"/>
      <x:c r="AC65" s="59"/>
      <x:c r="AD65" s="59"/>
      <x:c r="AE65" s="59"/>
      <x:c r="AF65" s="59"/>
      <x:c r="AG65" s="59"/>
      <x:c r="AH65" s="59"/>
      <x:c r="AI65" s="59"/>
      <x:c r="AJ65" s="59"/>
      <x:c r="AK65" s="59"/>
      <x:c r="AL65" s="59"/>
      <x:c r="AM65" s="59"/>
      <x:c r="AN65" s="59"/>
    </x:row>
    <x:row r="66">
      <x:c r="A66" s="59"/>
      <x:c r="B66" s="59"/>
      <x:c r="C66" s="59"/>
      <x:c r="D66" s="59"/>
      <x:c r="E66" s="59"/>
      <x:c r="F66" s="59"/>
      <x:c r="G66" s="59"/>
      <x:c r="H66" s="59"/>
      <x:c r="I66" s="59"/>
      <x:c r="J66" s="59"/>
      <x:c r="K66" s="59"/>
      <x:c r="L66" s="59"/>
      <x:c r="M66" s="59"/>
      <x:c r="N66" s="59"/>
      <x:c r="O66" s="59"/>
      <x:c r="P66" s="59"/>
      <x:c r="Q66" s="59"/>
      <x:c r="R66" s="59"/>
      <x:c r="S66" s="59"/>
      <x:c r="T66" s="59"/>
      <x:c r="U66" s="59"/>
      <x:c r="V66" s="59"/>
      <x:c r="W66" s="59"/>
      <x:c r="X66" s="59"/>
      <x:c r="Y66" s="59"/>
      <x:c r="Z66" s="59"/>
      <x:c r="AA66" s="59"/>
      <x:c r="AB66" s="59"/>
      <x:c r="AC66" s="59"/>
      <x:c r="AD66" s="59"/>
      <x:c r="AE66" s="59"/>
      <x:c r="AF66" s="59"/>
      <x:c r="AG66" s="59"/>
      <x:c r="AH66" s="59"/>
      <x:c r="AI66" s="59"/>
      <x:c r="AJ66" s="59"/>
      <x:c r="AK66" s="59"/>
      <x:c r="AL66" s="59"/>
      <x:c r="AM66" s="59"/>
      <x:c r="AN66" s="59"/>
    </x:row>
    <x:row r="67">
      <x:c r="A67" s="59"/>
      <x:c r="B67" s="59"/>
      <x:c r="C67" s="59"/>
      <x:c r="D67" s="59"/>
      <x:c r="E67" s="59"/>
      <x:c r="F67" s="59"/>
      <x:c r="G67" s="59"/>
      <x:c r="H67" s="59"/>
      <x:c r="I67" s="59"/>
      <x:c r="J67" s="59"/>
      <x:c r="K67" s="59"/>
      <x:c r="L67" s="59"/>
      <x:c r="M67" s="59"/>
      <x:c r="N67" s="59"/>
      <x:c r="O67" s="59"/>
      <x:c r="P67" s="59"/>
      <x:c r="Q67" s="59"/>
      <x:c r="R67" s="59"/>
      <x:c r="S67" s="59"/>
      <x:c r="T67" s="59"/>
      <x:c r="U67" s="59"/>
      <x:c r="V67" s="59"/>
      <x:c r="W67" s="59"/>
      <x:c r="X67" s="59"/>
      <x:c r="Y67" s="59"/>
      <x:c r="Z67" s="59"/>
      <x:c r="AA67" s="59"/>
      <x:c r="AB67" s="59"/>
      <x:c r="AC67" s="59"/>
      <x:c r="AD67" s="59"/>
      <x:c r="AE67" s="59"/>
      <x:c r="AF67" s="59"/>
      <x:c r="AG67" s="59"/>
      <x:c r="AH67" s="59"/>
      <x:c r="AI67" s="59"/>
      <x:c r="AJ67" s="59"/>
      <x:c r="AK67" s="59"/>
      <x:c r="AL67" s="59"/>
      <x:c r="AM67" s="59"/>
      <x:c r="AN67" s="59"/>
    </x:row>
    <x:row r="68">
      <x:c r="A68" s="59"/>
      <x:c r="B68" s="59"/>
      <x:c r="C68" s="59"/>
      <x:c r="D68" s="59"/>
      <x:c r="E68" s="59"/>
      <x:c r="F68" s="59"/>
      <x:c r="G68" s="59"/>
      <x:c r="H68" s="59"/>
      <x:c r="I68" s="59"/>
      <x:c r="J68" s="59"/>
      <x:c r="K68" s="59"/>
      <x:c r="L68" s="59"/>
      <x:c r="M68" s="59"/>
      <x:c r="N68" s="59"/>
      <x:c r="O68" s="59"/>
      <x:c r="P68" s="59"/>
      <x:c r="Q68" s="59"/>
      <x:c r="R68" s="59"/>
      <x:c r="S68" s="59"/>
      <x:c r="T68" s="59"/>
      <x:c r="U68" s="59"/>
      <x:c r="V68" s="59"/>
      <x:c r="W68" s="59"/>
      <x:c r="X68" s="59"/>
      <x:c r="Y68" s="59"/>
      <x:c r="Z68" s="59"/>
      <x:c r="AA68" s="59"/>
      <x:c r="AB68" s="59"/>
      <x:c r="AC68" s="59"/>
      <x:c r="AD68" s="59"/>
      <x:c r="AE68" s="59"/>
      <x:c r="AF68" s="59"/>
      <x:c r="AG68" s="59"/>
      <x:c r="AH68" s="59"/>
      <x:c r="AI68" s="59"/>
      <x:c r="AJ68" s="59"/>
      <x:c r="AK68" s="59"/>
      <x:c r="AL68" s="59"/>
      <x:c r="AM68" s="59"/>
      <x:c r="AN68" s="59"/>
    </x:row>
    <x:row r="69">
      <x:c r="A69" s="59"/>
      <x:c r="B69" s="59"/>
      <x:c r="C69" s="59"/>
      <x:c r="D69" s="59"/>
      <x:c r="E69" s="59"/>
      <x:c r="F69" s="59"/>
      <x:c r="G69" s="59"/>
      <x:c r="H69" s="59"/>
      <x:c r="I69" s="59"/>
      <x:c r="J69" s="59"/>
      <x:c r="K69" s="59"/>
      <x:c r="L69" s="59"/>
      <x:c r="M69" s="59"/>
      <x:c r="N69" s="59"/>
      <x:c r="O69" s="59"/>
      <x:c r="P69" s="59"/>
      <x:c r="Q69" s="59"/>
      <x:c r="R69" s="59"/>
      <x:c r="S69" s="59"/>
      <x:c r="T69" s="59"/>
      <x:c r="U69" s="59"/>
      <x:c r="V69" s="59"/>
      <x:c r="W69" s="59"/>
      <x:c r="X69" s="59"/>
      <x:c r="Y69" s="59"/>
      <x:c r="Z69" s="59"/>
      <x:c r="AA69" s="59"/>
      <x:c r="AB69" s="59"/>
      <x:c r="AC69" s="59"/>
      <x:c r="AD69" s="59"/>
      <x:c r="AE69" s="59"/>
      <x:c r="AF69" s="59"/>
      <x:c r="AG69" s="59"/>
      <x:c r="AH69" s="59"/>
      <x:c r="AI69" s="59"/>
      <x:c r="AJ69" s="59"/>
      <x:c r="AK69" s="59"/>
      <x:c r="AL69" s="59"/>
      <x:c r="AM69" s="59"/>
      <x:c r="AN69" s="59"/>
    </x:row>
    <x:row r="70">
      <x:c r="A70" s="59"/>
      <x:c r="B70" s="59"/>
      <x:c r="C70" s="59"/>
      <x:c r="D70" s="59"/>
      <x:c r="E70" s="59"/>
      <x:c r="F70" s="59"/>
      <x:c r="G70" s="59"/>
      <x:c r="H70" s="59"/>
      <x:c r="I70" s="59"/>
      <x:c r="J70" s="59"/>
      <x:c r="K70" s="59"/>
      <x:c r="L70" s="59"/>
      <x:c r="M70" s="59"/>
      <x:c r="N70" s="59"/>
      <x:c r="O70" s="59"/>
      <x:c r="P70" s="59"/>
      <x:c r="Q70" s="59"/>
      <x:c r="R70" s="59"/>
      <x:c r="S70" s="59"/>
      <x:c r="T70" s="59"/>
      <x:c r="U70" s="59"/>
      <x:c r="V70" s="59"/>
      <x:c r="W70" s="59"/>
      <x:c r="X70" s="59"/>
      <x:c r="Y70" s="59"/>
      <x:c r="Z70" s="59"/>
      <x:c r="AA70" s="59"/>
      <x:c r="AB70" s="59"/>
      <x:c r="AC70" s="59"/>
      <x:c r="AD70" s="59"/>
      <x:c r="AE70" s="59"/>
      <x:c r="AF70" s="59"/>
      <x:c r="AG70" s="59"/>
      <x:c r="AH70" s="59"/>
      <x:c r="AI70" s="59"/>
      <x:c r="AJ70" s="59"/>
      <x:c r="AK70" s="59"/>
      <x:c r="AL70" s="59"/>
      <x:c r="AM70" s="59"/>
      <x:c r="AN70" s="59"/>
    </x:row>
    <x:row r="71">
      <x:c r="A71" s="59"/>
      <x:c r="B71" s="59"/>
      <x:c r="C71" s="59"/>
      <x:c r="D71" s="59"/>
      <x:c r="E71" s="59"/>
      <x:c r="F71" s="59"/>
      <x:c r="G71" s="59"/>
      <x:c r="H71" s="59"/>
      <x:c r="I71" s="59"/>
      <x:c r="J71" s="59"/>
      <x:c r="K71" s="59"/>
      <x:c r="L71" s="59"/>
      <x:c r="M71" s="59"/>
      <x:c r="N71" s="59"/>
      <x:c r="O71" s="59"/>
      <x:c r="P71" s="59"/>
      <x:c r="Q71" s="59"/>
      <x:c r="R71" s="59"/>
      <x:c r="S71" s="59"/>
      <x:c r="T71" s="59"/>
      <x:c r="U71" s="59"/>
      <x:c r="V71" s="59"/>
      <x:c r="W71" s="59"/>
      <x:c r="X71" s="59"/>
      <x:c r="Y71" s="59"/>
      <x:c r="Z71" s="59"/>
      <x:c r="AA71" s="59"/>
      <x:c r="AB71" s="59"/>
      <x:c r="AC71" s="59"/>
      <x:c r="AD71" s="59"/>
      <x:c r="AE71" s="59"/>
      <x:c r="AF71" s="59"/>
      <x:c r="AG71" s="59"/>
      <x:c r="AH71" s="59"/>
      <x:c r="AI71" s="59"/>
      <x:c r="AJ71" s="59"/>
      <x:c r="AK71" s="59"/>
      <x:c r="AL71" s="59"/>
      <x:c r="AM71" s="59"/>
      <x:c r="AN71" s="59"/>
    </x:row>
    <x:row r="72">
      <x:c r="A72" s="59"/>
      <x:c r="B72" s="59"/>
      <x:c r="C72" s="59"/>
      <x:c r="D72" s="59"/>
      <x:c r="E72" s="59"/>
      <x:c r="F72" s="59"/>
      <x:c r="G72" s="59"/>
      <x:c r="H72" s="59"/>
      <x:c r="I72" s="59"/>
      <x:c r="J72" s="59"/>
      <x:c r="K72" s="59"/>
      <x:c r="L72" s="59"/>
      <x:c r="M72" s="59"/>
      <x:c r="N72" s="59"/>
      <x:c r="O72" s="59"/>
      <x:c r="P72" s="59"/>
      <x:c r="Q72" s="59"/>
      <x:c r="R72" s="59"/>
      <x:c r="S72" s="59"/>
      <x:c r="T72" s="59"/>
      <x:c r="U72" s="59"/>
      <x:c r="V72" s="59"/>
      <x:c r="W72" s="59"/>
      <x:c r="X72" s="59"/>
      <x:c r="Y72" s="59"/>
      <x:c r="Z72" s="59"/>
      <x:c r="AA72" s="59"/>
      <x:c r="AB72" s="59"/>
      <x:c r="AC72" s="59"/>
      <x:c r="AD72" s="59"/>
      <x:c r="AE72" s="59"/>
      <x:c r="AF72" s="59"/>
      <x:c r="AG72" s="59"/>
      <x:c r="AH72" s="59"/>
      <x:c r="AI72" s="59"/>
      <x:c r="AJ72" s="59"/>
      <x:c r="AK72" s="59"/>
      <x:c r="AL72" s="59"/>
      <x:c r="AM72" s="59"/>
      <x:c r="AN72" s="59"/>
    </x:row>
    <x:row r="73">
      <x:c r="A73" s="59"/>
      <x:c r="B73" s="59"/>
      <x:c r="C73" s="59"/>
      <x:c r="D73" s="59"/>
      <x:c r="E73" s="59"/>
      <x:c r="F73" s="59"/>
      <x:c r="G73" s="59"/>
      <x:c r="H73" s="59"/>
      <x:c r="I73" s="59"/>
      <x:c r="J73" s="59"/>
      <x:c r="K73" s="59"/>
      <x:c r="L73" s="59"/>
      <x:c r="M73" s="59"/>
      <x:c r="N73" s="59"/>
      <x:c r="O73" s="59"/>
      <x:c r="P73" s="59"/>
      <x:c r="Q73" s="59"/>
      <x:c r="R73" s="59"/>
      <x:c r="S73" s="59"/>
      <x:c r="T73" s="59"/>
      <x:c r="U73" s="59"/>
      <x:c r="V73" s="59"/>
      <x:c r="W73" s="59"/>
      <x:c r="X73" s="59"/>
      <x:c r="Y73" s="59"/>
      <x:c r="Z73" s="59"/>
      <x:c r="AA73" s="59"/>
      <x:c r="AB73" s="59"/>
      <x:c r="AC73" s="59"/>
      <x:c r="AD73" s="59"/>
      <x:c r="AE73" s="59"/>
      <x:c r="AF73" s="59"/>
      <x:c r="AG73" s="59"/>
      <x:c r="AH73" s="59"/>
      <x:c r="AI73" s="59"/>
      <x:c r="AJ73" s="59"/>
      <x:c r="AK73" s="59"/>
      <x:c r="AL73" s="59"/>
      <x:c r="AM73" s="59"/>
      <x:c r="AN73" s="59"/>
    </x:row>
    <x:row r="74">
      <x:c r="A74" s="59"/>
      <x:c r="B74" s="59"/>
      <x:c r="C74" s="59"/>
      <x:c r="D74" s="59"/>
      <x:c r="E74" s="59"/>
      <x:c r="F74" s="59"/>
      <x:c r="G74" s="59"/>
      <x:c r="H74" s="59"/>
      <x:c r="I74" s="59"/>
      <x:c r="J74" s="59"/>
      <x:c r="K74" s="59"/>
      <x:c r="L74" s="59"/>
      <x:c r="M74" s="59"/>
      <x:c r="N74" s="59"/>
      <x:c r="O74" s="59"/>
      <x:c r="P74" s="59"/>
      <x:c r="Q74" s="59"/>
      <x:c r="R74" s="59"/>
      <x:c r="S74" s="59"/>
      <x:c r="T74" s="59"/>
      <x:c r="U74" s="59"/>
      <x:c r="V74" s="59"/>
      <x:c r="W74" s="59"/>
      <x:c r="X74" s="59"/>
      <x:c r="Y74" s="59"/>
      <x:c r="Z74" s="59"/>
      <x:c r="AA74" s="59"/>
      <x:c r="AB74" s="59"/>
      <x:c r="AC74" s="59"/>
      <x:c r="AD74" s="59"/>
      <x:c r="AE74" s="59"/>
      <x:c r="AF74" s="59"/>
      <x:c r="AG74" s="59"/>
      <x:c r="AH74" s="59"/>
      <x:c r="AI74" s="59"/>
      <x:c r="AJ74" s="59"/>
      <x:c r="AK74" s="59"/>
      <x:c r="AL74" s="59"/>
      <x:c r="AM74" s="59"/>
      <x:c r="AN74" s="59"/>
    </x:row>
    <x:row r="75">
      <x:c r="A75" s="59"/>
      <x:c r="B75" s="59"/>
      <x:c r="C75" s="59"/>
      <x:c r="D75" s="59"/>
      <x:c r="E75" s="59"/>
      <x:c r="F75" s="59"/>
      <x:c r="G75" s="59"/>
      <x:c r="H75" s="59"/>
      <x:c r="I75" s="59"/>
      <x:c r="J75" s="59"/>
      <x:c r="K75" s="59"/>
      <x:c r="L75" s="59"/>
      <x:c r="M75" s="59"/>
      <x:c r="N75" s="59"/>
      <x:c r="O75" s="59"/>
      <x:c r="P75" s="59"/>
      <x:c r="Q75" s="59"/>
      <x:c r="R75" s="59"/>
      <x:c r="S75" s="59"/>
      <x:c r="T75" s="59"/>
      <x:c r="U75" s="59"/>
      <x:c r="V75" s="59"/>
      <x:c r="W75" s="59"/>
      <x:c r="X75" s="59"/>
      <x:c r="Y75" s="59"/>
      <x:c r="Z75" s="59"/>
      <x:c r="AA75" s="59"/>
      <x:c r="AB75" s="59"/>
      <x:c r="AC75" s="59"/>
      <x:c r="AD75" s="59"/>
      <x:c r="AE75" s="59"/>
      <x:c r="AF75" s="59"/>
      <x:c r="AG75" s="59"/>
      <x:c r="AH75" s="59"/>
      <x:c r="AI75" s="59"/>
      <x:c r="AJ75" s="59"/>
      <x:c r="AK75" s="59"/>
      <x:c r="AL75" s="59"/>
      <x:c r="AM75" s="59"/>
      <x:c r="AN75" s="59"/>
    </x:row>
    <x:row r="76">
      <x:c r="A76" s="59"/>
      <x:c r="B76" s="59"/>
      <x:c r="C76" s="59"/>
      <x:c r="D76" s="59"/>
      <x:c r="E76" s="59"/>
      <x:c r="F76" s="59"/>
      <x:c r="G76" s="59"/>
      <x:c r="H76" s="59"/>
      <x:c r="I76" s="59"/>
      <x:c r="J76" s="59"/>
      <x:c r="K76" s="59"/>
      <x:c r="L76" s="59"/>
      <x:c r="M76" s="59"/>
      <x:c r="N76" s="59"/>
      <x:c r="O76" s="59"/>
      <x:c r="P76" s="59"/>
      <x:c r="Q76" s="59"/>
      <x:c r="R76" s="59"/>
      <x:c r="S76" s="59"/>
      <x:c r="T76" s="59"/>
      <x:c r="U76" s="59"/>
      <x:c r="V76" s="59"/>
      <x:c r="W76" s="59"/>
      <x:c r="X76" s="59"/>
      <x:c r="Y76" s="59"/>
      <x:c r="Z76" s="59"/>
      <x:c r="AA76" s="59"/>
      <x:c r="AB76" s="59"/>
      <x:c r="AC76" s="59"/>
      <x:c r="AD76" s="59"/>
      <x:c r="AE76" s="59"/>
      <x:c r="AF76" s="59"/>
      <x:c r="AG76" s="59"/>
      <x:c r="AH76" s="59"/>
      <x:c r="AI76" s="59"/>
      <x:c r="AJ76" s="59"/>
      <x:c r="AK76" s="59"/>
      <x:c r="AL76" s="59"/>
      <x:c r="AM76" s="59"/>
      <x:c r="AN76" s="59"/>
    </x:row>
    <x:row r="77">
      <x:c r="A77" s="59"/>
      <x:c r="B77" s="59"/>
      <x:c r="C77" s="59"/>
      <x:c r="D77" s="59"/>
      <x:c r="E77" s="59"/>
      <x:c r="F77" s="59"/>
      <x:c r="G77" s="59"/>
      <x:c r="H77" s="59"/>
      <x:c r="I77" s="59"/>
      <x:c r="J77" s="59"/>
      <x:c r="K77" s="59"/>
      <x:c r="L77" s="59"/>
      <x:c r="M77" s="59"/>
      <x:c r="N77" s="59"/>
      <x:c r="O77" s="59"/>
      <x:c r="P77" s="59"/>
      <x:c r="Q77" s="59"/>
      <x:c r="R77" s="59"/>
      <x:c r="S77" s="59"/>
      <x:c r="T77" s="59"/>
      <x:c r="U77" s="59"/>
      <x:c r="V77" s="59"/>
      <x:c r="W77" s="59"/>
      <x:c r="X77" s="59"/>
      <x:c r="Y77" s="59"/>
      <x:c r="Z77" s="59"/>
      <x:c r="AA77" s="59"/>
      <x:c r="AB77" s="59"/>
      <x:c r="AC77" s="59"/>
      <x:c r="AD77" s="59"/>
      <x:c r="AE77" s="59"/>
      <x:c r="AF77" s="59"/>
      <x:c r="AG77" s="59"/>
      <x:c r="AH77" s="59"/>
      <x:c r="AI77" s="59"/>
      <x:c r="AJ77" s="59"/>
      <x:c r="AK77" s="59"/>
      <x:c r="AL77" s="59"/>
      <x:c r="AM77" s="59"/>
      <x:c r="AN77" s="59"/>
    </x:row>
    <x:row r="78">
      <x:c r="A78" s="59"/>
      <x:c r="B78" s="59"/>
      <x:c r="C78" s="59"/>
      <x:c r="D78" s="59"/>
      <x:c r="E78" s="59"/>
      <x:c r="F78" s="59"/>
      <x:c r="G78" s="59"/>
      <x:c r="H78" s="59"/>
      <x:c r="I78" s="59"/>
      <x:c r="J78" s="59"/>
      <x:c r="K78" s="59"/>
      <x:c r="L78" s="59"/>
      <x:c r="M78" s="59"/>
      <x:c r="N78" s="59"/>
      <x:c r="O78" s="59"/>
      <x:c r="P78" s="59"/>
      <x:c r="Q78" s="59"/>
      <x:c r="R78" s="59"/>
      <x:c r="S78" s="59"/>
      <x:c r="T78" s="59"/>
      <x:c r="U78" s="59"/>
      <x:c r="V78" s="59"/>
      <x:c r="W78" s="59"/>
      <x:c r="X78" s="59"/>
      <x:c r="Y78" s="59"/>
      <x:c r="Z78" s="59"/>
      <x:c r="AA78" s="59"/>
      <x:c r="AB78" s="59"/>
      <x:c r="AC78" s="59"/>
      <x:c r="AD78" s="59"/>
      <x:c r="AE78" s="59"/>
      <x:c r="AF78" s="59"/>
      <x:c r="AG78" s="59"/>
      <x:c r="AH78" s="59"/>
      <x:c r="AI78" s="59"/>
      <x:c r="AJ78" s="59"/>
      <x:c r="AK78" s="59"/>
      <x:c r="AL78" s="59"/>
      <x:c r="AM78" s="59"/>
      <x:c r="AN78" s="59"/>
    </x:row>
    <x:row r="79">
      <x:c r="A79" s="59"/>
      <x:c r="B79" s="59"/>
      <x:c r="C79" s="59"/>
      <x:c r="D79" s="59"/>
      <x:c r="E79" s="59"/>
      <x:c r="F79" s="59"/>
      <x:c r="G79" s="59"/>
      <x:c r="H79" s="59"/>
      <x:c r="I79" s="59"/>
      <x:c r="J79" s="59"/>
      <x:c r="K79" s="59"/>
      <x:c r="L79" s="59"/>
      <x:c r="M79" s="59"/>
      <x:c r="N79" s="59"/>
      <x:c r="O79" s="59"/>
      <x:c r="P79" s="59"/>
      <x:c r="Q79" s="59"/>
      <x:c r="R79" s="59"/>
      <x:c r="S79" s="59"/>
      <x:c r="T79" s="59"/>
      <x:c r="U79" s="59"/>
      <x:c r="V79" s="59"/>
      <x:c r="W79" s="59"/>
      <x:c r="X79" s="59"/>
      <x:c r="Y79" s="59"/>
      <x:c r="Z79" s="59"/>
      <x:c r="AA79" s="59"/>
      <x:c r="AB79" s="59"/>
      <x:c r="AC79" s="59"/>
      <x:c r="AD79" s="59"/>
      <x:c r="AE79" s="59"/>
      <x:c r="AF79" s="59"/>
      <x:c r="AG79" s="59"/>
      <x:c r="AH79" s="59"/>
      <x:c r="AI79" s="59"/>
      <x:c r="AJ79" s="59"/>
      <x:c r="AK79" s="59"/>
      <x:c r="AL79" s="59"/>
      <x:c r="AM79" s="59"/>
      <x:c r="AN79" s="59"/>
    </x:row>
    <x:row r="80">
      <x:c r="A80" s="59"/>
      <x:c r="B80" s="59"/>
      <x:c r="C80" s="59"/>
      <x:c r="D80" s="59"/>
      <x:c r="E80" s="59"/>
      <x:c r="F80" s="59"/>
      <x:c r="G80" s="59"/>
      <x:c r="H80" s="59"/>
      <x:c r="I80" s="59"/>
      <x:c r="J80" s="59"/>
      <x:c r="K80" s="59"/>
      <x:c r="L80" s="59"/>
      <x:c r="M80" s="59"/>
      <x:c r="N80" s="59"/>
      <x:c r="O80" s="59"/>
      <x:c r="P80" s="59"/>
      <x:c r="Q80" s="59"/>
      <x:c r="R80" s="59"/>
      <x:c r="S80" s="59"/>
      <x:c r="T80" s="59"/>
      <x:c r="U80" s="59"/>
      <x:c r="V80" s="59"/>
      <x:c r="W80" s="59"/>
      <x:c r="X80" s="59"/>
      <x:c r="Y80" s="59"/>
      <x:c r="Z80" s="59"/>
      <x:c r="AA80" s="59"/>
      <x:c r="AB80" s="59"/>
      <x:c r="AC80" s="59"/>
      <x:c r="AD80" s="59"/>
      <x:c r="AE80" s="59"/>
      <x:c r="AF80" s="59"/>
      <x:c r="AG80" s="59"/>
      <x:c r="AH80" s="59"/>
      <x:c r="AI80" s="59"/>
      <x:c r="AJ80" s="59"/>
      <x:c r="AK80" s="59"/>
      <x:c r="AL80" s="59"/>
      <x:c r="AM80" s="59"/>
      <x:c r="AN80" s="59"/>
    </x:row>
    <x:row r="81">
      <x:c r="A81" s="59"/>
      <x:c r="B81" s="59"/>
      <x:c r="C81" s="59"/>
      <x:c r="D81" s="59"/>
      <x:c r="E81" s="59"/>
      <x:c r="F81" s="59"/>
      <x:c r="G81" s="59"/>
      <x:c r="H81" s="59"/>
      <x:c r="I81" s="59"/>
      <x:c r="J81" s="59"/>
      <x:c r="K81" s="59"/>
      <x:c r="L81" s="59"/>
      <x:c r="M81" s="59"/>
      <x:c r="N81" s="59"/>
      <x:c r="O81" s="59"/>
      <x:c r="P81" s="59"/>
      <x:c r="Q81" s="59"/>
      <x:c r="R81" s="59"/>
      <x:c r="S81" s="59"/>
      <x:c r="T81" s="59"/>
      <x:c r="U81" s="59"/>
      <x:c r="V81" s="59"/>
      <x:c r="W81" s="59"/>
      <x:c r="X81" s="59"/>
      <x:c r="Y81" s="59"/>
      <x:c r="Z81" s="59"/>
      <x:c r="AA81" s="59"/>
      <x:c r="AB81" s="59"/>
      <x:c r="AC81" s="59"/>
      <x:c r="AD81" s="59"/>
      <x:c r="AE81" s="59"/>
      <x:c r="AF81" s="59"/>
      <x:c r="AG81" s="59"/>
      <x:c r="AH81" s="59"/>
      <x:c r="AI81" s="59"/>
      <x:c r="AJ81" s="59"/>
      <x:c r="AK81" s="59"/>
      <x:c r="AL81" s="59"/>
      <x:c r="AM81" s="59"/>
      <x:c r="AN81" s="59"/>
    </x:row>
    <x:row r="82">
      <x:c r="A82" s="59"/>
      <x:c r="B82" s="59"/>
      <x:c r="C82" s="59"/>
      <x:c r="D82" s="59"/>
      <x:c r="E82" s="59"/>
      <x:c r="F82" s="59"/>
      <x:c r="G82" s="59"/>
      <x:c r="H82" s="59"/>
      <x:c r="I82" s="59"/>
      <x:c r="J82" s="59"/>
      <x:c r="K82" s="59"/>
      <x:c r="L82" s="59"/>
      <x:c r="M82" s="59"/>
      <x:c r="N82" s="59"/>
      <x:c r="O82" s="59"/>
      <x:c r="P82" s="59"/>
      <x:c r="Q82" s="59"/>
      <x:c r="R82" s="59"/>
      <x:c r="S82" s="59"/>
      <x:c r="T82" s="59"/>
      <x:c r="U82" s="59"/>
      <x:c r="V82" s="59"/>
      <x:c r="W82" s="59"/>
      <x:c r="X82" s="59"/>
      <x:c r="Y82" s="59"/>
      <x:c r="Z82" s="59"/>
      <x:c r="AA82" s="59"/>
      <x:c r="AB82" s="59"/>
      <x:c r="AC82" s="59"/>
      <x:c r="AD82" s="59"/>
      <x:c r="AE82" s="59"/>
      <x:c r="AF82" s="59"/>
      <x:c r="AG82" s="59"/>
      <x:c r="AH82" s="59"/>
      <x:c r="AI82" s="59"/>
      <x:c r="AJ82" s="59"/>
      <x:c r="AK82" s="59"/>
      <x:c r="AL82" s="59"/>
      <x:c r="AM82" s="59"/>
      <x:c r="AN82" s="59"/>
    </x:row>
    <x:row r="83">
      <x:c r="A83" s="59"/>
      <x:c r="B83" s="59"/>
      <x:c r="C83" s="59"/>
      <x:c r="D83" s="59"/>
      <x:c r="E83" s="59"/>
      <x:c r="F83" s="59"/>
      <x:c r="G83" s="59"/>
      <x:c r="H83" s="59"/>
      <x:c r="I83" s="59"/>
      <x:c r="J83" s="59"/>
      <x:c r="K83" s="59"/>
      <x:c r="L83" s="59"/>
      <x:c r="M83" s="59"/>
      <x:c r="N83" s="59"/>
      <x:c r="O83" s="59"/>
      <x:c r="P83" s="59"/>
      <x:c r="Q83" s="59"/>
      <x:c r="R83" s="59"/>
      <x:c r="S83" s="59"/>
      <x:c r="T83" s="59"/>
      <x:c r="U83" s="59"/>
      <x:c r="V83" s="59"/>
      <x:c r="W83" s="59"/>
      <x:c r="X83" s="59"/>
      <x:c r="Y83" s="59"/>
      <x:c r="Z83" s="59"/>
      <x:c r="AA83" s="59"/>
      <x:c r="AB83" s="59"/>
      <x:c r="AC83" s="59"/>
      <x:c r="AD83" s="59"/>
      <x:c r="AE83" s="59"/>
      <x:c r="AF83" s="59"/>
      <x:c r="AG83" s="59"/>
      <x:c r="AH83" s="59"/>
      <x:c r="AI83" s="59"/>
      <x:c r="AJ83" s="59"/>
      <x:c r="AK83" s="59"/>
      <x:c r="AL83" s="59"/>
      <x:c r="AM83" s="59"/>
      <x:c r="AN83" s="59"/>
    </x:row>
    <x:row r="84">
      <x:c r="A84" s="59"/>
      <x:c r="B84" s="59"/>
      <x:c r="C84" s="59"/>
      <x:c r="D84" s="59"/>
      <x:c r="E84" s="59"/>
      <x:c r="F84" s="59"/>
      <x:c r="G84" s="59"/>
      <x:c r="H84" s="59"/>
      <x:c r="I84" s="59"/>
      <x:c r="J84" s="59"/>
      <x:c r="K84" s="59"/>
      <x:c r="L84" s="59"/>
      <x:c r="M84" s="59"/>
      <x:c r="N84" s="59"/>
      <x:c r="O84" s="59"/>
      <x:c r="P84" s="59"/>
      <x:c r="Q84" s="59"/>
      <x:c r="R84" s="59"/>
      <x:c r="S84" s="59"/>
      <x:c r="T84" s="59"/>
      <x:c r="U84" s="59"/>
      <x:c r="V84" s="59"/>
      <x:c r="W84" s="59"/>
      <x:c r="X84" s="59"/>
      <x:c r="Y84" s="59"/>
      <x:c r="Z84" s="59"/>
      <x:c r="AA84" s="59"/>
      <x:c r="AB84" s="59"/>
      <x:c r="AC84" s="59"/>
      <x:c r="AD84" s="59"/>
      <x:c r="AE84" s="59"/>
      <x:c r="AF84" s="59"/>
      <x:c r="AG84" s="59"/>
      <x:c r="AH84" s="59"/>
      <x:c r="AI84" s="59"/>
      <x:c r="AJ84" s="59"/>
      <x:c r="AK84" s="59"/>
      <x:c r="AL84" s="59"/>
      <x:c r="AM84" s="59"/>
      <x:c r="AN84" s="59"/>
    </x:row>
    <x:row r="85">
      <x:c r="A85" s="59"/>
      <x:c r="B85" s="59"/>
      <x:c r="C85" s="59"/>
      <x:c r="D85" s="59"/>
      <x:c r="E85" s="59"/>
      <x:c r="F85" s="59"/>
      <x:c r="G85" s="59"/>
      <x:c r="H85" s="59"/>
      <x:c r="I85" s="59"/>
      <x:c r="J85" s="59"/>
      <x:c r="K85" s="59"/>
      <x:c r="L85" s="59"/>
      <x:c r="M85" s="59"/>
      <x:c r="N85" s="59"/>
      <x:c r="O85" s="59"/>
      <x:c r="P85" s="59"/>
      <x:c r="Q85" s="59"/>
      <x:c r="R85" s="59"/>
      <x:c r="S85" s="59"/>
      <x:c r="T85" s="59"/>
      <x:c r="U85" s="59"/>
      <x:c r="V85" s="59"/>
      <x:c r="W85" s="59"/>
      <x:c r="X85" s="59"/>
      <x:c r="Y85" s="59"/>
      <x:c r="Z85" s="59"/>
      <x:c r="AA85" s="59"/>
      <x:c r="AB85" s="59"/>
      <x:c r="AC85" s="59"/>
      <x:c r="AD85" s="59"/>
      <x:c r="AE85" s="59"/>
      <x:c r="AF85" s="59"/>
      <x:c r="AG85" s="59"/>
      <x:c r="AH85" s="59"/>
      <x:c r="AI85" s="59"/>
      <x:c r="AJ85" s="59"/>
      <x:c r="AK85" s="59"/>
      <x:c r="AL85" s="59"/>
      <x:c r="AM85" s="59"/>
      <x:c r="AN85" s="59"/>
    </x:row>
    <x:row r="86">
      <x:c r="A86" s="59"/>
      <x:c r="B86" s="59"/>
      <x:c r="C86" s="59"/>
      <x:c r="D86" s="59"/>
      <x:c r="E86" s="59"/>
      <x:c r="F86" s="59"/>
      <x:c r="G86" s="59"/>
      <x:c r="H86" s="59"/>
      <x:c r="I86" s="59"/>
      <x:c r="J86" s="59"/>
      <x:c r="K86" s="59"/>
      <x:c r="L86" s="59"/>
      <x:c r="M86" s="59"/>
      <x:c r="N86" s="59"/>
      <x:c r="O86" s="59"/>
      <x:c r="P86" s="59"/>
      <x:c r="Q86" s="59"/>
      <x:c r="R86" s="59"/>
      <x:c r="S86" s="59"/>
      <x:c r="T86" s="59"/>
      <x:c r="U86" s="59"/>
      <x:c r="V86" s="59"/>
      <x:c r="W86" s="59"/>
      <x:c r="X86" s="59"/>
      <x:c r="Y86" s="59"/>
      <x:c r="Z86" s="59"/>
      <x:c r="AA86" s="59"/>
      <x:c r="AB86" s="59"/>
      <x:c r="AC86" s="59"/>
      <x:c r="AD86" s="59"/>
      <x:c r="AE86" s="59"/>
      <x:c r="AF86" s="59"/>
      <x:c r="AG86" s="59"/>
      <x:c r="AH86" s="59"/>
      <x:c r="AI86" s="59"/>
      <x:c r="AJ86" s="59"/>
      <x:c r="AK86" s="59"/>
      <x:c r="AL86" s="59"/>
      <x:c r="AM86" s="59"/>
      <x:c r="AN86" s="59"/>
    </x:row>
    <x:row r="87">
      <x:c r="A87" s="59"/>
      <x:c r="B87" s="59"/>
      <x:c r="C87" s="59"/>
      <x:c r="D87" s="59"/>
      <x:c r="E87" s="59"/>
      <x:c r="F87" s="59"/>
      <x:c r="G87" s="59"/>
      <x:c r="H87" s="59"/>
      <x:c r="I87" s="59"/>
      <x:c r="J87" s="59"/>
      <x:c r="K87" s="59"/>
      <x:c r="L87" s="59"/>
      <x:c r="M87" s="59"/>
      <x:c r="N87" s="59"/>
      <x:c r="O87" s="59"/>
      <x:c r="P87" s="59"/>
      <x:c r="Q87" s="59"/>
      <x:c r="R87" s="59"/>
      <x:c r="S87" s="59"/>
      <x:c r="T87" s="59"/>
      <x:c r="U87" s="59"/>
      <x:c r="V87" s="59"/>
      <x:c r="W87" s="59"/>
      <x:c r="X87" s="59"/>
      <x:c r="Y87" s="59"/>
      <x:c r="Z87" s="59"/>
      <x:c r="AA87" s="59"/>
      <x:c r="AB87" s="59"/>
      <x:c r="AC87" s="59"/>
      <x:c r="AD87" s="59"/>
      <x:c r="AE87" s="59"/>
      <x:c r="AF87" s="59"/>
      <x:c r="AG87" s="59"/>
      <x:c r="AH87" s="59"/>
      <x:c r="AI87" s="59"/>
      <x:c r="AJ87" s="59"/>
      <x:c r="AK87" s="59"/>
      <x:c r="AL87" s="59"/>
      <x:c r="AM87" s="59"/>
      <x:c r="AN87" s="59"/>
    </x:row>
    <x:row r="88">
      <x:c r="A88" s="59"/>
      <x:c r="B88" s="59"/>
      <x:c r="C88" s="59"/>
      <x:c r="D88" s="59"/>
      <x:c r="E88" s="59"/>
      <x:c r="F88" s="59"/>
      <x:c r="G88" s="59"/>
      <x:c r="H88" s="59"/>
      <x:c r="I88" s="59"/>
      <x:c r="J88" s="59"/>
      <x:c r="K88" s="59"/>
      <x:c r="L88" s="59"/>
      <x:c r="M88" s="59"/>
      <x:c r="N88" s="59"/>
      <x:c r="O88" s="59"/>
      <x:c r="P88" s="59"/>
      <x:c r="Q88" s="59"/>
      <x:c r="R88" s="59"/>
      <x:c r="S88" s="59"/>
      <x:c r="T88" s="59"/>
      <x:c r="U88" s="59"/>
      <x:c r="V88" s="59"/>
      <x:c r="W88" s="59"/>
      <x:c r="X88" s="59"/>
      <x:c r="Y88" s="59"/>
      <x:c r="Z88" s="59"/>
      <x:c r="AA88" s="59"/>
      <x:c r="AB88" s="59"/>
      <x:c r="AC88" s="59"/>
      <x:c r="AD88" s="59"/>
      <x:c r="AE88" s="59"/>
      <x:c r="AF88" s="59"/>
      <x:c r="AG88" s="59"/>
      <x:c r="AH88" s="59"/>
      <x:c r="AI88" s="59"/>
      <x:c r="AJ88" s="59"/>
      <x:c r="AK88" s="59"/>
      <x:c r="AL88" s="59"/>
      <x:c r="AM88" s="59"/>
      <x:c r="AN88" s="59"/>
    </x:row>
    <x:row r="89">
      <x:c r="A89" s="59"/>
      <x:c r="B89" s="59"/>
      <x:c r="C89" s="59"/>
      <x:c r="D89" s="59"/>
      <x:c r="E89" s="59"/>
      <x:c r="F89" s="59"/>
      <x:c r="G89" s="59"/>
      <x:c r="H89" s="59"/>
      <x:c r="I89" s="59"/>
      <x:c r="J89" s="59"/>
      <x:c r="K89" s="59"/>
      <x:c r="L89" s="59"/>
      <x:c r="M89" s="59"/>
      <x:c r="N89" s="59"/>
      <x:c r="O89" s="59"/>
      <x:c r="P89" s="59"/>
      <x:c r="Q89" s="59"/>
      <x:c r="R89" s="59"/>
      <x:c r="S89" s="59"/>
      <x:c r="T89" s="59"/>
      <x:c r="U89" s="59"/>
      <x:c r="V89" s="59"/>
      <x:c r="W89" s="59"/>
      <x:c r="X89" s="59"/>
      <x:c r="Y89" s="59"/>
      <x:c r="Z89" s="59"/>
      <x:c r="AA89" s="59"/>
      <x:c r="AB89" s="59"/>
      <x:c r="AC89" s="59"/>
      <x:c r="AD89" s="59"/>
      <x:c r="AE89" s="59"/>
      <x:c r="AF89" s="59"/>
      <x:c r="AG89" s="59"/>
      <x:c r="AH89" s="59"/>
      <x:c r="AI89" s="59"/>
      <x:c r="AJ89" s="59"/>
      <x:c r="AK89" s="59"/>
      <x:c r="AL89" s="59"/>
      <x:c r="AM89" s="59"/>
      <x:c r="AN89" s="59"/>
    </x:row>
    <x:row r="90">
      <x:c r="A90" s="59"/>
      <x:c r="B90" s="59"/>
      <x:c r="C90" s="59"/>
      <x:c r="D90" s="59"/>
      <x:c r="E90" s="59"/>
      <x:c r="F90" s="59"/>
      <x:c r="G90" s="59"/>
      <x:c r="H90" s="59"/>
      <x:c r="I90" s="59"/>
      <x:c r="J90" s="59"/>
      <x:c r="K90" s="59"/>
      <x:c r="L90" s="59"/>
      <x:c r="M90" s="59"/>
      <x:c r="N90" s="59"/>
      <x:c r="O90" s="59"/>
      <x:c r="P90" s="59"/>
      <x:c r="Q90" s="59"/>
      <x:c r="R90" s="59"/>
      <x:c r="S90" s="59"/>
      <x:c r="T90" s="59"/>
      <x:c r="U90" s="59"/>
      <x:c r="V90" s="59"/>
      <x:c r="W90" s="59"/>
      <x:c r="X90" s="59"/>
      <x:c r="Y90" s="59"/>
      <x:c r="Z90" s="59"/>
      <x:c r="AA90" s="59"/>
      <x:c r="AB90" s="59"/>
      <x:c r="AC90" s="59"/>
      <x:c r="AD90" s="59"/>
      <x:c r="AE90" s="59"/>
      <x:c r="AF90" s="59"/>
      <x:c r="AG90" s="59"/>
      <x:c r="AH90" s="59"/>
      <x:c r="AI90" s="59"/>
      <x:c r="AJ90" s="59"/>
      <x:c r="AK90" s="59"/>
      <x:c r="AL90" s="59"/>
      <x:c r="AM90" s="59"/>
      <x:c r="AN90" s="59"/>
    </x:row>
    <x:row r="91">
      <x:c r="A91" s="59"/>
      <x:c r="B91" s="59"/>
      <x:c r="C91" s="59"/>
      <x:c r="D91" s="59"/>
      <x:c r="E91" s="59"/>
      <x:c r="F91" s="59"/>
      <x:c r="G91" s="59"/>
      <x:c r="H91" s="59"/>
      <x:c r="I91" s="59"/>
      <x:c r="J91" s="59"/>
      <x:c r="K91" s="59"/>
      <x:c r="L91" s="59"/>
      <x:c r="M91" s="59"/>
      <x:c r="N91" s="59"/>
      <x:c r="O91" s="59"/>
      <x:c r="P91" s="59"/>
      <x:c r="Q91" s="59"/>
      <x:c r="R91" s="59"/>
      <x:c r="S91" s="59"/>
      <x:c r="T91" s="59"/>
      <x:c r="U91" s="59"/>
      <x:c r="V91" s="59"/>
      <x:c r="W91" s="59"/>
      <x:c r="X91" s="59"/>
      <x:c r="Y91" s="59"/>
      <x:c r="Z91" s="59"/>
      <x:c r="AA91" s="59"/>
      <x:c r="AB91" s="59"/>
      <x:c r="AC91" s="59"/>
      <x:c r="AD91" s="59"/>
      <x:c r="AE91" s="59"/>
      <x:c r="AF91" s="59"/>
      <x:c r="AG91" s="59"/>
      <x:c r="AH91" s="59"/>
      <x:c r="AI91" s="59"/>
      <x:c r="AJ91" s="59"/>
      <x:c r="AK91" s="59"/>
      <x:c r="AL91" s="59"/>
      <x:c r="AM91" s="59"/>
      <x:c r="AN91" s="59"/>
    </x:row>
    <x:row r="92">
      <x:c r="A92" s="59"/>
      <x:c r="B92" s="59"/>
      <x:c r="C92" s="59"/>
      <x:c r="D92" s="59"/>
      <x:c r="E92" s="59"/>
      <x:c r="F92" s="59"/>
      <x:c r="G92" s="59"/>
      <x:c r="H92" s="59"/>
      <x:c r="I92" s="59"/>
      <x:c r="J92" s="59"/>
      <x:c r="K92" s="59"/>
      <x:c r="L92" s="59"/>
      <x:c r="M92" s="59"/>
      <x:c r="N92" s="59"/>
      <x:c r="O92" s="59"/>
      <x:c r="P92" s="59"/>
      <x:c r="Q92" s="59"/>
      <x:c r="R92" s="59"/>
      <x:c r="S92" s="59"/>
      <x:c r="T92" s="59"/>
      <x:c r="U92" s="59"/>
      <x:c r="V92" s="59"/>
      <x:c r="W92" s="59"/>
      <x:c r="X92" s="59"/>
      <x:c r="Y92" s="59"/>
      <x:c r="Z92" s="59"/>
      <x:c r="AA92" s="59"/>
      <x:c r="AB92" s="59"/>
      <x:c r="AC92" s="59"/>
      <x:c r="AD92" s="59"/>
      <x:c r="AE92" s="59"/>
      <x:c r="AF92" s="59"/>
      <x:c r="AG92" s="59"/>
      <x:c r="AH92" s="59"/>
      <x:c r="AI92" s="59"/>
      <x:c r="AJ92" s="59"/>
      <x:c r="AK92" s="59"/>
      <x:c r="AL92" s="59"/>
      <x:c r="AM92" s="59"/>
      <x:c r="AN92" s="59"/>
    </x:row>
    <x:row r="93">
      <x:c r="A93" s="59"/>
      <x:c r="B93" s="59"/>
      <x:c r="C93" s="59"/>
      <x:c r="D93" s="59"/>
      <x:c r="E93" s="59"/>
      <x:c r="F93" s="59"/>
      <x:c r="G93" s="59"/>
      <x:c r="H93" s="59"/>
      <x:c r="I93" s="59"/>
      <x:c r="J93" s="59"/>
      <x:c r="K93" s="59"/>
      <x:c r="L93" s="59"/>
      <x:c r="M93" s="59"/>
      <x:c r="N93" s="59"/>
      <x:c r="O93" s="59"/>
      <x:c r="P93" s="59"/>
      <x:c r="Q93" s="59"/>
      <x:c r="R93" s="59"/>
      <x:c r="S93" s="59"/>
      <x:c r="T93" s="59"/>
      <x:c r="U93" s="59"/>
      <x:c r="V93" s="59"/>
      <x:c r="W93" s="59"/>
      <x:c r="X93" s="59"/>
      <x:c r="Y93" s="59"/>
      <x:c r="Z93" s="59"/>
      <x:c r="AA93" s="59"/>
      <x:c r="AB93" s="59"/>
      <x:c r="AC93" s="59"/>
      <x:c r="AD93" s="59"/>
      <x:c r="AE93" s="59"/>
      <x:c r="AF93" s="59"/>
      <x:c r="AG93" s="59"/>
      <x:c r="AH93" s="59"/>
      <x:c r="AI93" s="59"/>
      <x:c r="AJ93" s="59"/>
      <x:c r="AK93" s="59"/>
      <x:c r="AL93" s="59"/>
      <x:c r="AM93" s="59"/>
      <x:c r="AN93" s="59"/>
    </x:row>
    <x:row r="94">
      <x:c r="A94" s="59"/>
      <x:c r="B94" s="59"/>
      <x:c r="C94" s="59"/>
      <x:c r="D94" s="59"/>
      <x:c r="E94" s="59"/>
      <x:c r="F94" s="59"/>
      <x:c r="G94" s="59"/>
      <x:c r="H94" s="59"/>
      <x:c r="I94" s="59"/>
      <x:c r="J94" s="59"/>
      <x:c r="K94" s="59"/>
      <x:c r="L94" s="59"/>
      <x:c r="M94" s="59"/>
      <x:c r="N94" s="59"/>
      <x:c r="O94" s="59"/>
      <x:c r="P94" s="59"/>
      <x:c r="Q94" s="59"/>
      <x:c r="R94" s="59"/>
      <x:c r="S94" s="59"/>
      <x:c r="T94" s="59"/>
      <x:c r="U94" s="59"/>
      <x:c r="V94" s="59"/>
      <x:c r="W94" s="59"/>
      <x:c r="X94" s="59"/>
      <x:c r="Y94" s="59"/>
      <x:c r="Z94" s="59"/>
      <x:c r="AA94" s="59"/>
      <x:c r="AB94" s="59"/>
      <x:c r="AC94" s="59"/>
      <x:c r="AD94" s="59"/>
      <x:c r="AE94" s="59"/>
      <x:c r="AF94" s="59"/>
      <x:c r="AG94" s="59"/>
      <x:c r="AH94" s="59"/>
      <x:c r="AI94" s="59"/>
      <x:c r="AJ94" s="59"/>
      <x:c r="AK94" s="59"/>
      <x:c r="AL94" s="59"/>
      <x:c r="AM94" s="59"/>
      <x:c r="AN94" s="59"/>
    </x:row>
    <x:row r="95">
      <x:c r="A95" s="59"/>
      <x:c r="B95" s="59"/>
      <x:c r="C95" s="59"/>
      <x:c r="D95" s="59"/>
      <x:c r="E95" s="59"/>
      <x:c r="F95" s="59"/>
      <x:c r="G95" s="59"/>
      <x:c r="H95" s="59"/>
      <x:c r="I95" s="59"/>
      <x:c r="J95" s="59"/>
      <x:c r="K95" s="59"/>
      <x:c r="L95" s="59"/>
      <x:c r="M95" s="59"/>
      <x:c r="N95" s="59"/>
      <x:c r="O95" s="59"/>
      <x:c r="P95" s="59"/>
      <x:c r="Q95" s="59"/>
      <x:c r="R95" s="59"/>
      <x:c r="S95" s="59"/>
      <x:c r="T95" s="59"/>
      <x:c r="U95" s="59"/>
      <x:c r="V95" s="59"/>
      <x:c r="W95" s="59"/>
      <x:c r="X95" s="59"/>
      <x:c r="Y95" s="59"/>
      <x:c r="Z95" s="59"/>
      <x:c r="AA95" s="59"/>
      <x:c r="AB95" s="59"/>
      <x:c r="AC95" s="59"/>
      <x:c r="AD95" s="59"/>
      <x:c r="AE95" s="59"/>
      <x:c r="AF95" s="59"/>
      <x:c r="AG95" s="59"/>
      <x:c r="AH95" s="59"/>
      <x:c r="AI95" s="59"/>
      <x:c r="AJ95" s="59"/>
      <x:c r="AK95" s="59"/>
      <x:c r="AL95" s="59"/>
      <x:c r="AM95" s="59"/>
      <x:c r="AN95" s="59"/>
    </x:row>
    <x:row r="96">
      <x:c r="A96" s="59"/>
      <x:c r="B96" s="59"/>
      <x:c r="C96" s="59"/>
      <x:c r="D96" s="59"/>
      <x:c r="E96" s="59"/>
      <x:c r="F96" s="59"/>
      <x:c r="G96" s="59"/>
      <x:c r="H96" s="59"/>
      <x:c r="I96" s="59"/>
      <x:c r="J96" s="59"/>
      <x:c r="K96" s="59"/>
      <x:c r="L96" s="59"/>
      <x:c r="M96" s="59"/>
      <x:c r="N96" s="59"/>
      <x:c r="O96" s="59"/>
      <x:c r="P96" s="59"/>
      <x:c r="Q96" s="59"/>
      <x:c r="R96" s="59"/>
      <x:c r="S96" s="59"/>
      <x:c r="T96" s="59"/>
      <x:c r="U96" s="59"/>
      <x:c r="V96" s="59"/>
      <x:c r="W96" s="59"/>
      <x:c r="X96" s="59"/>
      <x:c r="Y96" s="59"/>
      <x:c r="Z96" s="59"/>
      <x:c r="AA96" s="59"/>
      <x:c r="AB96" s="59"/>
      <x:c r="AC96" s="59"/>
      <x:c r="AD96" s="59"/>
      <x:c r="AE96" s="59"/>
      <x:c r="AF96" s="59"/>
      <x:c r="AG96" s="59"/>
      <x:c r="AH96" s="59"/>
      <x:c r="AI96" s="59"/>
      <x:c r="AJ96" s="59"/>
      <x:c r="AK96" s="59"/>
      <x:c r="AL96" s="59"/>
      <x:c r="AM96" s="59"/>
      <x:c r="AN96" s="59"/>
    </x:row>
    <x:row r="97">
      <x:c r="A97" s="59"/>
      <x:c r="B97" s="59"/>
      <x:c r="C97" s="59"/>
      <x:c r="D97" s="59"/>
      <x:c r="E97" s="59"/>
      <x:c r="F97" s="59"/>
      <x:c r="G97" s="59"/>
      <x:c r="H97" s="59"/>
      <x:c r="I97" s="59"/>
      <x:c r="J97" s="59"/>
      <x:c r="K97" s="59"/>
      <x:c r="L97" s="59"/>
      <x:c r="M97" s="59"/>
      <x:c r="N97" s="59"/>
      <x:c r="O97" s="59"/>
      <x:c r="P97" s="59"/>
      <x:c r="Q97" s="59"/>
      <x:c r="R97" s="59"/>
      <x:c r="S97" s="59"/>
      <x:c r="T97" s="59"/>
      <x:c r="U97" s="59"/>
      <x:c r="V97" s="59"/>
      <x:c r="W97" s="59"/>
      <x:c r="X97" s="59"/>
      <x:c r="Y97" s="59"/>
      <x:c r="Z97" s="59"/>
      <x:c r="AA97" s="59"/>
      <x:c r="AB97" s="59"/>
      <x:c r="AC97" s="59"/>
      <x:c r="AD97" s="59"/>
      <x:c r="AE97" s="59"/>
      <x:c r="AF97" s="59"/>
      <x:c r="AG97" s="59"/>
      <x:c r="AH97" s="59"/>
      <x:c r="AI97" s="59"/>
      <x:c r="AJ97" s="59"/>
      <x:c r="AK97" s="59"/>
      <x:c r="AL97" s="59"/>
      <x:c r="AM97" s="59"/>
      <x:c r="AN97" s="59"/>
    </x:row>
    <x:row r="98">
      <x:c r="A98" s="59"/>
      <x:c r="B98" s="59"/>
      <x:c r="C98" s="59"/>
      <x:c r="D98" s="59"/>
      <x:c r="E98" s="59"/>
      <x:c r="F98" s="59"/>
      <x:c r="G98" s="59"/>
      <x:c r="H98" s="59"/>
      <x:c r="I98" s="59"/>
      <x:c r="J98" s="59"/>
      <x:c r="K98" s="59"/>
      <x:c r="L98" s="59"/>
      <x:c r="M98" s="59"/>
      <x:c r="N98" s="59"/>
      <x:c r="O98" s="59"/>
      <x:c r="P98" s="59"/>
      <x:c r="Q98" s="59"/>
      <x:c r="R98" s="59"/>
      <x:c r="S98" s="59"/>
      <x:c r="T98" s="59"/>
      <x:c r="U98" s="59"/>
      <x:c r="V98" s="59"/>
      <x:c r="W98" s="59"/>
      <x:c r="X98" s="59"/>
      <x:c r="Y98" s="59"/>
      <x:c r="Z98" s="59"/>
      <x:c r="AA98" s="59"/>
      <x:c r="AB98" s="59"/>
      <x:c r="AC98" s="59"/>
      <x:c r="AD98" s="59"/>
      <x:c r="AE98" s="59"/>
      <x:c r="AF98" s="59"/>
      <x:c r="AG98" s="59"/>
      <x:c r="AH98" s="59"/>
      <x:c r="AI98" s="59"/>
      <x:c r="AJ98" s="59"/>
      <x:c r="AK98" s="59"/>
      <x:c r="AL98" s="59"/>
      <x:c r="AM98" s="59"/>
      <x:c r="AN98" s="59"/>
    </x:row>
    <x:row r="99">
      <x:c r="A99" s="59"/>
      <x:c r="B99" s="59"/>
      <x:c r="C99" s="59"/>
      <x:c r="D99" s="59"/>
      <x:c r="E99" s="59"/>
      <x:c r="F99" s="59"/>
      <x:c r="G99" s="59"/>
      <x:c r="H99" s="59"/>
      <x:c r="I99" s="59"/>
      <x:c r="J99" s="59"/>
      <x:c r="K99" s="59"/>
      <x:c r="L99" s="59"/>
      <x:c r="M99" s="59"/>
      <x:c r="N99" s="59"/>
      <x:c r="O99" s="59"/>
      <x:c r="P99" s="59"/>
      <x:c r="Q99" s="59"/>
      <x:c r="R99" s="59"/>
      <x:c r="S99" s="59"/>
      <x:c r="T99" s="59"/>
      <x:c r="U99" s="59"/>
      <x:c r="V99" s="59"/>
      <x:c r="W99" s="59"/>
      <x:c r="X99" s="59"/>
      <x:c r="Y99" s="59"/>
      <x:c r="Z99" s="59"/>
      <x:c r="AA99" s="59"/>
      <x:c r="AB99" s="59"/>
      <x:c r="AC99" s="59"/>
      <x:c r="AD99" s="59"/>
      <x:c r="AE99" s="59"/>
      <x:c r="AF99" s="59"/>
      <x:c r="AG99" s="59"/>
      <x:c r="AH99" s="59"/>
      <x:c r="AI99" s="59"/>
      <x:c r="AJ99" s="59"/>
      <x:c r="AK99" s="59"/>
      <x:c r="AL99" s="59"/>
      <x:c r="AM99" s="59"/>
      <x:c r="AN99" s="59"/>
    </x:row>
    <x:row r="100">
      <x:c r="A100" s="59"/>
      <x:c r="B100" s="59"/>
      <x:c r="C100" s="59"/>
      <x:c r="D100" s="59"/>
      <x:c r="E100" s="59"/>
      <x:c r="F100" s="59"/>
      <x:c r="G100" s="59"/>
      <x:c r="H100" s="59"/>
      <x:c r="I100" s="59"/>
      <x:c r="J100" s="59"/>
      <x:c r="K100" s="59"/>
      <x:c r="L100" s="59"/>
      <x:c r="M100" s="59"/>
      <x:c r="N100" s="59"/>
      <x:c r="O100" s="59"/>
      <x:c r="P100" s="59"/>
      <x:c r="Q100" s="59"/>
      <x:c r="R100" s="59"/>
      <x:c r="S100" s="59"/>
      <x:c r="T100" s="59"/>
      <x:c r="U100" s="59"/>
      <x:c r="V100" s="59"/>
      <x:c r="W100" s="59"/>
      <x:c r="X100" s="59"/>
      <x:c r="Y100" s="59"/>
      <x:c r="Z100" s="59"/>
      <x:c r="AA100" s="59"/>
      <x:c r="AB100" s="59"/>
      <x:c r="AC100" s="59"/>
      <x:c r="AD100" s="59"/>
      <x:c r="AE100" s="59"/>
      <x:c r="AF100" s="59"/>
      <x:c r="AG100" s="59"/>
      <x:c r="AH100" s="59"/>
      <x:c r="AI100" s="59"/>
      <x:c r="AJ100" s="59"/>
      <x:c r="AK100" s="59"/>
      <x:c r="AL100" s="59"/>
      <x:c r="AM100" s="59"/>
      <x:c r="AN100" s="59"/>
    </x:row>
    <x:row r="101">
      <x:c r="A101" s="59"/>
      <x:c r="B101" s="59"/>
      <x:c r="C101" s="59"/>
      <x:c r="D101" s="59"/>
      <x:c r="E101" s="59"/>
      <x:c r="F101" s="59"/>
      <x:c r="G101" s="59"/>
      <x:c r="H101" s="59"/>
      <x:c r="I101" s="59"/>
      <x:c r="J101" s="59"/>
      <x:c r="K101" s="59"/>
      <x:c r="L101" s="59"/>
      <x:c r="M101" s="59"/>
      <x:c r="N101" s="59"/>
      <x:c r="O101" s="59"/>
      <x:c r="P101" s="59"/>
      <x:c r="Q101" s="59"/>
      <x:c r="R101" s="59"/>
      <x:c r="S101" s="59"/>
      <x:c r="T101" s="59"/>
      <x:c r="U101" s="59"/>
      <x:c r="V101" s="59"/>
      <x:c r="W101" s="59"/>
      <x:c r="X101" s="59"/>
      <x:c r="Y101" s="59"/>
      <x:c r="Z101" s="59"/>
      <x:c r="AA101" s="59"/>
      <x:c r="AB101" s="59"/>
      <x:c r="AC101" s="59"/>
      <x:c r="AD101" s="59"/>
      <x:c r="AE101" s="59"/>
      <x:c r="AF101" s="59"/>
      <x:c r="AG101" s="59"/>
      <x:c r="AH101" s="59"/>
      <x:c r="AI101" s="59"/>
      <x:c r="AJ101" s="59"/>
      <x:c r="AK101" s="59"/>
      <x:c r="AL101" s="59"/>
      <x:c r="AM101" s="59"/>
      <x:c r="AN101" s="59"/>
    </x:row>
    <x:row r="102">
      <x:c r="A102" s="59"/>
      <x:c r="B102" s="59"/>
      <x:c r="C102" s="59"/>
      <x:c r="D102" s="59"/>
      <x:c r="E102" s="59"/>
      <x:c r="F102" s="59"/>
      <x:c r="G102" s="59"/>
      <x:c r="H102" s="59"/>
      <x:c r="I102" s="59"/>
      <x:c r="J102" s="59"/>
      <x:c r="K102" s="59"/>
      <x:c r="L102" s="59"/>
      <x:c r="M102" s="59"/>
      <x:c r="N102" s="59"/>
      <x:c r="O102" s="59"/>
      <x:c r="P102" s="59"/>
      <x:c r="Q102" s="59"/>
      <x:c r="R102" s="59"/>
      <x:c r="S102" s="59"/>
      <x:c r="T102" s="59"/>
      <x:c r="U102" s="59"/>
      <x:c r="V102" s="59"/>
      <x:c r="W102" s="59"/>
      <x:c r="X102" s="59"/>
      <x:c r="Y102" s="59"/>
      <x:c r="Z102" s="59"/>
      <x:c r="AA102" s="59"/>
      <x:c r="AB102" s="59"/>
      <x:c r="AC102" s="59"/>
      <x:c r="AD102" s="59"/>
      <x:c r="AE102" s="59"/>
      <x:c r="AF102" s="59"/>
      <x:c r="AG102" s="59"/>
      <x:c r="AH102" s="59"/>
      <x:c r="AI102" s="59"/>
      <x:c r="AJ102" s="59"/>
      <x:c r="AK102" s="59"/>
      <x:c r="AL102" s="59"/>
      <x:c r="AM102" s="59"/>
      <x:c r="AN102" s="59"/>
    </x:row>
    <x:row r="103">
      <x:c r="A103" s="59"/>
      <x:c r="B103" s="59"/>
      <x:c r="C103" s="59"/>
      <x:c r="D103" s="59"/>
      <x:c r="E103" s="59"/>
      <x:c r="F103" s="59"/>
      <x:c r="G103" s="59"/>
      <x:c r="H103" s="59"/>
      <x:c r="I103" s="59"/>
      <x:c r="J103" s="59"/>
      <x:c r="K103" s="59"/>
      <x:c r="L103" s="59"/>
      <x:c r="M103" s="59"/>
      <x:c r="N103" s="59"/>
      <x:c r="O103" s="59"/>
      <x:c r="P103" s="59"/>
      <x:c r="Q103" s="59"/>
      <x:c r="R103" s="59"/>
      <x:c r="S103" s="59"/>
      <x:c r="T103" s="59"/>
      <x:c r="U103" s="59"/>
      <x:c r="V103" s="59"/>
      <x:c r="W103" s="59"/>
      <x:c r="X103" s="59"/>
      <x:c r="Y103" s="59"/>
      <x:c r="Z103" s="59"/>
      <x:c r="AA103" s="59"/>
      <x:c r="AB103" s="59"/>
      <x:c r="AC103" s="59"/>
      <x:c r="AD103" s="59"/>
      <x:c r="AE103" s="59"/>
      <x:c r="AF103" s="59"/>
      <x:c r="AG103" s="59"/>
      <x:c r="AH103" s="59"/>
      <x:c r="AI103" s="59"/>
      <x:c r="AJ103" s="59"/>
      <x:c r="AK103" s="59"/>
      <x:c r="AL103" s="59"/>
      <x:c r="AM103" s="59"/>
      <x:c r="AN103" s="59"/>
    </x:row>
    <x:row r="104">
      <x:c r="A104" s="59"/>
      <x:c r="B104" s="59"/>
      <x:c r="C104" s="59"/>
      <x:c r="D104" s="59"/>
      <x:c r="E104" s="59"/>
      <x:c r="F104" s="59"/>
      <x:c r="G104" s="59"/>
      <x:c r="H104" s="59"/>
      <x:c r="I104" s="59"/>
      <x:c r="J104" s="59"/>
      <x:c r="K104" s="59"/>
      <x:c r="L104" s="59"/>
      <x:c r="M104" s="59"/>
      <x:c r="N104" s="59"/>
      <x:c r="O104" s="59"/>
      <x:c r="P104" s="59"/>
      <x:c r="Q104" s="59"/>
      <x:c r="R104" s="59"/>
      <x:c r="S104" s="59"/>
      <x:c r="T104" s="59"/>
      <x:c r="U104" s="59"/>
      <x:c r="V104" s="59"/>
      <x:c r="W104" s="59"/>
      <x:c r="X104" s="59"/>
      <x:c r="Y104" s="59"/>
      <x:c r="Z104" s="59"/>
      <x:c r="AA104" s="59"/>
      <x:c r="AB104" s="59"/>
      <x:c r="AC104" s="59"/>
      <x:c r="AD104" s="59"/>
      <x:c r="AE104" s="59"/>
      <x:c r="AF104" s="59"/>
      <x:c r="AG104" s="59"/>
      <x:c r="AH104" s="59"/>
      <x:c r="AI104" s="59"/>
      <x:c r="AJ104" s="59"/>
      <x:c r="AK104" s="59"/>
      <x:c r="AL104" s="59"/>
      <x:c r="AM104" s="59"/>
      <x:c r="AN104" s="59"/>
    </x:row>
    <x:row r="105">
      <x:c r="A105" s="59"/>
      <x:c r="B105" s="59"/>
      <x:c r="C105" s="59"/>
      <x:c r="D105" s="59"/>
      <x:c r="E105" s="59"/>
      <x:c r="F105" s="59"/>
      <x:c r="G105" s="59"/>
      <x:c r="H105" s="59"/>
      <x:c r="I105" s="59"/>
      <x:c r="J105" s="59"/>
      <x:c r="K105" s="59"/>
      <x:c r="L105" s="59"/>
      <x:c r="M105" s="59"/>
      <x:c r="N105" s="59"/>
      <x:c r="O105" s="59"/>
      <x:c r="P105" s="59"/>
      <x:c r="Q105" s="59"/>
      <x:c r="R105" s="59"/>
      <x:c r="S105" s="59"/>
      <x:c r="T105" s="59"/>
      <x:c r="U105" s="59"/>
      <x:c r="V105" s="59"/>
      <x:c r="W105" s="59"/>
      <x:c r="X105" s="59"/>
      <x:c r="Y105" s="59"/>
      <x:c r="Z105" s="59"/>
      <x:c r="AA105" s="59"/>
      <x:c r="AB105" s="59"/>
      <x:c r="AC105" s="59"/>
      <x:c r="AD105" s="59"/>
      <x:c r="AE105" s="59"/>
      <x:c r="AF105" s="59"/>
      <x:c r="AG105" s="59"/>
      <x:c r="AH105" s="59"/>
      <x:c r="AI105" s="59"/>
      <x:c r="AJ105" s="59"/>
      <x:c r="AK105" s="59"/>
      <x:c r="AL105" s="59"/>
      <x:c r="AM105" s="59"/>
      <x:c r="AN105" s="59"/>
    </x:row>
    <x:row r="106">
      <x:c r="A106" s="59"/>
      <x:c r="B106" s="59"/>
      <x:c r="C106" s="59"/>
      <x:c r="D106" s="59"/>
      <x:c r="E106" s="59"/>
      <x:c r="F106" s="59"/>
      <x:c r="G106" s="59"/>
      <x:c r="H106" s="59"/>
      <x:c r="I106" s="59"/>
      <x:c r="J106" s="59"/>
      <x:c r="K106" s="59"/>
      <x:c r="L106" s="59"/>
      <x:c r="M106" s="59"/>
      <x:c r="N106" s="59"/>
      <x:c r="O106" s="59"/>
      <x:c r="P106" s="59"/>
      <x:c r="Q106" s="59"/>
      <x:c r="R106" s="59"/>
      <x:c r="S106" s="59"/>
      <x:c r="T106" s="59"/>
      <x:c r="U106" s="59"/>
      <x:c r="V106" s="59"/>
      <x:c r="W106" s="59"/>
      <x:c r="X106" s="59"/>
      <x:c r="Y106" s="59"/>
      <x:c r="Z106" s="59"/>
      <x:c r="AA106" s="59"/>
      <x:c r="AB106" s="59"/>
      <x:c r="AC106" s="59"/>
      <x:c r="AD106" s="59"/>
      <x:c r="AE106" s="59"/>
      <x:c r="AF106" s="59"/>
      <x:c r="AG106" s="59"/>
      <x:c r="AH106" s="59"/>
      <x:c r="AI106" s="59"/>
      <x:c r="AJ106" s="59"/>
      <x:c r="AK106" s="59"/>
      <x:c r="AL106" s="59"/>
      <x:c r="AM106" s="59"/>
      <x:c r="AN106" s="59"/>
    </x:row>
    <x:row r="107">
      <x:c r="A107" s="59"/>
      <x:c r="B107" s="59"/>
      <x:c r="C107" s="59"/>
      <x:c r="D107" s="59"/>
      <x:c r="E107" s="59"/>
      <x:c r="F107" s="59"/>
      <x:c r="G107" s="59"/>
      <x:c r="H107" s="59"/>
      <x:c r="I107" s="59"/>
      <x:c r="J107" s="59"/>
      <x:c r="K107" s="59"/>
      <x:c r="L107" s="59"/>
      <x:c r="M107" s="59"/>
      <x:c r="N107" s="59"/>
      <x:c r="O107" s="59"/>
      <x:c r="P107" s="59"/>
      <x:c r="Q107" s="59"/>
      <x:c r="R107" s="59"/>
      <x:c r="S107" s="59"/>
      <x:c r="T107" s="59"/>
      <x:c r="U107" s="59"/>
      <x:c r="V107" s="59"/>
      <x:c r="W107" s="59"/>
      <x:c r="X107" s="59"/>
      <x:c r="Y107" s="59"/>
      <x:c r="Z107" s="59"/>
      <x:c r="AA107" s="59"/>
      <x:c r="AB107" s="59"/>
      <x:c r="AC107" s="59"/>
      <x:c r="AD107" s="59"/>
      <x:c r="AE107" s="59"/>
      <x:c r="AF107" s="59"/>
      <x:c r="AG107" s="59"/>
      <x:c r="AH107" s="59"/>
      <x:c r="AI107" s="59"/>
      <x:c r="AJ107" s="59"/>
      <x:c r="AK107" s="59"/>
      <x:c r="AL107" s="59"/>
      <x:c r="AM107" s="59"/>
      <x:c r="AN107" s="59"/>
    </x:row>
    <x:row r="108">
      <x:c r="A108" s="59"/>
      <x:c r="B108" s="59"/>
      <x:c r="C108" s="59"/>
      <x:c r="D108" s="59"/>
      <x:c r="E108" s="59"/>
      <x:c r="F108" s="59"/>
      <x:c r="G108" s="59"/>
      <x:c r="H108" s="59"/>
      <x:c r="I108" s="59"/>
      <x:c r="J108" s="59"/>
      <x:c r="K108" s="59"/>
      <x:c r="L108" s="59"/>
      <x:c r="M108" s="59"/>
      <x:c r="N108" s="59"/>
      <x:c r="O108" s="59"/>
      <x:c r="P108" s="59"/>
      <x:c r="Q108" s="59"/>
      <x:c r="R108" s="59"/>
      <x:c r="S108" s="59"/>
      <x:c r="T108" s="59"/>
      <x:c r="U108" s="59"/>
      <x:c r="V108" s="59"/>
      <x:c r="W108" s="59"/>
      <x:c r="X108" s="59"/>
      <x:c r="Y108" s="59"/>
      <x:c r="Z108" s="59"/>
      <x:c r="AA108" s="59"/>
      <x:c r="AB108" s="59"/>
      <x:c r="AC108" s="59"/>
      <x:c r="AD108" s="59"/>
      <x:c r="AE108" s="59"/>
      <x:c r="AF108" s="59"/>
      <x:c r="AG108" s="59"/>
      <x:c r="AH108" s="59"/>
      <x:c r="AI108" s="59"/>
      <x:c r="AJ108" s="59"/>
      <x:c r="AK108" s="59"/>
      <x:c r="AL108" s="59"/>
      <x:c r="AM108" s="59"/>
      <x:c r="AN108" s="59"/>
    </x:row>
    <x:row r="109">
      <x:c r="A109" s="59"/>
      <x:c r="B109" s="59"/>
      <x:c r="C109" s="59"/>
      <x:c r="D109" s="59"/>
      <x:c r="E109" s="59"/>
      <x:c r="F109" s="59"/>
      <x:c r="G109" s="59"/>
      <x:c r="H109" s="59"/>
      <x:c r="I109" s="59"/>
      <x:c r="J109" s="59"/>
      <x:c r="K109" s="59"/>
      <x:c r="L109" s="59"/>
      <x:c r="M109" s="59"/>
      <x:c r="N109" s="59"/>
      <x:c r="O109" s="59"/>
      <x:c r="P109" s="59"/>
      <x:c r="Q109" s="59"/>
      <x:c r="R109" s="59"/>
      <x:c r="S109" s="59"/>
      <x:c r="T109" s="59"/>
      <x:c r="U109" s="59"/>
      <x:c r="V109" s="59"/>
      <x:c r="W109" s="59"/>
      <x:c r="X109" s="59"/>
      <x:c r="Y109" s="59"/>
      <x:c r="Z109" s="59"/>
      <x:c r="AA109" s="59"/>
      <x:c r="AB109" s="59"/>
      <x:c r="AC109" s="59"/>
      <x:c r="AD109" s="59"/>
      <x:c r="AE109" s="59"/>
      <x:c r="AF109" s="59"/>
      <x:c r="AG109" s="59"/>
      <x:c r="AH109" s="59"/>
      <x:c r="AI109" s="59"/>
      <x:c r="AJ109" s="59"/>
      <x:c r="AK109" s="59"/>
      <x:c r="AL109" s="59"/>
      <x:c r="AM109" s="59"/>
      <x:c r="AN109" s="59"/>
    </x:row>
    <x:row r="110">
      <x:c r="A110" s="59"/>
      <x:c r="B110" s="59"/>
      <x:c r="C110" s="59"/>
      <x:c r="D110" s="59"/>
      <x:c r="E110" s="59"/>
      <x:c r="F110" s="59"/>
      <x:c r="G110" s="59"/>
      <x:c r="H110" s="59"/>
      <x:c r="I110" s="59"/>
      <x:c r="J110" s="59"/>
      <x:c r="K110" s="59"/>
      <x:c r="L110" s="59"/>
      <x:c r="M110" s="59"/>
      <x:c r="N110" s="59"/>
      <x:c r="O110" s="59"/>
      <x:c r="P110" s="59"/>
      <x:c r="Q110" s="59"/>
      <x:c r="R110" s="59"/>
      <x:c r="S110" s="59"/>
      <x:c r="T110" s="59"/>
      <x:c r="U110" s="59"/>
      <x:c r="V110" s="59"/>
      <x:c r="W110" s="59"/>
      <x:c r="X110" s="59"/>
      <x:c r="Y110" s="59"/>
      <x:c r="Z110" s="59"/>
      <x:c r="AA110" s="59"/>
      <x:c r="AB110" s="59"/>
      <x:c r="AC110" s="59"/>
      <x:c r="AD110" s="59"/>
      <x:c r="AE110" s="59"/>
      <x:c r="AF110" s="59"/>
      <x:c r="AG110" s="59"/>
      <x:c r="AH110" s="59"/>
      <x:c r="AI110" s="59"/>
      <x:c r="AJ110" s="59"/>
      <x:c r="AK110" s="59"/>
      <x:c r="AL110" s="59"/>
      <x:c r="AM110" s="59"/>
      <x:c r="AN110" s="59"/>
    </x:row>
    <x:row r="111">
      <x:c r="A111" s="59"/>
      <x:c r="B111" s="59"/>
      <x:c r="C111" s="59"/>
      <x:c r="D111" s="59"/>
      <x:c r="E111" s="59"/>
      <x:c r="F111" s="59"/>
      <x:c r="G111" s="59"/>
      <x:c r="H111" s="59"/>
      <x:c r="I111" s="59"/>
      <x:c r="J111" s="59"/>
      <x:c r="K111" s="59"/>
      <x:c r="L111" s="59"/>
      <x:c r="M111" s="59"/>
      <x:c r="N111" s="59"/>
      <x:c r="O111" s="59"/>
      <x:c r="P111" s="59"/>
      <x:c r="Q111" s="59"/>
      <x:c r="R111" s="59"/>
      <x:c r="S111" s="59"/>
      <x:c r="T111" s="59"/>
      <x:c r="U111" s="59"/>
      <x:c r="V111" s="59"/>
      <x:c r="W111" s="59"/>
      <x:c r="X111" s="59"/>
      <x:c r="Y111" s="59"/>
      <x:c r="Z111" s="59"/>
      <x:c r="AA111" s="59"/>
      <x:c r="AB111" s="59"/>
      <x:c r="AC111" s="59"/>
      <x:c r="AD111" s="59"/>
      <x:c r="AE111" s="59"/>
      <x:c r="AF111" s="59"/>
      <x:c r="AG111" s="59"/>
      <x:c r="AH111" s="59"/>
      <x:c r="AI111" s="59"/>
      <x:c r="AJ111" s="59"/>
      <x:c r="AK111" s="59"/>
      <x:c r="AL111" s="59"/>
      <x:c r="AM111" s="59"/>
      <x:c r="AN111" s="59"/>
    </x:row>
    <x:row r="112">
      <x:c r="A112" s="59"/>
      <x:c r="B112" s="59"/>
      <x:c r="C112" s="59"/>
      <x:c r="D112" s="59"/>
      <x:c r="E112" s="59"/>
      <x:c r="F112" s="59"/>
      <x:c r="G112" s="59"/>
      <x:c r="H112" s="59"/>
      <x:c r="I112" s="59"/>
      <x:c r="J112" s="59"/>
      <x:c r="K112" s="59"/>
      <x:c r="L112" s="59"/>
      <x:c r="M112" s="59"/>
      <x:c r="N112" s="59"/>
      <x:c r="O112" s="59"/>
      <x:c r="P112" s="59"/>
      <x:c r="Q112" s="59"/>
      <x:c r="R112" s="59"/>
      <x:c r="S112" s="59"/>
      <x:c r="T112" s="59"/>
      <x:c r="U112" s="59"/>
      <x:c r="V112" s="59"/>
      <x:c r="W112" s="59"/>
      <x:c r="X112" s="59"/>
      <x:c r="Y112" s="59"/>
      <x:c r="Z112" s="59"/>
      <x:c r="AA112" s="59"/>
      <x:c r="AB112" s="59"/>
      <x:c r="AC112" s="59"/>
      <x:c r="AD112" s="59"/>
      <x:c r="AE112" s="59"/>
      <x:c r="AF112" s="59"/>
      <x:c r="AG112" s="59"/>
      <x:c r="AH112" s="59"/>
      <x:c r="AI112" s="59"/>
      <x:c r="AJ112" s="59"/>
      <x:c r="AK112" s="59"/>
      <x:c r="AL112" s="59"/>
      <x:c r="AM112" s="59"/>
      <x:c r="AN112" s="59"/>
    </x:row>
    <x:row r="113">
      <x:c r="A113" s="59"/>
      <x:c r="B113" s="59"/>
      <x:c r="C113" s="59"/>
      <x:c r="D113" s="59"/>
      <x:c r="E113" s="59"/>
      <x:c r="F113" s="59"/>
      <x:c r="G113" s="59"/>
      <x:c r="H113" s="59"/>
      <x:c r="I113" s="59"/>
      <x:c r="J113" s="59"/>
      <x:c r="K113" s="59"/>
      <x:c r="L113" s="59"/>
      <x:c r="M113" s="59"/>
      <x:c r="N113" s="59"/>
      <x:c r="O113" s="59"/>
      <x:c r="P113" s="59"/>
      <x:c r="Q113" s="59"/>
      <x:c r="R113" s="59"/>
      <x:c r="S113" s="59"/>
      <x:c r="T113" s="59"/>
      <x:c r="U113" s="59"/>
      <x:c r="V113" s="59"/>
      <x:c r="W113" s="59"/>
      <x:c r="X113" s="59"/>
      <x:c r="Y113" s="59"/>
      <x:c r="Z113" s="59"/>
      <x:c r="AA113" s="59"/>
      <x:c r="AB113" s="59"/>
      <x:c r="AC113" s="59"/>
      <x:c r="AD113" s="59"/>
      <x:c r="AE113" s="59"/>
      <x:c r="AF113" s="59"/>
      <x:c r="AG113" s="59"/>
      <x:c r="AH113" s="59"/>
      <x:c r="AI113" s="59"/>
      <x:c r="AJ113" s="59"/>
      <x:c r="AK113" s="59"/>
      <x:c r="AL113" s="59"/>
      <x:c r="AM113" s="59"/>
      <x:c r="AN113" s="59"/>
    </x:row>
    <x:row r="114">
      <x:c r="A114" s="59"/>
      <x:c r="B114" s="59"/>
      <x:c r="C114" s="59"/>
      <x:c r="D114" s="59"/>
      <x:c r="E114" s="59"/>
      <x:c r="F114" s="59"/>
      <x:c r="G114" s="59"/>
      <x:c r="H114" s="59"/>
      <x:c r="I114" s="59"/>
      <x:c r="J114" s="59"/>
      <x:c r="K114" s="59"/>
      <x:c r="L114" s="59"/>
      <x:c r="M114" s="59"/>
      <x:c r="N114" s="59"/>
      <x:c r="O114" s="59"/>
      <x:c r="P114" s="59"/>
      <x:c r="Q114" s="59"/>
      <x:c r="R114" s="59"/>
      <x:c r="S114" s="59"/>
      <x:c r="T114" s="59"/>
      <x:c r="U114" s="59"/>
      <x:c r="V114" s="59"/>
      <x:c r="W114" s="59"/>
      <x:c r="X114" s="59"/>
      <x:c r="Y114" s="59"/>
      <x:c r="Z114" s="59"/>
      <x:c r="AA114" s="59"/>
      <x:c r="AB114" s="59"/>
      <x:c r="AC114" s="59"/>
      <x:c r="AD114" s="59"/>
      <x:c r="AE114" s="59"/>
      <x:c r="AF114" s="59"/>
      <x:c r="AG114" s="59"/>
      <x:c r="AH114" s="59"/>
      <x:c r="AI114" s="59"/>
      <x:c r="AJ114" s="59"/>
      <x:c r="AK114" s="59"/>
      <x:c r="AL114" s="59"/>
      <x:c r="AM114" s="59"/>
      <x:c r="AN114" s="59"/>
    </x:row>
    <x:row r="115">
      <x:c r="A115" s="59"/>
      <x:c r="B115" s="59"/>
      <x:c r="C115" s="59"/>
      <x:c r="D115" s="59"/>
      <x:c r="E115" s="59"/>
      <x:c r="F115" s="59"/>
      <x:c r="G115" s="59"/>
      <x:c r="H115" s="59"/>
      <x:c r="I115" s="59"/>
      <x:c r="J115" s="59"/>
      <x:c r="K115" s="59"/>
      <x:c r="L115" s="59"/>
      <x:c r="M115" s="59"/>
      <x:c r="N115" s="59"/>
      <x:c r="O115" s="59"/>
      <x:c r="P115" s="59"/>
      <x:c r="Q115" s="59"/>
      <x:c r="R115" s="59"/>
      <x:c r="S115" s="59"/>
      <x:c r="T115" s="59"/>
      <x:c r="U115" s="59"/>
      <x:c r="V115" s="59"/>
      <x:c r="W115" s="59"/>
      <x:c r="X115" s="59"/>
      <x:c r="Y115" s="59"/>
      <x:c r="Z115" s="59"/>
      <x:c r="AA115" s="59"/>
      <x:c r="AB115" s="59"/>
      <x:c r="AC115" s="59"/>
      <x:c r="AD115" s="59"/>
      <x:c r="AE115" s="59"/>
      <x:c r="AF115" s="59"/>
      <x:c r="AG115" s="59"/>
      <x:c r="AH115" s="59"/>
      <x:c r="AI115" s="59"/>
      <x:c r="AJ115" s="59"/>
      <x:c r="AK115" s="59"/>
      <x:c r="AL115" s="59"/>
      <x:c r="AM115" s="59"/>
      <x:c r="AN115" s="59"/>
    </x:row>
    <x:row r="116">
      <x:c r="A116" s="59"/>
      <x:c r="B116" s="59"/>
      <x:c r="C116" s="59"/>
      <x:c r="D116" s="59"/>
      <x:c r="E116" s="59"/>
      <x:c r="F116" s="59"/>
      <x:c r="G116" s="59"/>
      <x:c r="H116" s="59"/>
      <x:c r="I116" s="59"/>
      <x:c r="J116" s="59"/>
      <x:c r="K116" s="59"/>
      <x:c r="L116" s="59"/>
      <x:c r="M116" s="59"/>
      <x:c r="N116" s="59"/>
      <x:c r="O116" s="59"/>
      <x:c r="P116" s="59"/>
      <x:c r="Q116" s="59"/>
      <x:c r="R116" s="59"/>
      <x:c r="S116" s="59"/>
      <x:c r="T116" s="59"/>
      <x:c r="U116" s="59"/>
      <x:c r="V116" s="59"/>
      <x:c r="W116" s="59"/>
      <x:c r="X116" s="59"/>
      <x:c r="Y116" s="59"/>
      <x:c r="Z116" s="59"/>
      <x:c r="AA116" s="59"/>
      <x:c r="AB116" s="59"/>
      <x:c r="AC116" s="59"/>
      <x:c r="AD116" s="59"/>
      <x:c r="AE116" s="59"/>
      <x:c r="AF116" s="59"/>
      <x:c r="AG116" s="59"/>
      <x:c r="AH116" s="59"/>
      <x:c r="AI116" s="59"/>
      <x:c r="AJ116" s="59"/>
      <x:c r="AK116" s="59"/>
      <x:c r="AL116" s="59"/>
      <x:c r="AM116" s="59"/>
      <x:c r="AN116" s="59"/>
    </x:row>
    <x:row r="117">
      <x:c r="A117" s="59"/>
      <x:c r="B117" s="59"/>
      <x:c r="C117" s="59"/>
      <x:c r="D117" s="59"/>
      <x:c r="E117" s="59"/>
      <x:c r="F117" s="59"/>
      <x:c r="G117" s="59"/>
      <x:c r="H117" s="59"/>
      <x:c r="I117" s="59"/>
      <x:c r="J117" s="59"/>
      <x:c r="K117" s="59"/>
      <x:c r="L117" s="59"/>
      <x:c r="M117" s="59"/>
      <x:c r="N117" s="59"/>
      <x:c r="O117" s="59"/>
      <x:c r="P117" s="59"/>
      <x:c r="Q117" s="59"/>
      <x:c r="R117" s="59"/>
      <x:c r="S117" s="59"/>
      <x:c r="T117" s="59"/>
      <x:c r="U117" s="59"/>
      <x:c r="V117" s="59"/>
      <x:c r="W117" s="59"/>
      <x:c r="X117" s="59"/>
      <x:c r="Y117" s="59"/>
      <x:c r="Z117" s="59"/>
      <x:c r="AA117" s="59"/>
      <x:c r="AB117" s="59"/>
      <x:c r="AC117" s="59"/>
      <x:c r="AD117" s="59"/>
      <x:c r="AE117" s="59"/>
      <x:c r="AF117" s="59"/>
      <x:c r="AG117" s="59"/>
      <x:c r="AH117" s="59"/>
      <x:c r="AI117" s="59"/>
      <x:c r="AJ117" s="59"/>
      <x:c r="AK117" s="59"/>
      <x:c r="AL117" s="59"/>
      <x:c r="AM117" s="59"/>
      <x:c r="AN117" s="59"/>
    </x:row>
    <x:row r="118">
      <x:c r="A118" s="59"/>
      <x:c r="B118" s="59"/>
      <x:c r="C118" s="59"/>
      <x:c r="D118" s="59"/>
      <x:c r="E118" s="59"/>
      <x:c r="F118" s="59"/>
      <x:c r="G118" s="59"/>
      <x:c r="H118" s="59"/>
      <x:c r="I118" s="59"/>
      <x:c r="J118" s="59"/>
      <x:c r="K118" s="59"/>
      <x:c r="L118" s="59"/>
      <x:c r="M118" s="59"/>
      <x:c r="N118" s="59"/>
      <x:c r="O118" s="59"/>
      <x:c r="P118" s="59"/>
      <x:c r="Q118" s="59"/>
      <x:c r="R118" s="59"/>
      <x:c r="S118" s="59"/>
      <x:c r="T118" s="59"/>
      <x:c r="U118" s="59"/>
      <x:c r="V118" s="59"/>
      <x:c r="W118" s="59"/>
      <x:c r="X118" s="59"/>
      <x:c r="Y118" s="59"/>
      <x:c r="Z118" s="59"/>
      <x:c r="AA118" s="59"/>
      <x:c r="AB118" s="59"/>
      <x:c r="AC118" s="59"/>
      <x:c r="AD118" s="59"/>
      <x:c r="AE118" s="59"/>
      <x:c r="AF118" s="59"/>
      <x:c r="AG118" s="59"/>
      <x:c r="AH118" s="59"/>
      <x:c r="AI118" s="59"/>
      <x:c r="AJ118" s="59"/>
      <x:c r="AK118" s="59"/>
      <x:c r="AL118" s="59"/>
      <x:c r="AM118" s="59"/>
      <x:c r="AN118" s="59"/>
    </x:row>
    <x:row r="119">
      <x:c r="A119" s="59"/>
      <x:c r="B119" s="59"/>
      <x:c r="C119" s="59"/>
      <x:c r="D119" s="59"/>
      <x:c r="E119" s="59"/>
      <x:c r="F119" s="59"/>
      <x:c r="G119" s="59"/>
      <x:c r="H119" s="59"/>
      <x:c r="I119" s="59"/>
      <x:c r="J119" s="59"/>
      <x:c r="K119" s="59"/>
      <x:c r="L119" s="59"/>
      <x:c r="M119" s="59"/>
      <x:c r="N119" s="59"/>
      <x:c r="O119" s="59"/>
      <x:c r="P119" s="59"/>
      <x:c r="Q119" s="59"/>
      <x:c r="R119" s="59"/>
      <x:c r="S119" s="59"/>
      <x:c r="T119" s="59"/>
      <x:c r="U119" s="59"/>
      <x:c r="V119" s="59"/>
      <x:c r="W119" s="59"/>
      <x:c r="X119" s="59"/>
      <x:c r="Y119" s="59"/>
      <x:c r="Z119" s="59"/>
      <x:c r="AA119" s="59"/>
      <x:c r="AB119" s="59"/>
      <x:c r="AC119" s="59"/>
      <x:c r="AD119" s="59"/>
      <x:c r="AE119" s="59"/>
      <x:c r="AF119" s="59"/>
      <x:c r="AG119" s="59"/>
      <x:c r="AH119" s="59"/>
      <x:c r="AI119" s="59"/>
      <x:c r="AJ119" s="59"/>
      <x:c r="AK119" s="59"/>
      <x:c r="AL119" s="59"/>
      <x:c r="AM119" s="59"/>
      <x:c r="AN119" s="59"/>
    </x:row>
    <x:row r="120">
      <x:c r="A120" s="59"/>
      <x:c r="B120" s="59"/>
      <x:c r="C120" s="59"/>
      <x:c r="D120" s="59"/>
      <x:c r="E120" s="59"/>
      <x:c r="F120" s="59"/>
      <x:c r="G120" s="59"/>
      <x:c r="H120" s="59"/>
      <x:c r="I120" s="59"/>
      <x:c r="J120" s="59"/>
      <x:c r="K120" s="59"/>
      <x:c r="L120" s="59"/>
      <x:c r="M120" s="59"/>
      <x:c r="N120" s="59"/>
      <x:c r="O120" s="59"/>
      <x:c r="P120" s="59"/>
      <x:c r="Q120" s="59"/>
      <x:c r="R120" s="59"/>
      <x:c r="S120" s="59"/>
      <x:c r="T120" s="59"/>
      <x:c r="U120" s="59"/>
      <x:c r="V120" s="59"/>
      <x:c r="W120" s="59"/>
      <x:c r="X120" s="59"/>
      <x:c r="Y120" s="59"/>
      <x:c r="Z120" s="59"/>
      <x:c r="AA120" s="59"/>
      <x:c r="AB120" s="59"/>
      <x:c r="AC120" s="59"/>
      <x:c r="AD120" s="59"/>
      <x:c r="AE120" s="59"/>
      <x:c r="AF120" s="59"/>
      <x:c r="AG120" s="59"/>
      <x:c r="AH120" s="59"/>
      <x:c r="AI120" s="59"/>
      <x:c r="AJ120" s="59"/>
      <x:c r="AK120" s="59"/>
      <x:c r="AL120" s="59"/>
      <x:c r="AM120" s="59"/>
      <x:c r="AN120" s="59"/>
    </x:row>
    <x:row r="121">
      <x:c r="A121" s="59"/>
      <x:c r="B121" s="59"/>
      <x:c r="C121" s="59"/>
      <x:c r="D121" s="59"/>
      <x:c r="E121" s="59"/>
      <x:c r="F121" s="59"/>
      <x:c r="G121" s="59"/>
      <x:c r="H121" s="59"/>
      <x:c r="I121" s="59"/>
      <x:c r="J121" s="59"/>
      <x:c r="K121" s="59"/>
      <x:c r="L121" s="59"/>
      <x:c r="M121" s="59"/>
      <x:c r="N121" s="59"/>
      <x:c r="O121" s="59"/>
      <x:c r="P121" s="59"/>
      <x:c r="Q121" s="59"/>
      <x:c r="R121" s="59"/>
      <x:c r="S121" s="59"/>
      <x:c r="T121" s="59"/>
      <x:c r="U121" s="59"/>
      <x:c r="V121" s="59"/>
      <x:c r="W121" s="59"/>
      <x:c r="X121" s="59"/>
      <x:c r="Y121" s="59"/>
      <x:c r="Z121" s="59"/>
      <x:c r="AA121" s="59"/>
      <x:c r="AB121" s="59"/>
      <x:c r="AC121" s="59"/>
      <x:c r="AD121" s="59"/>
      <x:c r="AE121" s="59"/>
      <x:c r="AF121" s="59"/>
      <x:c r="AG121" s="59"/>
      <x:c r="AH121" s="59"/>
      <x:c r="AI121" s="59"/>
      <x:c r="AJ121" s="59"/>
      <x:c r="AK121" s="59"/>
      <x:c r="AL121" s="59"/>
      <x:c r="AM121" s="59"/>
      <x:c r="AN121" s="59"/>
    </x:row>
    <x:row r="122">
      <x:c r="A122" s="59"/>
      <x:c r="B122" s="59"/>
      <x:c r="C122" s="59"/>
      <x:c r="D122" s="59"/>
      <x:c r="E122" s="59"/>
      <x:c r="F122" s="59"/>
      <x:c r="G122" s="59"/>
      <x:c r="H122" s="59"/>
      <x:c r="I122" s="59"/>
      <x:c r="J122" s="59"/>
      <x:c r="K122" s="59"/>
      <x:c r="L122" s="59"/>
      <x:c r="M122" s="59"/>
      <x:c r="N122" s="59"/>
      <x:c r="O122" s="59"/>
      <x:c r="P122" s="59"/>
      <x:c r="Q122" s="59"/>
      <x:c r="R122" s="59"/>
      <x:c r="S122" s="59"/>
      <x:c r="T122" s="59"/>
      <x:c r="U122" s="59"/>
      <x:c r="V122" s="59"/>
      <x:c r="W122" s="59"/>
      <x:c r="X122" s="59"/>
      <x:c r="Y122" s="59"/>
      <x:c r="Z122" s="59"/>
      <x:c r="AA122" s="59"/>
      <x:c r="AB122" s="59"/>
      <x:c r="AC122" s="59"/>
      <x:c r="AD122" s="59"/>
      <x:c r="AE122" s="59"/>
      <x:c r="AF122" s="59"/>
      <x:c r="AG122" s="59"/>
      <x:c r="AH122" s="59"/>
      <x:c r="AI122" s="59"/>
      <x:c r="AJ122" s="59"/>
      <x:c r="AK122" s="59"/>
      <x:c r="AL122" s="59"/>
      <x:c r="AM122" s="59"/>
      <x:c r="AN122" s="59"/>
    </x:row>
    <x:row r="123">
      <x:c r="A123" s="59"/>
      <x:c r="B123" s="59"/>
      <x:c r="C123" s="59"/>
      <x:c r="D123" s="59"/>
      <x:c r="E123" s="59"/>
      <x:c r="F123" s="59"/>
      <x:c r="G123" s="59"/>
      <x:c r="H123" s="59"/>
      <x:c r="I123" s="59"/>
      <x:c r="J123" s="59"/>
      <x:c r="K123" s="59"/>
      <x:c r="L123" s="59"/>
      <x:c r="M123" s="59"/>
      <x:c r="N123" s="59"/>
      <x:c r="O123" s="59"/>
      <x:c r="P123" s="59"/>
      <x:c r="Q123" s="59"/>
      <x:c r="R123" s="59"/>
      <x:c r="S123" s="59"/>
      <x:c r="T123" s="59"/>
      <x:c r="U123" s="59"/>
      <x:c r="V123" s="59"/>
      <x:c r="W123" s="59"/>
      <x:c r="X123" s="59"/>
      <x:c r="Y123" s="59"/>
      <x:c r="Z123" s="59"/>
      <x:c r="AA123" s="59"/>
      <x:c r="AB123" s="59"/>
      <x:c r="AC123" s="59"/>
      <x:c r="AD123" s="59"/>
      <x:c r="AE123" s="59"/>
      <x:c r="AF123" s="59"/>
      <x:c r="AG123" s="59"/>
      <x:c r="AH123" s="59"/>
      <x:c r="AI123" s="59"/>
      <x:c r="AJ123" s="59"/>
      <x:c r="AK123" s="59"/>
      <x:c r="AL123" s="59"/>
      <x:c r="AM123" s="59"/>
      <x:c r="AN123" s="59"/>
    </x:row>
    <x:row r="124">
      <x:c r="A124" s="59"/>
      <x:c r="B124" s="59"/>
      <x:c r="C124" s="59"/>
      <x:c r="D124" s="59"/>
      <x:c r="E124" s="59"/>
      <x:c r="F124" s="59"/>
      <x:c r="G124" s="59"/>
      <x:c r="H124" s="59"/>
      <x:c r="I124" s="59"/>
      <x:c r="J124" s="59"/>
      <x:c r="K124" s="59"/>
      <x:c r="L124" s="59"/>
      <x:c r="M124" s="59"/>
      <x:c r="N124" s="59"/>
      <x:c r="O124" s="59"/>
      <x:c r="P124" s="59"/>
      <x:c r="Q124" s="59"/>
      <x:c r="R124" s="59"/>
      <x:c r="S124" s="59"/>
      <x:c r="T124" s="59"/>
      <x:c r="U124" s="59"/>
      <x:c r="V124" s="59"/>
      <x:c r="W124" s="59"/>
      <x:c r="X124" s="59"/>
      <x:c r="Y124" s="59"/>
      <x:c r="Z124" s="59"/>
      <x:c r="AA124" s="59"/>
      <x:c r="AB124" s="59"/>
      <x:c r="AC124" s="59"/>
      <x:c r="AD124" s="59"/>
      <x:c r="AE124" s="59"/>
      <x:c r="AF124" s="59"/>
      <x:c r="AG124" s="59"/>
      <x:c r="AH124" s="59"/>
      <x:c r="AI124" s="59"/>
      <x:c r="AJ124" s="59"/>
      <x:c r="AK124" s="59"/>
      <x:c r="AL124" s="59"/>
      <x:c r="AM124" s="59"/>
      <x:c r="AN124" s="59"/>
    </x:row>
    <x:row r="125">
      <x:c r="A125" s="59"/>
      <x:c r="B125" s="59"/>
      <x:c r="C125" s="59"/>
      <x:c r="D125" s="59"/>
      <x:c r="E125" s="59"/>
      <x:c r="F125" s="59"/>
      <x:c r="G125" s="59"/>
      <x:c r="H125" s="59"/>
      <x:c r="I125" s="59"/>
      <x:c r="J125" s="59"/>
      <x:c r="K125" s="59"/>
      <x:c r="L125" s="59"/>
      <x:c r="M125" s="59"/>
      <x:c r="N125" s="59"/>
      <x:c r="O125" s="59"/>
      <x:c r="P125" s="59"/>
      <x:c r="Q125" s="59"/>
      <x:c r="R125" s="59"/>
      <x:c r="S125" s="59"/>
      <x:c r="T125" s="59"/>
      <x:c r="U125" s="59"/>
      <x:c r="V125" s="59"/>
      <x:c r="W125" s="59"/>
      <x:c r="X125" s="59"/>
      <x:c r="Y125" s="59"/>
      <x:c r="Z125" s="59"/>
      <x:c r="AA125" s="59"/>
      <x:c r="AB125" s="59"/>
      <x:c r="AC125" s="59"/>
      <x:c r="AD125" s="59"/>
      <x:c r="AE125" s="59"/>
      <x:c r="AF125" s="59"/>
      <x:c r="AG125" s="59"/>
      <x:c r="AH125" s="59"/>
      <x:c r="AI125" s="59"/>
      <x:c r="AJ125" s="59"/>
      <x:c r="AK125" s="59"/>
      <x:c r="AL125" s="59"/>
      <x:c r="AM125" s="59"/>
      <x:c r="AN125" s="59"/>
    </x:row>
    <x:row r="126">
      <x:c r="A126" s="59"/>
      <x:c r="B126" s="59"/>
      <x:c r="C126" s="59"/>
      <x:c r="D126" s="59"/>
      <x:c r="E126" s="59"/>
      <x:c r="F126" s="59"/>
      <x:c r="G126" s="59"/>
      <x:c r="H126" s="59"/>
      <x:c r="I126" s="59"/>
      <x:c r="J126" s="59"/>
      <x:c r="K126" s="59"/>
      <x:c r="L126" s="59"/>
      <x:c r="M126" s="59"/>
      <x:c r="N126" s="59"/>
      <x:c r="O126" s="59"/>
      <x:c r="P126" s="59"/>
      <x:c r="Q126" s="59"/>
      <x:c r="R126" s="59"/>
      <x:c r="S126" s="59"/>
      <x:c r="T126" s="59"/>
      <x:c r="U126" s="59"/>
      <x:c r="V126" s="59"/>
      <x:c r="W126" s="59"/>
      <x:c r="X126" s="59"/>
      <x:c r="Y126" s="59"/>
      <x:c r="Z126" s="59"/>
      <x:c r="AA126" s="59"/>
      <x:c r="AB126" s="59"/>
      <x:c r="AC126" s="59"/>
      <x:c r="AD126" s="59"/>
      <x:c r="AE126" s="59"/>
      <x:c r="AF126" s="59"/>
      <x:c r="AG126" s="59"/>
      <x:c r="AH126" s="59"/>
      <x:c r="AI126" s="59"/>
      <x:c r="AJ126" s="59"/>
      <x:c r="AK126" s="59"/>
      <x:c r="AL126" s="59"/>
      <x:c r="AM126" s="59"/>
      <x:c r="AN126" s="59"/>
    </x:row>
    <x:row r="127">
      <x:c r="A127" s="59"/>
      <x:c r="B127" s="59"/>
      <x:c r="C127" s="59"/>
      <x:c r="D127" s="59"/>
      <x:c r="E127" s="59"/>
      <x:c r="F127" s="59"/>
      <x:c r="G127" s="59"/>
      <x:c r="H127" s="59"/>
      <x:c r="I127" s="59"/>
      <x:c r="J127" s="59"/>
      <x:c r="K127" s="59"/>
      <x:c r="L127" s="59"/>
      <x:c r="M127" s="59"/>
      <x:c r="N127" s="59"/>
      <x:c r="O127" s="59"/>
      <x:c r="P127" s="59"/>
      <x:c r="Q127" s="59"/>
      <x:c r="R127" s="59"/>
      <x:c r="S127" s="59"/>
      <x:c r="T127" s="59"/>
      <x:c r="U127" s="59"/>
      <x:c r="V127" s="59"/>
      <x:c r="W127" s="59"/>
      <x:c r="X127" s="59"/>
      <x:c r="Y127" s="59"/>
      <x:c r="Z127" s="59"/>
      <x:c r="AA127" s="59"/>
      <x:c r="AB127" s="59"/>
      <x:c r="AC127" s="59"/>
      <x:c r="AD127" s="59"/>
      <x:c r="AE127" s="59"/>
      <x:c r="AF127" s="59"/>
      <x:c r="AG127" s="59"/>
      <x:c r="AH127" s="59"/>
      <x:c r="AI127" s="59"/>
      <x:c r="AJ127" s="59"/>
      <x:c r="AK127" s="59"/>
      <x:c r="AL127" s="59"/>
      <x:c r="AM127" s="59"/>
      <x:c r="AN127" s="59"/>
    </x:row>
    <x:row r="128">
      <x:c r="A128" s="59"/>
      <x:c r="B128" s="59"/>
      <x:c r="C128" s="59"/>
      <x:c r="D128" s="59"/>
      <x:c r="E128" s="59"/>
      <x:c r="F128" s="59"/>
      <x:c r="G128" s="59"/>
      <x:c r="H128" s="59"/>
      <x:c r="I128" s="59"/>
      <x:c r="J128" s="59"/>
      <x:c r="K128" s="59"/>
      <x:c r="L128" s="59"/>
      <x:c r="M128" s="59"/>
      <x:c r="N128" s="59"/>
      <x:c r="O128" s="59"/>
      <x:c r="P128" s="59"/>
      <x:c r="Q128" s="59"/>
      <x:c r="R128" s="59"/>
      <x:c r="S128" s="59"/>
      <x:c r="T128" s="59"/>
      <x:c r="U128" s="59"/>
      <x:c r="V128" s="59"/>
      <x:c r="W128" s="59"/>
      <x:c r="X128" s="59"/>
      <x:c r="Y128" s="59"/>
      <x:c r="Z128" s="59"/>
      <x:c r="AA128" s="59"/>
      <x:c r="AB128" s="59"/>
      <x:c r="AC128" s="59"/>
      <x:c r="AD128" s="59"/>
      <x:c r="AE128" s="59"/>
      <x:c r="AF128" s="59"/>
      <x:c r="AG128" s="59"/>
      <x:c r="AH128" s="59"/>
      <x:c r="AI128" s="59"/>
      <x:c r="AJ128" s="59"/>
      <x:c r="AK128" s="59"/>
      <x:c r="AL128" s="59"/>
      <x:c r="AM128" s="59"/>
      <x:c r="AN128" s="59"/>
    </x:row>
    <x:row r="129">
      <x:c r="A129" s="59"/>
      <x:c r="B129" s="59"/>
      <x:c r="C129" s="59"/>
      <x:c r="D129" s="59"/>
      <x:c r="E129" s="59"/>
      <x:c r="F129" s="59"/>
      <x:c r="G129" s="59"/>
      <x:c r="H129" s="59"/>
      <x:c r="I129" s="59"/>
      <x:c r="J129" s="59"/>
      <x:c r="K129" s="59"/>
      <x:c r="L129" s="59"/>
      <x:c r="M129" s="59"/>
      <x:c r="N129" s="59"/>
      <x:c r="O129" s="59"/>
      <x:c r="P129" s="59"/>
      <x:c r="Q129" s="59"/>
      <x:c r="R129" s="59"/>
      <x:c r="S129" s="59"/>
      <x:c r="T129" s="59"/>
      <x:c r="U129" s="59"/>
      <x:c r="V129" s="59"/>
      <x:c r="W129" s="59"/>
      <x:c r="X129" s="59"/>
      <x:c r="Y129" s="59"/>
      <x:c r="Z129" s="59"/>
      <x:c r="AA129" s="59"/>
      <x:c r="AB129" s="59"/>
      <x:c r="AC129" s="59"/>
      <x:c r="AD129" s="59"/>
      <x:c r="AE129" s="59"/>
      <x:c r="AF129" s="59"/>
      <x:c r="AG129" s="59"/>
      <x:c r="AH129" s="59"/>
      <x:c r="AI129" s="59"/>
      <x:c r="AJ129" s="59"/>
      <x:c r="AK129" s="59"/>
      <x:c r="AL129" s="59"/>
      <x:c r="AM129" s="59"/>
      <x:c r="AN129" s="59"/>
    </x:row>
    <x:row r="130">
      <x:c r="A130" s="59"/>
      <x:c r="B130" s="59"/>
      <x:c r="C130" s="59"/>
      <x:c r="D130" s="59"/>
      <x:c r="E130" s="59"/>
      <x:c r="F130" s="59"/>
      <x:c r="G130" s="59"/>
      <x:c r="H130" s="59"/>
      <x:c r="I130" s="59"/>
      <x:c r="J130" s="59"/>
      <x:c r="K130" s="59"/>
      <x:c r="L130" s="59"/>
      <x:c r="M130" s="59"/>
      <x:c r="N130" s="59"/>
      <x:c r="O130" s="59"/>
      <x:c r="P130" s="59"/>
      <x:c r="Q130" s="59"/>
      <x:c r="R130" s="59"/>
      <x:c r="S130" s="59"/>
      <x:c r="T130" s="59"/>
      <x:c r="U130" s="59"/>
      <x:c r="V130" s="59"/>
      <x:c r="W130" s="59"/>
      <x:c r="X130" s="59"/>
      <x:c r="Y130" s="59"/>
      <x:c r="Z130" s="59"/>
      <x:c r="AA130" s="59"/>
      <x:c r="AB130" s="59"/>
      <x:c r="AC130" s="59"/>
      <x:c r="AD130" s="59"/>
      <x:c r="AE130" s="59"/>
      <x:c r="AF130" s="59"/>
      <x:c r="AG130" s="59"/>
      <x:c r="AH130" s="59"/>
      <x:c r="AI130" s="59"/>
      <x:c r="AJ130" s="59"/>
      <x:c r="AK130" s="59"/>
      <x:c r="AL130" s="59"/>
      <x:c r="AM130" s="59"/>
      <x:c r="AN130" s="59"/>
    </x:row>
    <x:row r="131">
      <x:c r="A131" s="59"/>
      <x:c r="B131" s="59"/>
      <x:c r="C131" s="59"/>
      <x:c r="D131" s="59"/>
      <x:c r="E131" s="59"/>
      <x:c r="F131" s="59"/>
      <x:c r="G131" s="59"/>
      <x:c r="H131" s="59"/>
      <x:c r="I131" s="59"/>
      <x:c r="J131" s="59"/>
      <x:c r="K131" s="59"/>
      <x:c r="L131" s="59"/>
      <x:c r="M131" s="59"/>
      <x:c r="N131" s="59"/>
      <x:c r="O131" s="59"/>
      <x:c r="P131" s="59"/>
      <x:c r="Q131" s="59"/>
      <x:c r="R131" s="59"/>
      <x:c r="S131" s="59"/>
      <x:c r="T131" s="59"/>
      <x:c r="U131" s="59"/>
      <x:c r="V131" s="59"/>
      <x:c r="W131" s="59"/>
      <x:c r="X131" s="59"/>
      <x:c r="Y131" s="59"/>
      <x:c r="Z131" s="59"/>
      <x:c r="AA131" s="59"/>
      <x:c r="AB131" s="59"/>
      <x:c r="AC131" s="59"/>
      <x:c r="AD131" s="59"/>
      <x:c r="AE131" s="59"/>
      <x:c r="AF131" s="59"/>
      <x:c r="AG131" s="59"/>
      <x:c r="AH131" s="59"/>
      <x:c r="AI131" s="59"/>
      <x:c r="AJ131" s="59"/>
      <x:c r="AK131" s="59"/>
      <x:c r="AL131" s="59"/>
      <x:c r="AM131" s="59"/>
      <x:c r="AN131" s="59"/>
    </x:row>
    <x:row r="132">
      <x:c r="A132" s="59"/>
      <x:c r="B132" s="59"/>
      <x:c r="C132" s="59"/>
      <x:c r="D132" s="59"/>
      <x:c r="E132" s="59"/>
      <x:c r="F132" s="59"/>
      <x:c r="G132" s="59"/>
      <x:c r="H132" s="59"/>
      <x:c r="I132" s="59"/>
      <x:c r="J132" s="59"/>
      <x:c r="K132" s="59"/>
      <x:c r="L132" s="59"/>
      <x:c r="M132" s="59"/>
      <x:c r="N132" s="59"/>
      <x:c r="O132" s="59"/>
      <x:c r="P132" s="59"/>
      <x:c r="Q132" s="59"/>
      <x:c r="R132" s="59"/>
      <x:c r="S132" s="59"/>
      <x:c r="T132" s="59"/>
      <x:c r="U132" s="59"/>
      <x:c r="V132" s="59"/>
      <x:c r="W132" s="59"/>
      <x:c r="X132" s="59"/>
      <x:c r="Y132" s="59"/>
      <x:c r="Z132" s="59"/>
      <x:c r="AA132" s="59"/>
      <x:c r="AB132" s="59"/>
      <x:c r="AC132" s="59"/>
      <x:c r="AD132" s="59"/>
      <x:c r="AE132" s="59"/>
      <x:c r="AF132" s="59"/>
      <x:c r="AG132" s="59"/>
      <x:c r="AH132" s="59"/>
      <x:c r="AI132" s="59"/>
      <x:c r="AJ132" s="59"/>
      <x:c r="AK132" s="59"/>
      <x:c r="AL132" s="59"/>
      <x:c r="AM132" s="59"/>
      <x:c r="AN132" s="59"/>
    </x:row>
    <x:row r="133">
      <x:c r="A133" s="59"/>
      <x:c r="B133" s="59"/>
      <x:c r="C133" s="59"/>
      <x:c r="D133" s="59"/>
      <x:c r="E133" s="59"/>
      <x:c r="F133" s="59"/>
      <x:c r="G133" s="59"/>
      <x:c r="H133" s="59"/>
      <x:c r="I133" s="59"/>
      <x:c r="J133" s="59"/>
      <x:c r="K133" s="59"/>
      <x:c r="L133" s="59"/>
      <x:c r="M133" s="59"/>
      <x:c r="N133" s="59"/>
      <x:c r="O133" s="59"/>
      <x:c r="P133" s="59"/>
      <x:c r="Q133" s="59"/>
      <x:c r="R133" s="59"/>
      <x:c r="S133" s="59"/>
      <x:c r="T133" s="59"/>
      <x:c r="U133" s="59"/>
      <x:c r="V133" s="59"/>
      <x:c r="W133" s="59"/>
      <x:c r="X133" s="59"/>
      <x:c r="Y133" s="59"/>
      <x:c r="Z133" s="59"/>
      <x:c r="AA133" s="59"/>
      <x:c r="AB133" s="59"/>
      <x:c r="AC133" s="59"/>
      <x:c r="AD133" s="59"/>
      <x:c r="AE133" s="59"/>
      <x:c r="AF133" s="59"/>
      <x:c r="AG133" s="59"/>
      <x:c r="AH133" s="59"/>
      <x:c r="AI133" s="59"/>
      <x:c r="AJ133" s="59"/>
      <x:c r="AK133" s="59"/>
      <x:c r="AL133" s="59"/>
      <x:c r="AM133" s="59"/>
      <x:c r="AN133" s="59"/>
    </x:row>
    <x:row r="134">
      <x:c r="A134" s="59"/>
      <x:c r="B134" s="59"/>
      <x:c r="C134" s="59"/>
      <x:c r="D134" s="59"/>
      <x:c r="E134" s="59"/>
      <x:c r="F134" s="59"/>
      <x:c r="G134" s="59"/>
      <x:c r="H134" s="59"/>
      <x:c r="I134" s="59"/>
      <x:c r="J134" s="59"/>
      <x:c r="K134" s="59"/>
      <x:c r="L134" s="59"/>
      <x:c r="M134" s="59"/>
      <x:c r="N134" s="59"/>
      <x:c r="O134" s="59"/>
      <x:c r="P134" s="59"/>
      <x:c r="Q134" s="59"/>
      <x:c r="R134" s="59"/>
      <x:c r="S134" s="59"/>
      <x:c r="T134" s="59"/>
      <x:c r="U134" s="59"/>
      <x:c r="V134" s="59"/>
      <x:c r="W134" s="59"/>
      <x:c r="X134" s="59"/>
      <x:c r="Y134" s="59"/>
      <x:c r="Z134" s="59"/>
      <x:c r="AA134" s="59"/>
      <x:c r="AB134" s="59"/>
      <x:c r="AC134" s="59"/>
      <x:c r="AD134" s="59"/>
      <x:c r="AE134" s="59"/>
      <x:c r="AF134" s="59"/>
      <x:c r="AG134" s="59"/>
      <x:c r="AH134" s="59"/>
      <x:c r="AI134" s="59"/>
      <x:c r="AJ134" s="59"/>
      <x:c r="AK134" s="59"/>
      <x:c r="AL134" s="59"/>
      <x:c r="AM134" s="59"/>
      <x:c r="AN134" s="59"/>
    </x:row>
    <x:row r="135">
      <x:c r="A135" s="59"/>
      <x:c r="B135" s="59"/>
      <x:c r="C135" s="59"/>
      <x:c r="D135" s="59"/>
      <x:c r="E135" s="59"/>
      <x:c r="F135" s="59"/>
      <x:c r="G135" s="59"/>
      <x:c r="H135" s="59"/>
      <x:c r="I135" s="59"/>
      <x:c r="J135" s="59"/>
      <x:c r="K135" s="59"/>
      <x:c r="L135" s="59"/>
      <x:c r="M135" s="59"/>
      <x:c r="N135" s="59"/>
      <x:c r="O135" s="59"/>
      <x:c r="P135" s="59"/>
      <x:c r="Q135" s="59"/>
      <x:c r="R135" s="59"/>
      <x:c r="S135" s="59"/>
      <x:c r="T135" s="59"/>
      <x:c r="U135" s="59"/>
      <x:c r="V135" s="59"/>
      <x:c r="W135" s="59"/>
      <x:c r="X135" s="59"/>
      <x:c r="Y135" s="59"/>
      <x:c r="Z135" s="59"/>
      <x:c r="AA135" s="59"/>
      <x:c r="AB135" s="59"/>
      <x:c r="AC135" s="59"/>
      <x:c r="AD135" s="59"/>
      <x:c r="AE135" s="59"/>
      <x:c r="AF135" s="59"/>
      <x:c r="AG135" s="59"/>
      <x:c r="AH135" s="59"/>
      <x:c r="AI135" s="59"/>
      <x:c r="AJ135" s="59"/>
      <x:c r="AK135" s="59"/>
      <x:c r="AL135" s="59"/>
      <x:c r="AM135" s="59"/>
      <x:c r="AN135" s="59"/>
    </x:row>
    <x:row r="136">
      <x:c r="A136" s="59"/>
      <x:c r="B136" s="59"/>
      <x:c r="C136" s="59"/>
      <x:c r="D136" s="59"/>
      <x:c r="E136" s="59"/>
      <x:c r="F136" s="59"/>
      <x:c r="G136" s="59"/>
      <x:c r="H136" s="59"/>
      <x:c r="I136" s="59"/>
      <x:c r="J136" s="59"/>
      <x:c r="K136" s="59"/>
      <x:c r="L136" s="59"/>
      <x:c r="M136" s="59"/>
      <x:c r="N136" s="59"/>
      <x:c r="O136" s="59"/>
      <x:c r="P136" s="59"/>
      <x:c r="Q136" s="59"/>
      <x:c r="R136" s="59"/>
      <x:c r="S136" s="59"/>
      <x:c r="T136" s="59"/>
      <x:c r="U136" s="59"/>
      <x:c r="V136" s="59"/>
      <x:c r="W136" s="59"/>
      <x:c r="X136" s="59"/>
      <x:c r="Y136" s="59"/>
      <x:c r="Z136" s="59"/>
      <x:c r="AA136" s="59"/>
      <x:c r="AB136" s="59"/>
      <x:c r="AC136" s="59"/>
      <x:c r="AD136" s="59"/>
      <x:c r="AE136" s="59"/>
      <x:c r="AF136" s="59"/>
      <x:c r="AG136" s="59"/>
      <x:c r="AH136" s="59"/>
      <x:c r="AI136" s="59"/>
      <x:c r="AJ136" s="59"/>
      <x:c r="AK136" s="59"/>
      <x:c r="AL136" s="59"/>
      <x:c r="AM136" s="59"/>
      <x:c r="AN136" s="59"/>
    </x:row>
    <x:row r="137">
      <x:c r="A137" s="59"/>
      <x:c r="B137" s="59"/>
      <x:c r="C137" s="59"/>
      <x:c r="D137" s="59"/>
      <x:c r="E137" s="59"/>
      <x:c r="F137" s="59"/>
      <x:c r="G137" s="59"/>
      <x:c r="H137" s="59"/>
      <x:c r="I137" s="59"/>
      <x:c r="J137" s="59"/>
      <x:c r="K137" s="59"/>
      <x:c r="L137" s="59"/>
      <x:c r="M137" s="59"/>
      <x:c r="N137" s="59"/>
      <x:c r="O137" s="59"/>
      <x:c r="P137" s="59"/>
      <x:c r="Q137" s="59"/>
      <x:c r="R137" s="59"/>
      <x:c r="S137" s="59"/>
      <x:c r="T137" s="59"/>
      <x:c r="U137" s="59"/>
      <x:c r="V137" s="59"/>
      <x:c r="W137" s="59"/>
      <x:c r="X137" s="59"/>
      <x:c r="Y137" s="59"/>
      <x:c r="Z137" s="59"/>
      <x:c r="AA137" s="59"/>
      <x:c r="AB137" s="59"/>
      <x:c r="AC137" s="59"/>
      <x:c r="AD137" s="59"/>
      <x:c r="AE137" s="59"/>
      <x:c r="AF137" s="59"/>
      <x:c r="AG137" s="59"/>
      <x:c r="AH137" s="59"/>
      <x:c r="AI137" s="59"/>
      <x:c r="AJ137" s="59"/>
      <x:c r="AK137" s="59"/>
      <x:c r="AL137" s="59"/>
      <x:c r="AM137" s="59"/>
      <x:c r="AN137" s="59"/>
    </x:row>
    <x:row r="138">
      <x:c r="A138" s="59"/>
      <x:c r="B138" s="59"/>
      <x:c r="C138" s="59"/>
      <x:c r="D138" s="59"/>
      <x:c r="E138" s="59"/>
      <x:c r="F138" s="59"/>
      <x:c r="G138" s="59"/>
      <x:c r="H138" s="59"/>
      <x:c r="I138" s="59"/>
      <x:c r="J138" s="59"/>
      <x:c r="K138" s="59"/>
      <x:c r="L138" s="59"/>
      <x:c r="M138" s="59"/>
      <x:c r="N138" s="59"/>
      <x:c r="O138" s="59"/>
      <x:c r="P138" s="59"/>
      <x:c r="Q138" s="59"/>
      <x:c r="R138" s="59"/>
      <x:c r="S138" s="59"/>
      <x:c r="T138" s="59"/>
      <x:c r="U138" s="59"/>
      <x:c r="V138" s="59"/>
      <x:c r="W138" s="59"/>
      <x:c r="X138" s="59"/>
      <x:c r="Y138" s="59"/>
      <x:c r="Z138" s="59"/>
      <x:c r="AA138" s="59"/>
      <x:c r="AB138" s="59"/>
      <x:c r="AC138" s="59"/>
      <x:c r="AD138" s="59"/>
      <x:c r="AE138" s="59"/>
      <x:c r="AF138" s="59"/>
      <x:c r="AG138" s="59"/>
      <x:c r="AH138" s="59"/>
      <x:c r="AI138" s="59"/>
      <x:c r="AJ138" s="59"/>
      <x:c r="AK138" s="59"/>
      <x:c r="AL138" s="59"/>
      <x:c r="AM138" s="59"/>
      <x:c r="AN138" s="59"/>
    </x:row>
    <x:row r="139">
      <x:c r="A139" s="59"/>
      <x:c r="B139" s="59"/>
      <x:c r="C139" s="59"/>
      <x:c r="D139" s="59"/>
      <x:c r="E139" s="59"/>
      <x:c r="F139" s="59"/>
      <x:c r="G139" s="59"/>
      <x:c r="H139" s="59"/>
      <x:c r="I139" s="59"/>
      <x:c r="J139" s="59"/>
      <x:c r="K139" s="59"/>
      <x:c r="L139" s="59"/>
      <x:c r="M139" s="59"/>
      <x:c r="N139" s="59"/>
      <x:c r="O139" s="59"/>
      <x:c r="P139" s="59"/>
      <x:c r="Q139" s="59"/>
      <x:c r="R139" s="59"/>
      <x:c r="S139" s="59"/>
      <x:c r="T139" s="59"/>
      <x:c r="U139" s="59"/>
      <x:c r="V139" s="59"/>
      <x:c r="W139" s="59"/>
      <x:c r="X139" s="59"/>
      <x:c r="Y139" s="59"/>
      <x:c r="Z139" s="59"/>
      <x:c r="AA139" s="59"/>
      <x:c r="AB139" s="59"/>
      <x:c r="AC139" s="59"/>
      <x:c r="AD139" s="59"/>
      <x:c r="AE139" s="59"/>
      <x:c r="AF139" s="59"/>
      <x:c r="AG139" s="59"/>
      <x:c r="AH139" s="59"/>
      <x:c r="AI139" s="59"/>
      <x:c r="AJ139" s="59"/>
      <x:c r="AK139" s="59"/>
      <x:c r="AL139" s="59"/>
      <x:c r="AM139" s="59"/>
      <x:c r="AN139" s="59"/>
    </x:row>
    <x:row r="140">
      <x:c r="A140" s="59"/>
      <x:c r="B140" s="59"/>
      <x:c r="C140" s="59"/>
      <x:c r="D140" s="59"/>
      <x:c r="E140" s="59"/>
      <x:c r="F140" s="59"/>
      <x:c r="G140" s="59"/>
      <x:c r="H140" s="59"/>
      <x:c r="I140" s="59"/>
      <x:c r="J140" s="59"/>
      <x:c r="K140" s="59"/>
      <x:c r="L140" s="59"/>
      <x:c r="M140" s="59"/>
      <x:c r="N140" s="59"/>
      <x:c r="O140" s="59"/>
      <x:c r="P140" s="59"/>
      <x:c r="Q140" s="59"/>
      <x:c r="R140" s="59"/>
      <x:c r="S140" s="59"/>
      <x:c r="T140" s="59"/>
      <x:c r="U140" s="59"/>
      <x:c r="V140" s="59"/>
      <x:c r="W140" s="59"/>
      <x:c r="X140" s="59"/>
      <x:c r="Y140" s="59"/>
      <x:c r="Z140" s="59"/>
      <x:c r="AA140" s="59"/>
      <x:c r="AB140" s="59"/>
      <x:c r="AC140" s="59"/>
      <x:c r="AD140" s="59"/>
      <x:c r="AE140" s="59"/>
      <x:c r="AF140" s="59"/>
      <x:c r="AG140" s="59"/>
      <x:c r="AH140" s="59"/>
      <x:c r="AI140" s="59"/>
      <x:c r="AJ140" s="59"/>
      <x:c r="AK140" s="59"/>
      <x:c r="AL140" s="59"/>
      <x:c r="AM140" s="59"/>
      <x:c r="AN140" s="59"/>
    </x:row>
    <x:row r="141">
      <x:c r="A141" s="59"/>
      <x:c r="B141" s="59"/>
      <x:c r="C141" s="59"/>
      <x:c r="D141" s="59"/>
      <x:c r="E141" s="59"/>
      <x:c r="F141" s="59"/>
      <x:c r="G141" s="59"/>
      <x:c r="H141" s="59"/>
      <x:c r="I141" s="59"/>
      <x:c r="J141" s="59"/>
      <x:c r="K141" s="59"/>
      <x:c r="L141" s="59"/>
      <x:c r="M141" s="59"/>
      <x:c r="N141" s="59"/>
      <x:c r="O141" s="59"/>
      <x:c r="P141" s="59"/>
      <x:c r="Q141" s="59"/>
      <x:c r="R141" s="59"/>
      <x:c r="S141" s="59"/>
      <x:c r="T141" s="59"/>
      <x:c r="U141" s="59"/>
      <x:c r="V141" s="59"/>
      <x:c r="W141" s="59"/>
      <x:c r="X141" s="59"/>
      <x:c r="Y141" s="59"/>
      <x:c r="Z141" s="59"/>
      <x:c r="AA141" s="59"/>
      <x:c r="AB141" s="59"/>
      <x:c r="AC141" s="59"/>
      <x:c r="AD141" s="59"/>
      <x:c r="AE141" s="59"/>
      <x:c r="AF141" s="59"/>
      <x:c r="AG141" s="59"/>
      <x:c r="AH141" s="59"/>
      <x:c r="AI141" s="59"/>
      <x:c r="AJ141" s="59"/>
      <x:c r="AK141" s="59"/>
      <x:c r="AL141" s="59"/>
      <x:c r="AM141" s="59"/>
      <x:c r="AN141" s="59"/>
    </x:row>
    <x:row r="142">
      <x:c r="A142" s="59"/>
      <x:c r="B142" s="59"/>
      <x:c r="C142" s="59"/>
      <x:c r="D142" s="59"/>
      <x:c r="E142" s="59"/>
      <x:c r="F142" s="59"/>
      <x:c r="G142" s="59"/>
      <x:c r="H142" s="59"/>
      <x:c r="I142" s="59"/>
      <x:c r="J142" s="59"/>
      <x:c r="K142" s="59"/>
      <x:c r="L142" s="59"/>
      <x:c r="M142" s="59"/>
      <x:c r="N142" s="59"/>
      <x:c r="O142" s="59"/>
      <x:c r="P142" s="59"/>
      <x:c r="Q142" s="59"/>
      <x:c r="R142" s="59"/>
      <x:c r="S142" s="59"/>
      <x:c r="T142" s="59"/>
      <x:c r="U142" s="59"/>
      <x:c r="V142" s="59"/>
      <x:c r="W142" s="59"/>
      <x:c r="X142" s="59"/>
      <x:c r="Y142" s="59"/>
      <x:c r="Z142" s="59"/>
      <x:c r="AA142" s="59"/>
      <x:c r="AB142" s="59"/>
      <x:c r="AC142" s="59"/>
      <x:c r="AD142" s="59"/>
      <x:c r="AE142" s="59"/>
      <x:c r="AF142" s="59"/>
      <x:c r="AG142" s="59"/>
      <x:c r="AH142" s="59"/>
      <x:c r="AI142" s="59"/>
      <x:c r="AJ142" s="59"/>
      <x:c r="AK142" s="59"/>
      <x:c r="AL142" s="59"/>
      <x:c r="AM142" s="59"/>
      <x:c r="AN142" s="59"/>
    </x:row>
    <x:row r="143">
      <x:c r="A143" s="59"/>
      <x:c r="B143" s="59"/>
      <x:c r="C143" s="59"/>
      <x:c r="D143" s="59"/>
      <x:c r="E143" s="59"/>
      <x:c r="F143" s="59"/>
      <x:c r="G143" s="59"/>
      <x:c r="H143" s="59"/>
      <x:c r="I143" s="59"/>
      <x:c r="J143" s="59"/>
      <x:c r="K143" s="59"/>
      <x:c r="L143" s="59"/>
      <x:c r="M143" s="59"/>
      <x:c r="N143" s="59"/>
      <x:c r="O143" s="59"/>
      <x:c r="P143" s="59"/>
      <x:c r="Q143" s="59"/>
      <x:c r="R143" s="59"/>
      <x:c r="S143" s="59"/>
      <x:c r="T143" s="59"/>
      <x:c r="U143" s="59"/>
      <x:c r="V143" s="59"/>
      <x:c r="W143" s="59"/>
      <x:c r="X143" s="59"/>
      <x:c r="Y143" s="59"/>
      <x:c r="Z143" s="59"/>
      <x:c r="AA143" s="59"/>
      <x:c r="AB143" s="59"/>
      <x:c r="AC143" s="59"/>
      <x:c r="AD143" s="59"/>
      <x:c r="AE143" s="59"/>
      <x:c r="AF143" s="59"/>
      <x:c r="AG143" s="59"/>
      <x:c r="AH143" s="59"/>
      <x:c r="AI143" s="59"/>
      <x:c r="AJ143" s="59"/>
      <x:c r="AK143" s="59"/>
      <x:c r="AL143" s="59"/>
      <x:c r="AM143" s="59"/>
      <x:c r="AN143" s="59"/>
    </x:row>
    <x:row r="144">
      <x:c r="A144" s="59"/>
      <x:c r="B144" s="59"/>
      <x:c r="C144" s="59"/>
      <x:c r="D144" s="59"/>
      <x:c r="E144" s="59"/>
      <x:c r="F144" s="59"/>
      <x:c r="G144" s="59"/>
      <x:c r="H144" s="59"/>
      <x:c r="I144" s="59"/>
      <x:c r="J144" s="59"/>
      <x:c r="K144" s="59"/>
      <x:c r="L144" s="59"/>
      <x:c r="M144" s="59"/>
      <x:c r="N144" s="59"/>
      <x:c r="O144" s="59"/>
      <x:c r="P144" s="59"/>
      <x:c r="Q144" s="59"/>
      <x:c r="R144" s="59"/>
      <x:c r="S144" s="59"/>
      <x:c r="T144" s="59"/>
      <x:c r="U144" s="59"/>
      <x:c r="V144" s="59"/>
      <x:c r="W144" s="59"/>
      <x:c r="X144" s="59"/>
      <x:c r="Y144" s="59"/>
      <x:c r="Z144" s="59"/>
      <x:c r="AA144" s="59"/>
      <x:c r="AB144" s="59"/>
      <x:c r="AC144" s="59"/>
      <x:c r="AD144" s="59"/>
      <x:c r="AE144" s="59"/>
      <x:c r="AF144" s="59"/>
      <x:c r="AG144" s="59"/>
      <x:c r="AH144" s="59"/>
      <x:c r="AI144" s="59"/>
      <x:c r="AJ144" s="59"/>
      <x:c r="AK144" s="59"/>
      <x:c r="AL144" s="59"/>
      <x:c r="AM144" s="59"/>
      <x:c r="AN144" s="59"/>
    </x:row>
    <x:row r="145">
      <x:c r="A145" s="59"/>
      <x:c r="B145" s="59"/>
      <x:c r="C145" s="59"/>
      <x:c r="D145" s="59"/>
      <x:c r="E145" s="59"/>
      <x:c r="F145" s="59"/>
      <x:c r="G145" s="59"/>
      <x:c r="H145" s="59"/>
      <x:c r="I145" s="59"/>
      <x:c r="J145" s="59"/>
      <x:c r="K145" s="59"/>
      <x:c r="L145" s="59"/>
      <x:c r="M145" s="59"/>
      <x:c r="N145" s="59"/>
      <x:c r="O145" s="59"/>
      <x:c r="P145" s="59"/>
      <x:c r="Q145" s="59"/>
      <x:c r="R145" s="59"/>
      <x:c r="S145" s="59"/>
      <x:c r="T145" s="59"/>
      <x:c r="U145" s="59"/>
      <x:c r="V145" s="59"/>
      <x:c r="W145" s="59"/>
      <x:c r="X145" s="59"/>
      <x:c r="Y145" s="59"/>
      <x:c r="Z145" s="59"/>
      <x:c r="AA145" s="59"/>
      <x:c r="AB145" s="59"/>
      <x:c r="AC145" s="59"/>
      <x:c r="AD145" s="59"/>
      <x:c r="AE145" s="59"/>
      <x:c r="AF145" s="59"/>
      <x:c r="AG145" s="59"/>
      <x:c r="AH145" s="59"/>
      <x:c r="AI145" s="59"/>
      <x:c r="AJ145" s="59"/>
      <x:c r="AK145" s="59"/>
      <x:c r="AL145" s="59"/>
      <x:c r="AM145" s="59"/>
      <x:c r="AN145" s="59"/>
    </x:row>
    <x:row r="146">
      <x:c r="A146" s="59"/>
      <x:c r="B146" s="59"/>
      <x:c r="C146" s="59"/>
      <x:c r="D146" s="59"/>
      <x:c r="E146" s="59"/>
      <x:c r="F146" s="59"/>
      <x:c r="G146" s="59"/>
      <x:c r="H146" s="59"/>
      <x:c r="I146" s="59"/>
      <x:c r="J146" s="59"/>
      <x:c r="K146" s="59"/>
      <x:c r="L146" s="59"/>
      <x:c r="M146" s="59"/>
      <x:c r="N146" s="59"/>
      <x:c r="O146" s="59"/>
      <x:c r="P146" s="59"/>
      <x:c r="Q146" s="59"/>
      <x:c r="R146" s="59"/>
      <x:c r="S146" s="59"/>
      <x:c r="T146" s="59"/>
      <x:c r="U146" s="59"/>
      <x:c r="V146" s="59"/>
      <x:c r="W146" s="59"/>
      <x:c r="X146" s="59"/>
      <x:c r="Y146" s="59"/>
      <x:c r="Z146" s="59"/>
      <x:c r="AA146" s="59"/>
      <x:c r="AB146" s="59"/>
      <x:c r="AC146" s="59"/>
      <x:c r="AD146" s="59"/>
      <x:c r="AE146" s="59"/>
      <x:c r="AF146" s="59"/>
      <x:c r="AG146" s="59"/>
      <x:c r="AH146" s="59"/>
      <x:c r="AI146" s="59"/>
      <x:c r="AJ146" s="59"/>
      <x:c r="AK146" s="59"/>
      <x:c r="AL146" s="59"/>
      <x:c r="AM146" s="59"/>
      <x:c r="AN146" s="59"/>
    </x:row>
    <x:row r="147">
      <x:c r="A147" s="59"/>
      <x:c r="B147" s="59"/>
      <x:c r="C147" s="59"/>
      <x:c r="D147" s="59"/>
      <x:c r="E147" s="59"/>
      <x:c r="F147" s="59"/>
      <x:c r="G147" s="59"/>
      <x:c r="H147" s="59"/>
      <x:c r="I147" s="59"/>
      <x:c r="J147" s="59"/>
      <x:c r="K147" s="59"/>
      <x:c r="L147" s="59"/>
      <x:c r="M147" s="59"/>
      <x:c r="N147" s="59"/>
      <x:c r="O147" s="59"/>
      <x:c r="P147" s="59"/>
      <x:c r="Q147" s="59"/>
      <x:c r="R147" s="59"/>
      <x:c r="S147" s="59"/>
      <x:c r="T147" s="59"/>
      <x:c r="U147" s="59"/>
      <x:c r="V147" s="59"/>
      <x:c r="W147" s="59"/>
      <x:c r="X147" s="59"/>
      <x:c r="Y147" s="59"/>
      <x:c r="Z147" s="59"/>
      <x:c r="AA147" s="59"/>
      <x:c r="AB147" s="59"/>
      <x:c r="AC147" s="59"/>
      <x:c r="AD147" s="59"/>
      <x:c r="AE147" s="59"/>
      <x:c r="AF147" s="59"/>
      <x:c r="AG147" s="59"/>
      <x:c r="AH147" s="59"/>
      <x:c r="AI147" s="59"/>
      <x:c r="AJ147" s="59"/>
      <x:c r="AK147" s="59"/>
      <x:c r="AL147" s="59"/>
      <x:c r="AM147" s="59"/>
      <x:c r="AN147" s="59"/>
    </x:row>
    <x:row r="148">
      <x:c r="A148" s="59"/>
      <x:c r="B148" s="59"/>
      <x:c r="C148" s="59"/>
      <x:c r="D148" s="59"/>
      <x:c r="E148" s="59"/>
      <x:c r="F148" s="59"/>
      <x:c r="G148" s="59"/>
      <x:c r="H148" s="59"/>
      <x:c r="I148" s="59"/>
      <x:c r="J148" s="59"/>
      <x:c r="K148" s="59"/>
      <x:c r="L148" s="59"/>
      <x:c r="M148" s="59"/>
      <x:c r="N148" s="59"/>
      <x:c r="O148" s="59"/>
      <x:c r="P148" s="59"/>
      <x:c r="Q148" s="59"/>
      <x:c r="R148" s="59"/>
      <x:c r="S148" s="59"/>
      <x:c r="T148" s="59"/>
      <x:c r="U148" s="59"/>
      <x:c r="V148" s="59"/>
      <x:c r="W148" s="59"/>
      <x:c r="X148" s="59"/>
      <x:c r="Y148" s="59"/>
      <x:c r="Z148" s="59"/>
      <x:c r="AA148" s="59"/>
      <x:c r="AB148" s="59"/>
      <x:c r="AC148" s="59"/>
      <x:c r="AD148" s="59"/>
      <x:c r="AE148" s="59"/>
      <x:c r="AF148" s="59"/>
      <x:c r="AG148" s="59"/>
      <x:c r="AH148" s="59"/>
      <x:c r="AI148" s="59"/>
      <x:c r="AJ148" s="59"/>
      <x:c r="AK148" s="59"/>
      <x:c r="AL148" s="59"/>
      <x:c r="AM148" s="59"/>
      <x:c r="AN148" s="59"/>
    </x:row>
    <x:row r="149">
      <x:c r="A149" s="59"/>
      <x:c r="B149" s="59"/>
      <x:c r="C149" s="59"/>
      <x:c r="D149" s="59"/>
      <x:c r="E149" s="59"/>
      <x:c r="F149" s="59"/>
      <x:c r="G149" s="59"/>
      <x:c r="H149" s="59"/>
      <x:c r="I149" s="59"/>
      <x:c r="J149" s="59"/>
      <x:c r="K149" s="59"/>
      <x:c r="L149" s="59"/>
      <x:c r="M149" s="59"/>
      <x:c r="N149" s="59"/>
      <x:c r="O149" s="59"/>
      <x:c r="P149" s="59"/>
      <x:c r="Q149" s="59"/>
      <x:c r="R149" s="59"/>
      <x:c r="S149" s="59"/>
      <x:c r="T149" s="59"/>
      <x:c r="U149" s="59"/>
      <x:c r="V149" s="59"/>
      <x:c r="W149" s="59"/>
      <x:c r="X149" s="59"/>
      <x:c r="Y149" s="59"/>
      <x:c r="Z149" s="59"/>
      <x:c r="AA149" s="59"/>
      <x:c r="AB149" s="59"/>
      <x:c r="AC149" s="59"/>
      <x:c r="AD149" s="59"/>
      <x:c r="AE149" s="59"/>
      <x:c r="AF149" s="59"/>
      <x:c r="AG149" s="59"/>
      <x:c r="AH149" s="59"/>
      <x:c r="AI149" s="59"/>
      <x:c r="AJ149" s="59"/>
      <x:c r="AK149" s="59"/>
      <x:c r="AL149" s="59"/>
      <x:c r="AM149" s="59"/>
      <x:c r="AN149" s="59"/>
    </x:row>
    <x:row r="150">
      <x:c r="A150" s="59"/>
      <x:c r="B150" s="59"/>
      <x:c r="C150" s="59"/>
      <x:c r="D150" s="59"/>
      <x:c r="E150" s="59"/>
      <x:c r="F150" s="59"/>
      <x:c r="G150" s="59"/>
      <x:c r="H150" s="59"/>
      <x:c r="I150" s="59"/>
      <x:c r="J150" s="59"/>
      <x:c r="K150" s="59"/>
      <x:c r="L150" s="59"/>
      <x:c r="M150" s="59"/>
      <x:c r="N150" s="59"/>
      <x:c r="O150" s="59"/>
      <x:c r="P150" s="59"/>
      <x:c r="Q150" s="59"/>
      <x:c r="R150" s="59"/>
      <x:c r="S150" s="59"/>
      <x:c r="T150" s="59"/>
      <x:c r="U150" s="59"/>
      <x:c r="V150" s="59"/>
      <x:c r="W150" s="59"/>
      <x:c r="X150" s="59"/>
      <x:c r="Y150" s="59"/>
      <x:c r="Z150" s="59"/>
      <x:c r="AA150" s="59"/>
      <x:c r="AB150" s="59"/>
      <x:c r="AC150" s="59"/>
      <x:c r="AD150" s="59"/>
      <x:c r="AE150" s="59"/>
      <x:c r="AF150" s="59"/>
      <x:c r="AG150" s="59"/>
      <x:c r="AH150" s="59"/>
      <x:c r="AI150" s="59"/>
      <x:c r="AJ150" s="59"/>
      <x:c r="AK150" s="59"/>
      <x:c r="AL150" s="59"/>
      <x:c r="AM150" s="59"/>
      <x:c r="AN150" s="59"/>
    </x:row>
    <x:row r="151">
      <x:c r="A151" s="59"/>
      <x:c r="B151" s="59"/>
      <x:c r="C151" s="59"/>
      <x:c r="D151" s="59"/>
      <x:c r="E151" s="59"/>
      <x:c r="F151" s="59"/>
      <x:c r="G151" s="59"/>
      <x:c r="H151" s="59"/>
      <x:c r="I151" s="59"/>
      <x:c r="J151" s="59"/>
      <x:c r="K151" s="59"/>
      <x:c r="L151" s="59"/>
      <x:c r="M151" s="59"/>
      <x:c r="N151" s="59"/>
      <x:c r="O151" s="59"/>
      <x:c r="P151" s="59"/>
      <x:c r="Q151" s="59"/>
      <x:c r="R151" s="59"/>
      <x:c r="S151" s="59"/>
      <x:c r="T151" s="59"/>
      <x:c r="U151" s="59"/>
      <x:c r="V151" s="59"/>
      <x:c r="W151" s="59"/>
      <x:c r="X151" s="59"/>
      <x:c r="Y151" s="59"/>
      <x:c r="Z151" s="59"/>
      <x:c r="AA151" s="59"/>
      <x:c r="AB151" s="59"/>
      <x:c r="AC151" s="59"/>
      <x:c r="AD151" s="59"/>
      <x:c r="AE151" s="59"/>
      <x:c r="AF151" s="59"/>
      <x:c r="AG151" s="59"/>
      <x:c r="AH151" s="59"/>
      <x:c r="AI151" s="59"/>
      <x:c r="AJ151" s="59"/>
      <x:c r="AK151" s="59"/>
      <x:c r="AL151" s="59"/>
      <x:c r="AM151" s="59"/>
      <x:c r="AN151" s="59"/>
    </x:row>
    <x:row r="152">
      <x:c r="A152" s="59"/>
      <x:c r="B152" s="59"/>
      <x:c r="C152" s="59"/>
      <x:c r="D152" s="59"/>
      <x:c r="E152" s="59"/>
      <x:c r="F152" s="59"/>
      <x:c r="G152" s="59"/>
      <x:c r="H152" s="59"/>
      <x:c r="I152" s="59"/>
      <x:c r="J152" s="59"/>
      <x:c r="K152" s="59"/>
      <x:c r="L152" s="59"/>
      <x:c r="M152" s="59"/>
      <x:c r="N152" s="59"/>
      <x:c r="O152" s="59"/>
      <x:c r="P152" s="59"/>
      <x:c r="Q152" s="59"/>
      <x:c r="R152" s="59"/>
      <x:c r="S152" s="59"/>
      <x:c r="T152" s="59"/>
      <x:c r="U152" s="59"/>
      <x:c r="V152" s="59"/>
      <x:c r="W152" s="59"/>
      <x:c r="X152" s="59"/>
      <x:c r="Y152" s="59"/>
      <x:c r="Z152" s="59"/>
      <x:c r="AA152" s="59"/>
      <x:c r="AB152" s="59"/>
      <x:c r="AC152" s="59"/>
      <x:c r="AD152" s="59"/>
      <x:c r="AE152" s="59"/>
      <x:c r="AF152" s="59"/>
      <x:c r="AG152" s="59"/>
      <x:c r="AH152" s="59"/>
      <x:c r="AI152" s="59"/>
      <x:c r="AJ152" s="59"/>
      <x:c r="AK152" s="59"/>
      <x:c r="AL152" s="59"/>
      <x:c r="AM152" s="59"/>
      <x:c r="AN152" s="59"/>
    </x:row>
    <x:row r="153">
      <x:c r="A153" s="59"/>
      <x:c r="B153" s="59"/>
      <x:c r="C153" s="59"/>
      <x:c r="D153" s="59"/>
      <x:c r="E153" s="59"/>
      <x:c r="F153" s="59"/>
      <x:c r="G153" s="59"/>
      <x:c r="H153" s="59"/>
      <x:c r="I153" s="59"/>
      <x:c r="J153" s="59"/>
      <x:c r="K153" s="59"/>
      <x:c r="L153" s="59"/>
      <x:c r="M153" s="59"/>
      <x:c r="N153" s="59"/>
      <x:c r="O153" s="59"/>
      <x:c r="P153" s="59"/>
      <x:c r="Q153" s="59"/>
      <x:c r="R153" s="59"/>
      <x:c r="S153" s="59"/>
      <x:c r="T153" s="59"/>
      <x:c r="U153" s="59"/>
      <x:c r="V153" s="59"/>
      <x:c r="W153" s="59"/>
      <x:c r="X153" s="59"/>
      <x:c r="Y153" s="59"/>
      <x:c r="Z153" s="59"/>
      <x:c r="AA153" s="59"/>
      <x:c r="AB153" s="59"/>
      <x:c r="AC153" s="59"/>
      <x:c r="AD153" s="59"/>
      <x:c r="AE153" s="59"/>
      <x:c r="AF153" s="59"/>
      <x:c r="AG153" s="59"/>
      <x:c r="AH153" s="59"/>
      <x:c r="AI153" s="59"/>
      <x:c r="AJ153" s="59"/>
      <x:c r="AK153" s="59"/>
      <x:c r="AL153" s="59"/>
      <x:c r="AM153" s="59"/>
      <x:c r="AN153" s="59"/>
    </x:row>
    <x:row r="154">
      <x:c r="A154" s="59"/>
      <x:c r="B154" s="59"/>
      <x:c r="C154" s="59"/>
      <x:c r="D154" s="59"/>
      <x:c r="E154" s="59"/>
      <x:c r="F154" s="59"/>
      <x:c r="G154" s="59"/>
      <x:c r="H154" s="59"/>
      <x:c r="I154" s="59"/>
      <x:c r="J154" s="59"/>
      <x:c r="K154" s="59"/>
      <x:c r="L154" s="59"/>
      <x:c r="M154" s="59"/>
      <x:c r="N154" s="59"/>
      <x:c r="O154" s="59"/>
      <x:c r="P154" s="59"/>
      <x:c r="Q154" s="59"/>
      <x:c r="R154" s="59"/>
      <x:c r="S154" s="59"/>
      <x:c r="T154" s="59"/>
      <x:c r="U154" s="59"/>
      <x:c r="V154" s="59"/>
      <x:c r="W154" s="59"/>
      <x:c r="X154" s="59"/>
      <x:c r="Y154" s="59"/>
      <x:c r="Z154" s="59"/>
      <x:c r="AA154" s="59"/>
      <x:c r="AB154" s="59"/>
      <x:c r="AC154" s="59"/>
      <x:c r="AD154" s="59"/>
      <x:c r="AE154" s="59"/>
      <x:c r="AF154" s="59"/>
      <x:c r="AG154" s="59"/>
      <x:c r="AH154" s="59"/>
      <x:c r="AI154" s="59"/>
      <x:c r="AJ154" s="59"/>
      <x:c r="AK154" s="59"/>
      <x:c r="AL154" s="59"/>
      <x:c r="AM154" s="59"/>
      <x:c r="AN154" s="59"/>
    </x:row>
    <x:row r="155">
      <x:c r="A155" s="59"/>
      <x:c r="B155" s="59"/>
      <x:c r="C155" s="59"/>
      <x:c r="D155" s="59"/>
      <x:c r="E155" s="59"/>
      <x:c r="F155" s="59"/>
      <x:c r="G155" s="59"/>
      <x:c r="H155" s="59"/>
      <x:c r="I155" s="59"/>
      <x:c r="J155" s="59"/>
      <x:c r="K155" s="59"/>
      <x:c r="L155" s="59"/>
      <x:c r="M155" s="59"/>
      <x:c r="N155" s="59"/>
      <x:c r="O155" s="59"/>
      <x:c r="P155" s="59"/>
      <x:c r="Q155" s="59"/>
      <x:c r="R155" s="59"/>
      <x:c r="S155" s="59"/>
      <x:c r="T155" s="59"/>
      <x:c r="U155" s="59"/>
      <x:c r="V155" s="59"/>
      <x:c r="W155" s="59"/>
      <x:c r="X155" s="59"/>
      <x:c r="Y155" s="59"/>
      <x:c r="Z155" s="59"/>
      <x:c r="AA155" s="59"/>
      <x:c r="AB155" s="59"/>
      <x:c r="AC155" s="59"/>
      <x:c r="AD155" s="59"/>
      <x:c r="AE155" s="59"/>
      <x:c r="AF155" s="59"/>
      <x:c r="AG155" s="59"/>
      <x:c r="AH155" s="59"/>
      <x:c r="AI155" s="59"/>
      <x:c r="AJ155" s="59"/>
      <x:c r="AK155" s="59"/>
      <x:c r="AL155" s="59"/>
      <x:c r="AM155" s="59"/>
      <x:c r="AN155" s="59"/>
    </x:row>
    <x:row r="156">
      <x:c r="A156" s="59"/>
      <x:c r="B156" s="59"/>
      <x:c r="C156" s="59"/>
      <x:c r="D156" s="59"/>
      <x:c r="E156" s="59"/>
      <x:c r="F156" s="59"/>
      <x:c r="G156" s="59"/>
      <x:c r="H156" s="59"/>
      <x:c r="I156" s="59"/>
      <x:c r="J156" s="59"/>
      <x:c r="K156" s="59"/>
      <x:c r="L156" s="59"/>
      <x:c r="M156" s="59"/>
      <x:c r="N156" s="59"/>
      <x:c r="O156" s="59"/>
      <x:c r="P156" s="59"/>
      <x:c r="Q156" s="59"/>
      <x:c r="R156" s="59"/>
      <x:c r="S156" s="59"/>
      <x:c r="T156" s="59"/>
      <x:c r="U156" s="59"/>
      <x:c r="V156" s="59"/>
      <x:c r="W156" s="59"/>
      <x:c r="X156" s="59"/>
      <x:c r="Y156" s="59"/>
      <x:c r="Z156" s="59"/>
      <x:c r="AA156" s="59"/>
      <x:c r="AB156" s="59"/>
      <x:c r="AC156" s="59"/>
      <x:c r="AD156" s="59"/>
      <x:c r="AE156" s="59"/>
      <x:c r="AF156" s="59"/>
      <x:c r="AG156" s="59"/>
      <x:c r="AH156" s="59"/>
      <x:c r="AI156" s="59"/>
      <x:c r="AJ156" s="59"/>
      <x:c r="AK156" s="59"/>
      <x:c r="AL156" s="59"/>
      <x:c r="AM156" s="59"/>
      <x:c r="AN156" s="59"/>
    </x:row>
    <x:row r="157">
      <x:c r="A157" s="59"/>
      <x:c r="B157" s="59"/>
      <x:c r="C157" s="59"/>
      <x:c r="D157" s="59"/>
      <x:c r="E157" s="59"/>
      <x:c r="F157" s="59"/>
      <x:c r="G157" s="59"/>
      <x:c r="H157" s="59"/>
      <x:c r="I157" s="59"/>
      <x:c r="J157" s="59"/>
      <x:c r="K157" s="59"/>
      <x:c r="L157" s="59"/>
      <x:c r="M157" s="59"/>
      <x:c r="N157" s="59"/>
      <x:c r="O157" s="59"/>
      <x:c r="P157" s="59"/>
      <x:c r="Q157" s="59"/>
      <x:c r="R157" s="59"/>
      <x:c r="S157" s="59"/>
      <x:c r="T157" s="59"/>
      <x:c r="U157" s="59"/>
      <x:c r="V157" s="59"/>
      <x:c r="W157" s="59"/>
      <x:c r="X157" s="59"/>
      <x:c r="Y157" s="59"/>
      <x:c r="Z157" s="59"/>
      <x:c r="AA157" s="59"/>
      <x:c r="AB157" s="59"/>
      <x:c r="AC157" s="59"/>
      <x:c r="AD157" s="59"/>
      <x:c r="AE157" s="59"/>
      <x:c r="AF157" s="59"/>
      <x:c r="AG157" s="59"/>
      <x:c r="AH157" s="59"/>
      <x:c r="AI157" s="59"/>
      <x:c r="AJ157" s="59"/>
      <x:c r="AK157" s="59"/>
      <x:c r="AL157" s="59"/>
      <x:c r="AM157" s="59"/>
      <x:c r="AN157" s="59"/>
    </x:row>
    <x:row r="158">
      <x:c r="A158" s="59"/>
      <x:c r="B158" s="59"/>
      <x:c r="C158" s="59"/>
      <x:c r="D158" s="59"/>
      <x:c r="E158" s="59"/>
      <x:c r="F158" s="59"/>
      <x:c r="G158" s="59"/>
      <x:c r="H158" s="59"/>
      <x:c r="I158" s="59"/>
      <x:c r="J158" s="59"/>
      <x:c r="K158" s="59"/>
      <x:c r="L158" s="59"/>
      <x:c r="M158" s="59"/>
      <x:c r="N158" s="59"/>
      <x:c r="O158" s="59"/>
      <x:c r="P158" s="59"/>
      <x:c r="Q158" s="59"/>
      <x:c r="R158" s="59"/>
      <x:c r="S158" s="59"/>
      <x:c r="T158" s="59"/>
      <x:c r="U158" s="59"/>
      <x:c r="V158" s="59"/>
      <x:c r="W158" s="59"/>
      <x:c r="X158" s="59"/>
      <x:c r="Y158" s="59"/>
      <x:c r="Z158" s="59"/>
      <x:c r="AA158" s="59"/>
      <x:c r="AB158" s="59"/>
      <x:c r="AC158" s="59"/>
      <x:c r="AD158" s="59"/>
      <x:c r="AE158" s="59"/>
      <x:c r="AF158" s="59"/>
      <x:c r="AG158" s="59"/>
      <x:c r="AH158" s="59"/>
      <x:c r="AI158" s="59"/>
      <x:c r="AJ158" s="59"/>
      <x:c r="AK158" s="59"/>
      <x:c r="AL158" s="59"/>
      <x:c r="AM158" s="59"/>
      <x:c r="AN158" s="59"/>
    </x:row>
    <x:row r="159">
      <x:c r="A159" s="59"/>
      <x:c r="B159" s="59"/>
      <x:c r="C159" s="59"/>
      <x:c r="D159" s="59"/>
      <x:c r="E159" s="59"/>
      <x:c r="F159" s="59"/>
      <x:c r="G159" s="59"/>
      <x:c r="H159" s="59"/>
      <x:c r="I159" s="59"/>
      <x:c r="J159" s="59"/>
      <x:c r="K159" s="59"/>
      <x:c r="L159" s="59"/>
      <x:c r="M159" s="59"/>
      <x:c r="N159" s="59"/>
      <x:c r="O159" s="59"/>
      <x:c r="P159" s="59"/>
      <x:c r="Q159" s="59"/>
      <x:c r="R159" s="59"/>
      <x:c r="S159" s="59"/>
      <x:c r="T159" s="59"/>
      <x:c r="U159" s="59"/>
      <x:c r="V159" s="59"/>
      <x:c r="W159" s="59"/>
      <x:c r="X159" s="59"/>
      <x:c r="Y159" s="59"/>
      <x:c r="Z159" s="59"/>
      <x:c r="AA159" s="59"/>
      <x:c r="AB159" s="59"/>
      <x:c r="AC159" s="59"/>
      <x:c r="AD159" s="59"/>
      <x:c r="AE159" s="59"/>
      <x:c r="AF159" s="59"/>
      <x:c r="AG159" s="59"/>
      <x:c r="AH159" s="59"/>
      <x:c r="AI159" s="59"/>
      <x:c r="AJ159" s="59"/>
      <x:c r="AK159" s="59"/>
      <x:c r="AL159" s="59"/>
      <x:c r="AM159" s="59"/>
      <x:c r="AN159" s="59"/>
    </x:row>
    <x:row r="160">
      <x:c r="A160" s="59"/>
      <x:c r="B160" s="59"/>
      <x:c r="C160" s="59"/>
      <x:c r="D160" s="59"/>
      <x:c r="E160" s="59"/>
      <x:c r="F160" s="59"/>
      <x:c r="G160" s="59"/>
      <x:c r="H160" s="59"/>
      <x:c r="I160" s="59"/>
      <x:c r="J160" s="59"/>
      <x:c r="K160" s="59"/>
      <x:c r="L160" s="59"/>
      <x:c r="M160" s="59"/>
      <x:c r="N160" s="59"/>
      <x:c r="O160" s="59"/>
      <x:c r="P160" s="59"/>
      <x:c r="Q160" s="59"/>
      <x:c r="R160" s="59"/>
      <x:c r="S160" s="59"/>
      <x:c r="T160" s="59"/>
      <x:c r="U160" s="59"/>
      <x:c r="V160" s="59"/>
      <x:c r="W160" s="59"/>
      <x:c r="X160" s="59"/>
      <x:c r="Y160" s="59"/>
      <x:c r="Z160" s="59"/>
      <x:c r="AA160" s="59"/>
      <x:c r="AB160" s="59"/>
      <x:c r="AC160" s="59"/>
      <x:c r="AD160" s="59"/>
      <x:c r="AE160" s="59"/>
      <x:c r="AF160" s="59"/>
      <x:c r="AG160" s="59"/>
      <x:c r="AH160" s="59"/>
      <x:c r="AI160" s="59"/>
      <x:c r="AJ160" s="59"/>
      <x:c r="AK160" s="59"/>
      <x:c r="AL160" s="59"/>
      <x:c r="AM160" s="59"/>
      <x:c r="AN160" s="59"/>
    </x:row>
    <x:row r="161">
      <x:c r="A161" s="59"/>
      <x:c r="B161" s="59"/>
      <x:c r="C161" s="59"/>
      <x:c r="D161" s="59"/>
      <x:c r="E161" s="59"/>
      <x:c r="F161" s="59"/>
      <x:c r="G161" s="59"/>
      <x:c r="H161" s="59"/>
      <x:c r="I161" s="59"/>
      <x:c r="J161" s="59"/>
      <x:c r="K161" s="59"/>
      <x:c r="L161" s="59"/>
      <x:c r="M161" s="59"/>
      <x:c r="N161" s="59"/>
      <x:c r="O161" s="59"/>
      <x:c r="P161" s="59"/>
      <x:c r="Q161" s="59"/>
      <x:c r="R161" s="59"/>
      <x:c r="S161" s="59"/>
      <x:c r="T161" s="59"/>
      <x:c r="U161" s="59"/>
      <x:c r="V161" s="59"/>
      <x:c r="W161" s="59"/>
      <x:c r="X161" s="59"/>
      <x:c r="Y161" s="59"/>
      <x:c r="Z161" s="59"/>
      <x:c r="AA161" s="59"/>
      <x:c r="AB161" s="59"/>
      <x:c r="AC161" s="59"/>
      <x:c r="AD161" s="59"/>
      <x:c r="AE161" s="59"/>
      <x:c r="AF161" s="59"/>
      <x:c r="AG161" s="59"/>
      <x:c r="AH161" s="59"/>
      <x:c r="AI161" s="59"/>
      <x:c r="AJ161" s="59"/>
      <x:c r="AK161" s="59"/>
      <x:c r="AL161" s="59"/>
      <x:c r="AM161" s="59"/>
      <x:c r="AN161" s="59"/>
    </x:row>
    <x:row r="162">
      <x:c r="A162" s="59"/>
      <x:c r="B162" s="59"/>
      <x:c r="C162" s="59"/>
      <x:c r="D162" s="59"/>
      <x:c r="E162" s="59"/>
      <x:c r="F162" s="59"/>
      <x:c r="G162" s="59"/>
      <x:c r="H162" s="59"/>
      <x:c r="I162" s="59"/>
      <x:c r="J162" s="59"/>
      <x:c r="K162" s="59"/>
      <x:c r="L162" s="59"/>
      <x:c r="M162" s="59"/>
      <x:c r="N162" s="59"/>
      <x:c r="O162" s="59"/>
      <x:c r="P162" s="59"/>
      <x:c r="Q162" s="59"/>
      <x:c r="R162" s="59"/>
      <x:c r="S162" s="59"/>
      <x:c r="T162" s="59"/>
      <x:c r="U162" s="59"/>
      <x:c r="V162" s="59"/>
      <x:c r="W162" s="59"/>
      <x:c r="X162" s="59"/>
      <x:c r="Y162" s="59"/>
      <x:c r="Z162" s="59"/>
      <x:c r="AA162" s="59"/>
      <x:c r="AB162" s="59"/>
      <x:c r="AC162" s="59"/>
      <x:c r="AD162" s="59"/>
      <x:c r="AE162" s="59"/>
      <x:c r="AF162" s="59"/>
      <x:c r="AG162" s="59"/>
      <x:c r="AH162" s="59"/>
      <x:c r="AI162" s="59"/>
      <x:c r="AJ162" s="59"/>
      <x:c r="AK162" s="59"/>
      <x:c r="AL162" s="59"/>
      <x:c r="AM162" s="59"/>
      <x:c r="AN162" s="59"/>
    </x:row>
    <x:row r="163">
      <x:c r="A163" s="59"/>
      <x:c r="B163" s="59"/>
      <x:c r="C163" s="59"/>
      <x:c r="D163" s="59"/>
      <x:c r="E163" s="59"/>
      <x:c r="F163" s="59"/>
      <x:c r="G163" s="59"/>
      <x:c r="H163" s="59"/>
      <x:c r="I163" s="59"/>
      <x:c r="J163" s="59"/>
      <x:c r="K163" s="59"/>
      <x:c r="L163" s="59"/>
      <x:c r="M163" s="59"/>
      <x:c r="N163" s="59"/>
      <x:c r="O163" s="59"/>
      <x:c r="P163" s="59"/>
      <x:c r="Q163" s="59"/>
      <x:c r="R163" s="59"/>
      <x:c r="S163" s="59"/>
      <x:c r="T163" s="59"/>
      <x:c r="U163" s="59"/>
      <x:c r="V163" s="59"/>
      <x:c r="W163" s="59"/>
      <x:c r="X163" s="59"/>
      <x:c r="Y163" s="59"/>
      <x:c r="Z163" s="59"/>
      <x:c r="AA163" s="59"/>
      <x:c r="AB163" s="59"/>
      <x:c r="AC163" s="59"/>
      <x:c r="AD163" s="59"/>
      <x:c r="AE163" s="59"/>
      <x:c r="AF163" s="59"/>
      <x:c r="AG163" s="59"/>
      <x:c r="AH163" s="59"/>
      <x:c r="AI163" s="59"/>
      <x:c r="AJ163" s="59"/>
      <x:c r="AK163" s="59"/>
      <x:c r="AL163" s="59"/>
      <x:c r="AM163" s="59"/>
      <x:c r="AN163" s="59"/>
    </x:row>
    <x:row r="164">
      <x:c r="A164" s="59"/>
      <x:c r="B164" s="59"/>
      <x:c r="C164" s="59"/>
      <x:c r="D164" s="59"/>
      <x:c r="E164" s="59"/>
      <x:c r="F164" s="59"/>
      <x:c r="G164" s="59"/>
      <x:c r="H164" s="59"/>
      <x:c r="I164" s="59"/>
      <x:c r="J164" s="59"/>
      <x:c r="K164" s="59"/>
      <x:c r="L164" s="59"/>
      <x:c r="M164" s="59"/>
      <x:c r="N164" s="59"/>
      <x:c r="O164" s="59"/>
      <x:c r="P164" s="59"/>
      <x:c r="Q164" s="59"/>
      <x:c r="R164" s="59"/>
      <x:c r="S164" s="59"/>
      <x:c r="T164" s="59"/>
      <x:c r="U164" s="59"/>
      <x:c r="V164" s="59"/>
      <x:c r="W164" s="59"/>
      <x:c r="X164" s="59"/>
      <x:c r="Y164" s="59"/>
      <x:c r="Z164" s="59"/>
      <x:c r="AA164" s="59"/>
      <x:c r="AB164" s="59"/>
      <x:c r="AC164" s="59"/>
      <x:c r="AD164" s="59"/>
      <x:c r="AE164" s="59"/>
      <x:c r="AF164" s="59"/>
      <x:c r="AG164" s="59"/>
      <x:c r="AH164" s="59"/>
      <x:c r="AI164" s="59"/>
      <x:c r="AJ164" s="59"/>
      <x:c r="AK164" s="59"/>
      <x:c r="AL164" s="59"/>
      <x:c r="AM164" s="59"/>
      <x:c r="AN164" s="59"/>
    </x:row>
    <x:row r="165">
      <x:c r="A165" s="59"/>
      <x:c r="B165" s="59"/>
      <x:c r="C165" s="59"/>
      <x:c r="D165" s="59"/>
      <x:c r="E165" s="59"/>
      <x:c r="F165" s="59"/>
      <x:c r="G165" s="59"/>
      <x:c r="H165" s="59"/>
      <x:c r="I165" s="59"/>
      <x:c r="J165" s="59"/>
      <x:c r="K165" s="59"/>
      <x:c r="L165" s="59"/>
      <x:c r="M165" s="59"/>
      <x:c r="N165" s="59"/>
      <x:c r="O165" s="59"/>
      <x:c r="P165" s="59"/>
      <x:c r="Q165" s="59"/>
      <x:c r="R165" s="59"/>
      <x:c r="S165" s="59"/>
      <x:c r="T165" s="59"/>
      <x:c r="U165" s="59"/>
      <x:c r="V165" s="59"/>
      <x:c r="W165" s="59"/>
      <x:c r="X165" s="59"/>
      <x:c r="Y165" s="59"/>
      <x:c r="Z165" s="59"/>
      <x:c r="AA165" s="59"/>
      <x:c r="AB165" s="59"/>
      <x:c r="AC165" s="59"/>
      <x:c r="AD165" s="59"/>
      <x:c r="AE165" s="59"/>
      <x:c r="AF165" s="59"/>
      <x:c r="AG165" s="59"/>
      <x:c r="AH165" s="59"/>
      <x:c r="AI165" s="59"/>
      <x:c r="AJ165" s="59"/>
      <x:c r="AK165" s="59"/>
      <x:c r="AL165" s="59"/>
      <x:c r="AM165" s="59"/>
      <x:c r="AN165" s="59"/>
    </x:row>
    <x:row r="166">
      <x:c r="A166" s="59"/>
      <x:c r="B166" s="59"/>
      <x:c r="C166" s="59"/>
      <x:c r="D166" s="59"/>
      <x:c r="E166" s="59"/>
      <x:c r="F166" s="59"/>
      <x:c r="G166" s="59"/>
      <x:c r="H166" s="59"/>
      <x:c r="I166" s="59"/>
      <x:c r="J166" s="59"/>
      <x:c r="K166" s="59"/>
      <x:c r="L166" s="59"/>
      <x:c r="M166" s="59"/>
      <x:c r="N166" s="59"/>
      <x:c r="O166" s="59"/>
      <x:c r="P166" s="59"/>
      <x:c r="Q166" s="59"/>
      <x:c r="R166" s="59"/>
      <x:c r="S166" s="59"/>
      <x:c r="T166" s="59"/>
      <x:c r="U166" s="59"/>
      <x:c r="V166" s="59"/>
      <x:c r="W166" s="59"/>
      <x:c r="X166" s="59"/>
      <x:c r="Y166" s="59"/>
      <x:c r="Z166" s="59"/>
      <x:c r="AA166" s="59"/>
      <x:c r="AB166" s="59"/>
      <x:c r="AC166" s="59"/>
      <x:c r="AD166" s="59"/>
      <x:c r="AE166" s="59"/>
      <x:c r="AF166" s="59"/>
      <x:c r="AG166" s="59"/>
      <x:c r="AH166" s="59"/>
      <x:c r="AI166" s="59"/>
      <x:c r="AJ166" s="59"/>
      <x:c r="AK166" s="59"/>
      <x:c r="AL166" s="59"/>
      <x:c r="AM166" s="59"/>
      <x:c r="AN166" s="59"/>
    </x:row>
    <x:row r="167">
      <x:c r="A167" s="59"/>
      <x:c r="B167" s="59"/>
      <x:c r="C167" s="59"/>
      <x:c r="D167" s="59"/>
      <x:c r="E167" s="59"/>
      <x:c r="F167" s="59"/>
      <x:c r="G167" s="59"/>
      <x:c r="H167" s="59"/>
      <x:c r="I167" s="59"/>
      <x:c r="J167" s="59"/>
      <x:c r="K167" s="59"/>
      <x:c r="L167" s="59"/>
      <x:c r="M167" s="59"/>
      <x:c r="N167" s="59"/>
      <x:c r="O167" s="59"/>
      <x:c r="P167" s="59"/>
      <x:c r="Q167" s="59"/>
      <x:c r="R167" s="59"/>
      <x:c r="S167" s="59"/>
      <x:c r="T167" s="59"/>
      <x:c r="U167" s="59"/>
      <x:c r="V167" s="59"/>
      <x:c r="W167" s="59"/>
      <x:c r="X167" s="59"/>
      <x:c r="Y167" s="59"/>
      <x:c r="Z167" s="59"/>
      <x:c r="AA167" s="59"/>
      <x:c r="AB167" s="59"/>
      <x:c r="AC167" s="59"/>
      <x:c r="AD167" s="59"/>
      <x:c r="AE167" s="59"/>
      <x:c r="AF167" s="59"/>
      <x:c r="AG167" s="59"/>
      <x:c r="AH167" s="59"/>
      <x:c r="AI167" s="59"/>
      <x:c r="AJ167" s="59"/>
      <x:c r="AK167" s="59"/>
      <x:c r="AL167" s="59"/>
      <x:c r="AM167" s="59"/>
      <x:c r="AN167" s="59"/>
    </x:row>
    <x:row r="168">
      <x:c r="A168" s="59"/>
      <x:c r="B168" s="59"/>
      <x:c r="C168" s="59"/>
      <x:c r="D168" s="59"/>
      <x:c r="E168" s="59"/>
      <x:c r="F168" s="59"/>
      <x:c r="G168" s="59"/>
      <x:c r="H168" s="59"/>
      <x:c r="I168" s="59"/>
      <x:c r="J168" s="59"/>
      <x:c r="K168" s="59"/>
      <x:c r="L168" s="59"/>
      <x:c r="M168" s="59"/>
      <x:c r="N168" s="59"/>
      <x:c r="O168" s="59"/>
      <x:c r="P168" s="59"/>
      <x:c r="Q168" s="59"/>
      <x:c r="R168" s="59"/>
      <x:c r="S168" s="59"/>
      <x:c r="T168" s="59"/>
      <x:c r="U168" s="59"/>
      <x:c r="V168" s="59"/>
      <x:c r="W168" s="59"/>
      <x:c r="X168" s="59"/>
      <x:c r="Y168" s="59"/>
      <x:c r="Z168" s="59"/>
      <x:c r="AA168" s="59"/>
      <x:c r="AB168" s="59"/>
      <x:c r="AC168" s="59"/>
      <x:c r="AD168" s="59"/>
      <x:c r="AE168" s="59"/>
      <x:c r="AF168" s="59"/>
      <x:c r="AG168" s="59"/>
      <x:c r="AH168" s="59"/>
      <x:c r="AI168" s="59"/>
      <x:c r="AJ168" s="59"/>
      <x:c r="AK168" s="59"/>
      <x:c r="AL168" s="59"/>
      <x:c r="AM168" s="59"/>
      <x:c r="AN168" s="59"/>
    </x:row>
    <x:row r="169">
      <x:c r="A169" s="59"/>
      <x:c r="B169" s="59"/>
      <x:c r="C169" s="59"/>
      <x:c r="D169" s="59"/>
      <x:c r="E169" s="59"/>
      <x:c r="F169" s="59"/>
      <x:c r="G169" s="59"/>
      <x:c r="H169" s="59"/>
      <x:c r="I169" s="59"/>
      <x:c r="J169" s="59"/>
      <x:c r="K169" s="59"/>
      <x:c r="L169" s="59"/>
      <x:c r="M169" s="59"/>
      <x:c r="N169" s="59"/>
      <x:c r="O169" s="59"/>
      <x:c r="P169" s="59"/>
      <x:c r="Q169" s="59"/>
      <x:c r="R169" s="59"/>
      <x:c r="S169" s="59"/>
      <x:c r="T169" s="59"/>
      <x:c r="U169" s="59"/>
      <x:c r="V169" s="59"/>
      <x:c r="W169" s="59"/>
      <x:c r="X169" s="59"/>
      <x:c r="Y169" s="59"/>
      <x:c r="Z169" s="59"/>
      <x:c r="AA169" s="59"/>
      <x:c r="AB169" s="59"/>
      <x:c r="AC169" s="59"/>
      <x:c r="AD169" s="59"/>
      <x:c r="AE169" s="59"/>
      <x:c r="AF169" s="59"/>
      <x:c r="AG169" s="59"/>
      <x:c r="AH169" s="59"/>
      <x:c r="AI169" s="59"/>
      <x:c r="AJ169" s="59"/>
      <x:c r="AK169" s="59"/>
      <x:c r="AL169" s="59"/>
      <x:c r="AM169" s="59"/>
      <x:c r="AN169" s="59"/>
    </x:row>
    <x:row r="170">
      <x:c r="A170" s="59"/>
      <x:c r="B170" s="59"/>
      <x:c r="C170" s="59"/>
      <x:c r="D170" s="59"/>
      <x:c r="E170" s="59"/>
      <x:c r="F170" s="59"/>
      <x:c r="G170" s="59"/>
      <x:c r="H170" s="59"/>
      <x:c r="I170" s="59"/>
      <x:c r="J170" s="59"/>
      <x:c r="K170" s="59"/>
      <x:c r="L170" s="59"/>
      <x:c r="M170" s="59"/>
      <x:c r="N170" s="59"/>
      <x:c r="O170" s="59"/>
      <x:c r="P170" s="59"/>
      <x:c r="Q170" s="59"/>
      <x:c r="R170" s="59"/>
      <x:c r="S170" s="59"/>
      <x:c r="T170" s="59"/>
      <x:c r="U170" s="59"/>
      <x:c r="V170" s="59"/>
      <x:c r="W170" s="59"/>
      <x:c r="X170" s="59"/>
      <x:c r="Y170" s="59"/>
      <x:c r="Z170" s="59"/>
      <x:c r="AA170" s="59"/>
      <x:c r="AB170" s="59"/>
      <x:c r="AC170" s="59"/>
      <x:c r="AD170" s="59"/>
      <x:c r="AE170" s="59"/>
      <x:c r="AF170" s="59"/>
      <x:c r="AG170" s="59"/>
      <x:c r="AH170" s="59"/>
      <x:c r="AI170" s="59"/>
      <x:c r="AJ170" s="59"/>
      <x:c r="AK170" s="59"/>
      <x:c r="AL170" s="59"/>
      <x:c r="AM170" s="59"/>
      <x:c r="AN170" s="59"/>
    </x:row>
    <x:row r="171">
      <x:c r="A171" s="59"/>
      <x:c r="B171" s="59"/>
      <x:c r="C171" s="59"/>
      <x:c r="D171" s="59"/>
      <x:c r="E171" s="59"/>
      <x:c r="F171" s="59"/>
      <x:c r="G171" s="59"/>
      <x:c r="H171" s="59"/>
      <x:c r="I171" s="59"/>
      <x:c r="J171" s="59"/>
      <x:c r="K171" s="59"/>
      <x:c r="L171" s="59"/>
      <x:c r="M171" s="59"/>
      <x:c r="N171" s="59"/>
      <x:c r="O171" s="59"/>
      <x:c r="P171" s="59"/>
      <x:c r="Q171" s="59"/>
      <x:c r="R171" s="59"/>
      <x:c r="S171" s="59"/>
      <x:c r="T171" s="59"/>
      <x:c r="U171" s="59"/>
      <x:c r="V171" s="59"/>
      <x:c r="W171" s="59"/>
      <x:c r="X171" s="59"/>
      <x:c r="Y171" s="59"/>
      <x:c r="Z171" s="59"/>
      <x:c r="AA171" s="59"/>
      <x:c r="AB171" s="59"/>
      <x:c r="AC171" s="59"/>
      <x:c r="AD171" s="59"/>
      <x:c r="AE171" s="59"/>
      <x:c r="AF171" s="59"/>
      <x:c r="AG171" s="59"/>
      <x:c r="AH171" s="59"/>
      <x:c r="AI171" s="59"/>
      <x:c r="AJ171" s="59"/>
      <x:c r="AK171" s="59"/>
      <x:c r="AL171" s="59"/>
      <x:c r="AM171" s="59"/>
      <x:c r="AN171" s="59"/>
    </x:row>
    <x:row r="172">
      <x:c r="A172" s="59"/>
      <x:c r="B172" s="59"/>
      <x:c r="C172" s="59"/>
      <x:c r="D172" s="59"/>
      <x:c r="E172" s="59"/>
      <x:c r="F172" s="59"/>
      <x:c r="G172" s="59"/>
      <x:c r="H172" s="59"/>
      <x:c r="I172" s="59"/>
      <x:c r="J172" s="59"/>
      <x:c r="K172" s="59"/>
      <x:c r="L172" s="59"/>
      <x:c r="M172" s="59"/>
      <x:c r="N172" s="59"/>
      <x:c r="O172" s="59"/>
      <x:c r="P172" s="59"/>
      <x:c r="Q172" s="59"/>
      <x:c r="R172" s="59"/>
      <x:c r="S172" s="59"/>
      <x:c r="T172" s="59"/>
      <x:c r="U172" s="59"/>
      <x:c r="V172" s="59"/>
      <x:c r="W172" s="59"/>
      <x:c r="X172" s="59"/>
      <x:c r="Y172" s="59"/>
      <x:c r="Z172" s="59"/>
      <x:c r="AA172" s="59"/>
      <x:c r="AB172" s="59"/>
      <x:c r="AC172" s="59"/>
      <x:c r="AD172" s="59"/>
      <x:c r="AE172" s="59"/>
      <x:c r="AF172" s="59"/>
      <x:c r="AG172" s="59"/>
      <x:c r="AH172" s="59"/>
      <x:c r="AI172" s="59"/>
      <x:c r="AJ172" s="59"/>
      <x:c r="AK172" s="59"/>
      <x:c r="AL172" s="59"/>
      <x:c r="AM172" s="59"/>
      <x:c r="AN172" s="59"/>
    </x:row>
    <x:row r="173">
      <x:c r="A173" s="59"/>
      <x:c r="B173" s="59"/>
      <x:c r="C173" s="59"/>
      <x:c r="D173" s="59"/>
      <x:c r="E173" s="59"/>
      <x:c r="F173" s="59"/>
      <x:c r="G173" s="59"/>
      <x:c r="H173" s="59"/>
      <x:c r="I173" s="59"/>
      <x:c r="J173" s="59"/>
      <x:c r="K173" s="59"/>
      <x:c r="L173" s="59"/>
      <x:c r="M173" s="59"/>
      <x:c r="N173" s="59"/>
      <x:c r="O173" s="59"/>
      <x:c r="P173" s="59"/>
      <x:c r="Q173" s="59"/>
      <x:c r="R173" s="59"/>
      <x:c r="S173" s="59"/>
      <x:c r="T173" s="59"/>
      <x:c r="U173" s="59"/>
      <x:c r="V173" s="59"/>
      <x:c r="W173" s="59"/>
      <x:c r="X173" s="59"/>
      <x:c r="Y173" s="59"/>
      <x:c r="Z173" s="59"/>
      <x:c r="AA173" s="59"/>
      <x:c r="AB173" s="59"/>
      <x:c r="AC173" s="59"/>
      <x:c r="AD173" s="59"/>
      <x:c r="AE173" s="59"/>
      <x:c r="AF173" s="59"/>
      <x:c r="AG173" s="59"/>
      <x:c r="AH173" s="59"/>
      <x:c r="AI173" s="59"/>
      <x:c r="AJ173" s="59"/>
      <x:c r="AK173" s="59"/>
      <x:c r="AL173" s="59"/>
      <x:c r="AM173" s="59"/>
      <x:c r="AN173" s="59"/>
    </x:row>
    <x:row r="174">
      <x:c r="A174" s="59"/>
      <x:c r="B174" s="59"/>
      <x:c r="C174" s="59"/>
      <x:c r="D174" s="59"/>
      <x:c r="E174" s="59"/>
      <x:c r="F174" s="59"/>
      <x:c r="G174" s="59"/>
      <x:c r="H174" s="59"/>
      <x:c r="I174" s="59"/>
      <x:c r="J174" s="59"/>
      <x:c r="K174" s="59"/>
      <x:c r="L174" s="59"/>
      <x:c r="M174" s="59"/>
      <x:c r="N174" s="59"/>
      <x:c r="O174" s="59"/>
      <x:c r="P174" s="59"/>
      <x:c r="Q174" s="59"/>
      <x:c r="R174" s="59"/>
      <x:c r="S174" s="59"/>
      <x:c r="T174" s="59"/>
      <x:c r="U174" s="59"/>
      <x:c r="V174" s="59"/>
      <x:c r="W174" s="59"/>
      <x:c r="X174" s="59"/>
      <x:c r="Y174" s="59"/>
      <x:c r="Z174" s="59"/>
      <x:c r="AA174" s="59"/>
      <x:c r="AB174" s="59"/>
      <x:c r="AC174" s="59"/>
      <x:c r="AD174" s="59"/>
      <x:c r="AE174" s="59"/>
      <x:c r="AF174" s="59"/>
      <x:c r="AG174" s="59"/>
      <x:c r="AH174" s="59"/>
      <x:c r="AI174" s="59"/>
      <x:c r="AJ174" s="59"/>
      <x:c r="AK174" s="59"/>
      <x:c r="AL174" s="59"/>
      <x:c r="AM174" s="59"/>
      <x:c r="AN174" s="59"/>
    </x:row>
    <x:row r="175">
      <x:c r="A175" s="59"/>
      <x:c r="B175" s="59"/>
      <x:c r="C175" s="59"/>
      <x:c r="D175" s="59"/>
      <x:c r="E175" s="59"/>
      <x:c r="F175" s="59"/>
      <x:c r="G175" s="59"/>
      <x:c r="H175" s="59"/>
      <x:c r="I175" s="59"/>
      <x:c r="J175" s="59"/>
      <x:c r="K175" s="59"/>
      <x:c r="L175" s="59"/>
      <x:c r="M175" s="59"/>
      <x:c r="N175" s="59"/>
      <x:c r="O175" s="59"/>
      <x:c r="P175" s="59"/>
      <x:c r="Q175" s="59"/>
      <x:c r="R175" s="59"/>
      <x:c r="S175" s="59"/>
      <x:c r="T175" s="59"/>
      <x:c r="U175" s="59"/>
      <x:c r="V175" s="59"/>
      <x:c r="W175" s="59"/>
      <x:c r="X175" s="59"/>
      <x:c r="Y175" s="59"/>
      <x:c r="Z175" s="59"/>
      <x:c r="AA175" s="59"/>
      <x:c r="AB175" s="59"/>
      <x:c r="AC175" s="59"/>
      <x:c r="AD175" s="59"/>
      <x:c r="AE175" s="59"/>
      <x:c r="AF175" s="59"/>
      <x:c r="AG175" s="59"/>
      <x:c r="AH175" s="59"/>
      <x:c r="AI175" s="59"/>
      <x:c r="AJ175" s="59"/>
      <x:c r="AK175" s="59"/>
      <x:c r="AL175" s="59"/>
      <x:c r="AM175" s="59"/>
      <x:c r="AN175" s="59"/>
    </x:row>
    <x:row r="176">
      <x:c r="A176" s="59"/>
      <x:c r="B176" s="59"/>
      <x:c r="C176" s="59"/>
      <x:c r="D176" s="59"/>
      <x:c r="E176" s="59"/>
      <x:c r="F176" s="59"/>
      <x:c r="G176" s="59"/>
      <x:c r="H176" s="59"/>
      <x:c r="I176" s="59"/>
      <x:c r="J176" s="59"/>
      <x:c r="K176" s="59"/>
      <x:c r="L176" s="59"/>
      <x:c r="M176" s="59"/>
      <x:c r="N176" s="59"/>
      <x:c r="O176" s="59"/>
      <x:c r="P176" s="59"/>
      <x:c r="Q176" s="59"/>
      <x:c r="R176" s="59"/>
      <x:c r="S176" s="59"/>
      <x:c r="T176" s="59"/>
      <x:c r="U176" s="59"/>
      <x:c r="V176" s="59"/>
      <x:c r="W176" s="59"/>
      <x:c r="X176" s="59"/>
      <x:c r="Y176" s="59"/>
      <x:c r="Z176" s="59"/>
      <x:c r="AA176" s="59"/>
      <x:c r="AB176" s="59"/>
      <x:c r="AC176" s="59"/>
      <x:c r="AD176" s="59"/>
      <x:c r="AE176" s="59"/>
      <x:c r="AF176" s="59"/>
      <x:c r="AG176" s="59"/>
      <x:c r="AH176" s="59"/>
      <x:c r="AI176" s="59"/>
      <x:c r="AJ176" s="59"/>
      <x:c r="AK176" s="59"/>
      <x:c r="AL176" s="59"/>
      <x:c r="AM176" s="59"/>
      <x:c r="AN176" s="59"/>
    </x:row>
    <x:row r="177">
      <x:c r="A177" s="59"/>
      <x:c r="B177" s="59"/>
      <x:c r="C177" s="59"/>
      <x:c r="D177" s="59"/>
      <x:c r="E177" s="59"/>
      <x:c r="F177" s="59"/>
      <x:c r="G177" s="59"/>
      <x:c r="H177" s="59"/>
      <x:c r="I177" s="59"/>
      <x:c r="J177" s="59"/>
      <x:c r="K177" s="59"/>
      <x:c r="L177" s="59"/>
      <x:c r="M177" s="59"/>
      <x:c r="N177" s="59"/>
      <x:c r="O177" s="59"/>
      <x:c r="P177" s="59"/>
      <x:c r="Q177" s="59"/>
      <x:c r="R177" s="59"/>
      <x:c r="S177" s="59"/>
      <x:c r="T177" s="59"/>
      <x:c r="U177" s="59"/>
      <x:c r="V177" s="59"/>
      <x:c r="W177" s="59"/>
      <x:c r="X177" s="59"/>
      <x:c r="Y177" s="59"/>
      <x:c r="Z177" s="59"/>
      <x:c r="AA177" s="59"/>
      <x:c r="AB177" s="59"/>
      <x:c r="AC177" s="59"/>
      <x:c r="AD177" s="59"/>
      <x:c r="AE177" s="59"/>
      <x:c r="AF177" s="59"/>
      <x:c r="AG177" s="59"/>
      <x:c r="AH177" s="59"/>
      <x:c r="AI177" s="59"/>
      <x:c r="AJ177" s="59"/>
      <x:c r="AK177" s="59"/>
      <x:c r="AL177" s="59"/>
      <x:c r="AM177" s="59"/>
      <x:c r="AN177" s="59"/>
    </x:row>
    <x:row r="178">
      <x:c r="A178" s="59"/>
      <x:c r="B178" s="59"/>
      <x:c r="C178" s="59"/>
      <x:c r="D178" s="59"/>
      <x:c r="E178" s="59"/>
      <x:c r="F178" s="59"/>
      <x:c r="G178" s="59"/>
      <x:c r="H178" s="59"/>
      <x:c r="I178" s="59"/>
      <x:c r="J178" s="59"/>
      <x:c r="K178" s="59"/>
      <x:c r="L178" s="59"/>
      <x:c r="M178" s="59"/>
      <x:c r="N178" s="59"/>
      <x:c r="O178" s="59"/>
      <x:c r="P178" s="59"/>
      <x:c r="Q178" s="59"/>
      <x:c r="R178" s="59"/>
      <x:c r="S178" s="59"/>
      <x:c r="T178" s="59"/>
      <x:c r="U178" s="59"/>
      <x:c r="V178" s="59"/>
      <x:c r="W178" s="59"/>
      <x:c r="X178" s="59"/>
      <x:c r="Y178" s="59"/>
      <x:c r="Z178" s="59"/>
      <x:c r="AA178" s="59"/>
      <x:c r="AB178" s="59"/>
      <x:c r="AC178" s="59"/>
      <x:c r="AD178" s="59"/>
      <x:c r="AE178" s="59"/>
      <x:c r="AF178" s="59"/>
      <x:c r="AG178" s="59"/>
      <x:c r="AH178" s="59"/>
      <x:c r="AI178" s="59"/>
      <x:c r="AJ178" s="59"/>
      <x:c r="AK178" s="59"/>
      <x:c r="AL178" s="59"/>
      <x:c r="AM178" s="59"/>
      <x:c r="AN178" s="59"/>
    </x:row>
    <x:row r="179">
      <x:c r="A179" s="59"/>
      <x:c r="B179" s="59"/>
      <x:c r="C179" s="59"/>
      <x:c r="D179" s="59"/>
      <x:c r="E179" s="59"/>
      <x:c r="F179" s="59"/>
      <x:c r="G179" s="59"/>
      <x:c r="H179" s="59"/>
      <x:c r="I179" s="59"/>
      <x:c r="J179" s="59"/>
      <x:c r="K179" s="59"/>
      <x:c r="L179" s="59"/>
      <x:c r="M179" s="59"/>
      <x:c r="N179" s="59"/>
      <x:c r="O179" s="59"/>
      <x:c r="P179" s="59"/>
      <x:c r="Q179" s="59"/>
      <x:c r="R179" s="59"/>
      <x:c r="S179" s="59"/>
      <x:c r="T179" s="59"/>
      <x:c r="U179" s="59"/>
      <x:c r="V179" s="59"/>
      <x:c r="W179" s="59"/>
      <x:c r="X179" s="59"/>
      <x:c r="Y179" s="59"/>
      <x:c r="Z179" s="59"/>
      <x:c r="AA179" s="59"/>
      <x:c r="AB179" s="59"/>
      <x:c r="AC179" s="59"/>
      <x:c r="AD179" s="59"/>
      <x:c r="AE179" s="59"/>
      <x:c r="AF179" s="59"/>
      <x:c r="AG179" s="59"/>
      <x:c r="AH179" s="59"/>
      <x:c r="AI179" s="59"/>
      <x:c r="AJ179" s="59"/>
      <x:c r="AK179" s="59"/>
      <x:c r="AL179" s="59"/>
      <x:c r="AM179" s="59"/>
      <x:c r="AN179" s="59"/>
    </x:row>
    <x:row r="180">
      <x:c r="A180" s="59"/>
      <x:c r="B180" s="59"/>
      <x:c r="C180" s="59"/>
      <x:c r="D180" s="59"/>
      <x:c r="E180" s="59"/>
      <x:c r="F180" s="59"/>
      <x:c r="G180" s="59"/>
      <x:c r="H180" s="59"/>
      <x:c r="I180" s="59"/>
      <x:c r="J180" s="59"/>
      <x:c r="K180" s="59"/>
      <x:c r="L180" s="59"/>
      <x:c r="M180" s="59"/>
      <x:c r="N180" s="59"/>
      <x:c r="O180" s="59"/>
      <x:c r="P180" s="59"/>
      <x:c r="Q180" s="59"/>
      <x:c r="R180" s="59"/>
      <x:c r="S180" s="59"/>
      <x:c r="T180" s="59"/>
      <x:c r="U180" s="59"/>
      <x:c r="V180" s="59"/>
      <x:c r="W180" s="59"/>
      <x:c r="X180" s="59"/>
      <x:c r="Y180" s="59"/>
      <x:c r="Z180" s="59"/>
      <x:c r="AA180" s="59"/>
      <x:c r="AB180" s="59"/>
      <x:c r="AC180" s="59"/>
      <x:c r="AD180" s="59"/>
      <x:c r="AE180" s="59"/>
      <x:c r="AF180" s="59"/>
      <x:c r="AG180" s="59"/>
      <x:c r="AH180" s="59"/>
      <x:c r="AI180" s="59"/>
      <x:c r="AJ180" s="59"/>
      <x:c r="AK180" s="59"/>
      <x:c r="AL180" s="59"/>
      <x:c r="AM180" s="59"/>
      <x:c r="AN180" s="59"/>
    </x:row>
    <x:row r="181">
      <x:c r="A181" s="59"/>
      <x:c r="B181" s="59"/>
      <x:c r="C181" s="59"/>
      <x:c r="D181" s="59"/>
      <x:c r="E181" s="59"/>
      <x:c r="F181" s="59"/>
      <x:c r="G181" s="59"/>
      <x:c r="H181" s="59"/>
      <x:c r="I181" s="59"/>
      <x:c r="J181" s="59"/>
      <x:c r="K181" s="59"/>
      <x:c r="L181" s="59"/>
      <x:c r="M181" s="59"/>
      <x:c r="N181" s="59"/>
      <x:c r="O181" s="59"/>
      <x:c r="P181" s="59"/>
      <x:c r="Q181" s="59"/>
      <x:c r="R181" s="59"/>
      <x:c r="S181" s="59"/>
      <x:c r="T181" s="59"/>
      <x:c r="U181" s="59"/>
      <x:c r="V181" s="59"/>
      <x:c r="W181" s="59"/>
      <x:c r="X181" s="59"/>
      <x:c r="Y181" s="59"/>
      <x:c r="Z181" s="59"/>
      <x:c r="AA181" s="59"/>
      <x:c r="AB181" s="59"/>
      <x:c r="AC181" s="59"/>
      <x:c r="AD181" s="59"/>
      <x:c r="AE181" s="59"/>
      <x:c r="AF181" s="59"/>
      <x:c r="AG181" s="59"/>
      <x:c r="AH181" s="59"/>
      <x:c r="AI181" s="59"/>
      <x:c r="AJ181" s="59"/>
      <x:c r="AK181" s="59"/>
      <x:c r="AL181" s="59"/>
      <x:c r="AM181" s="59"/>
      <x:c r="AN181" s="59"/>
    </x:row>
    <x:row r="182">
      <x:c r="A182" s="59"/>
      <x:c r="B182" s="59"/>
      <x:c r="C182" s="59"/>
      <x:c r="D182" s="59"/>
      <x:c r="E182" s="59"/>
      <x:c r="F182" s="59"/>
      <x:c r="G182" s="59"/>
      <x:c r="H182" s="59"/>
      <x:c r="I182" s="59"/>
      <x:c r="J182" s="59"/>
      <x:c r="K182" s="59"/>
      <x:c r="L182" s="59"/>
      <x:c r="M182" s="59"/>
      <x:c r="N182" s="59"/>
      <x:c r="O182" s="59"/>
      <x:c r="P182" s="59"/>
      <x:c r="Q182" s="59"/>
      <x:c r="R182" s="59"/>
      <x:c r="S182" s="59"/>
      <x:c r="T182" s="59"/>
      <x:c r="U182" s="59"/>
      <x:c r="V182" s="59"/>
      <x:c r="W182" s="59"/>
      <x:c r="X182" s="59"/>
      <x:c r="Y182" s="59"/>
      <x:c r="Z182" s="59"/>
      <x:c r="AA182" s="59"/>
      <x:c r="AB182" s="59"/>
      <x:c r="AC182" s="59"/>
      <x:c r="AD182" s="59"/>
      <x:c r="AE182" s="59"/>
      <x:c r="AF182" s="59"/>
      <x:c r="AG182" s="59"/>
      <x:c r="AH182" s="59"/>
      <x:c r="AI182" s="59"/>
      <x:c r="AJ182" s="59"/>
      <x:c r="AK182" s="59"/>
      <x:c r="AL182" s="59"/>
      <x:c r="AM182" s="59"/>
      <x:c r="AN182" s="59"/>
    </x:row>
    <x:row r="183">
      <x:c r="A183" s="59"/>
      <x:c r="B183" s="59"/>
      <x:c r="C183" s="59"/>
      <x:c r="D183" s="59"/>
      <x:c r="E183" s="59"/>
      <x:c r="F183" s="59"/>
      <x:c r="G183" s="59"/>
      <x:c r="H183" s="59"/>
      <x:c r="I183" s="59"/>
      <x:c r="J183" s="59"/>
      <x:c r="K183" s="59"/>
      <x:c r="L183" s="59"/>
      <x:c r="M183" s="59"/>
      <x:c r="N183" s="59"/>
      <x:c r="O183" s="59"/>
      <x:c r="P183" s="59"/>
      <x:c r="Q183" s="59"/>
      <x:c r="R183" s="59"/>
      <x:c r="S183" s="59"/>
      <x:c r="T183" s="59"/>
      <x:c r="U183" s="59"/>
      <x:c r="V183" s="59"/>
      <x:c r="W183" s="59"/>
      <x:c r="X183" s="59"/>
      <x:c r="Y183" s="59"/>
      <x:c r="Z183" s="59"/>
      <x:c r="AA183" s="59"/>
      <x:c r="AB183" s="59"/>
      <x:c r="AC183" s="59"/>
      <x:c r="AD183" s="59"/>
      <x:c r="AE183" s="59"/>
      <x:c r="AF183" s="59"/>
      <x:c r="AG183" s="59"/>
      <x:c r="AH183" s="59"/>
      <x:c r="AI183" s="59"/>
      <x:c r="AJ183" s="59"/>
      <x:c r="AK183" s="59"/>
      <x:c r="AL183" s="59"/>
      <x:c r="AM183" s="59"/>
      <x:c r="AN183" s="59"/>
    </x:row>
    <x:row r="184">
      <x:c r="A184" s="59"/>
      <x:c r="B184" s="59"/>
      <x:c r="C184" s="59"/>
      <x:c r="D184" s="59"/>
      <x:c r="E184" s="59"/>
      <x:c r="F184" s="59"/>
      <x:c r="G184" s="59"/>
      <x:c r="H184" s="59"/>
      <x:c r="I184" s="59"/>
      <x:c r="J184" s="59"/>
      <x:c r="K184" s="59"/>
      <x:c r="L184" s="59"/>
      <x:c r="M184" s="59"/>
      <x:c r="N184" s="59"/>
      <x:c r="O184" s="59"/>
      <x:c r="P184" s="59"/>
      <x:c r="Q184" s="59"/>
      <x:c r="R184" s="59"/>
      <x:c r="S184" s="59"/>
      <x:c r="T184" s="59"/>
      <x:c r="U184" s="59"/>
      <x:c r="V184" s="59"/>
      <x:c r="W184" s="59"/>
      <x:c r="X184" s="59"/>
      <x:c r="Y184" s="59"/>
      <x:c r="Z184" s="59"/>
      <x:c r="AA184" s="59"/>
      <x:c r="AB184" s="59"/>
      <x:c r="AC184" s="59"/>
      <x:c r="AD184" s="59"/>
      <x:c r="AE184" s="59"/>
      <x:c r="AF184" s="59"/>
      <x:c r="AG184" s="59"/>
      <x:c r="AH184" s="59"/>
      <x:c r="AI184" s="59"/>
      <x:c r="AJ184" s="59"/>
      <x:c r="AK184" s="59"/>
      <x:c r="AL184" s="59"/>
      <x:c r="AM184" s="59"/>
      <x:c r="AN184" s="59"/>
    </x:row>
    <x:row r="185">
      <x:c r="A185" s="59"/>
      <x:c r="B185" s="59"/>
      <x:c r="C185" s="59"/>
      <x:c r="D185" s="59"/>
      <x:c r="E185" s="59"/>
      <x:c r="F185" s="59"/>
      <x:c r="G185" s="59"/>
      <x:c r="H185" s="59"/>
      <x:c r="I185" s="59"/>
      <x:c r="J185" s="59"/>
      <x:c r="K185" s="59"/>
      <x:c r="L185" s="59"/>
      <x:c r="M185" s="59"/>
      <x:c r="N185" s="59"/>
      <x:c r="O185" s="59"/>
      <x:c r="P185" s="59"/>
      <x:c r="Q185" s="59"/>
      <x:c r="R185" s="59"/>
      <x:c r="S185" s="59"/>
      <x:c r="T185" s="59"/>
      <x:c r="U185" s="59"/>
      <x:c r="V185" s="59"/>
      <x:c r="W185" s="59"/>
      <x:c r="X185" s="59"/>
      <x:c r="Y185" s="59"/>
      <x:c r="Z185" s="59"/>
      <x:c r="AA185" s="59"/>
      <x:c r="AB185" s="59"/>
      <x:c r="AC185" s="59"/>
      <x:c r="AD185" s="59"/>
      <x:c r="AE185" s="59"/>
      <x:c r="AF185" s="59"/>
      <x:c r="AG185" s="59"/>
      <x:c r="AH185" s="59"/>
      <x:c r="AI185" s="59"/>
      <x:c r="AJ185" s="59"/>
      <x:c r="AK185" s="59"/>
      <x:c r="AL185" s="59"/>
      <x:c r="AM185" s="59"/>
      <x:c r="AN185" s="59"/>
    </x:row>
    <x:row r="186">
      <x:c r="A186" s="59"/>
      <x:c r="B186" s="59"/>
      <x:c r="C186" s="59"/>
      <x:c r="D186" s="59"/>
      <x:c r="E186" s="59"/>
      <x:c r="F186" s="59"/>
      <x:c r="G186" s="59"/>
      <x:c r="H186" s="59"/>
      <x:c r="I186" s="59"/>
      <x:c r="J186" s="59"/>
      <x:c r="K186" s="59"/>
      <x:c r="L186" s="59"/>
      <x:c r="M186" s="59"/>
      <x:c r="N186" s="59"/>
      <x:c r="O186" s="59"/>
      <x:c r="P186" s="59"/>
      <x:c r="Q186" s="59"/>
      <x:c r="R186" s="59"/>
      <x:c r="S186" s="59"/>
      <x:c r="T186" s="59"/>
      <x:c r="U186" s="59"/>
      <x:c r="V186" s="59"/>
      <x:c r="W186" s="59"/>
      <x:c r="X186" s="59"/>
      <x:c r="Y186" s="59"/>
      <x:c r="Z186" s="59"/>
      <x:c r="AA186" s="59"/>
      <x:c r="AB186" s="59"/>
      <x:c r="AC186" s="59"/>
      <x:c r="AD186" s="59"/>
      <x:c r="AE186" s="59"/>
      <x:c r="AF186" s="59"/>
      <x:c r="AG186" s="59"/>
      <x:c r="AH186" s="59"/>
      <x:c r="AI186" s="59"/>
      <x:c r="AJ186" s="59"/>
      <x:c r="AK186" s="59"/>
      <x:c r="AL186" s="59"/>
      <x:c r="AM186" s="59"/>
      <x:c r="AN186" s="59"/>
    </x:row>
    <x:row r="187">
      <x:c r="A187" s="59"/>
      <x:c r="B187" s="59"/>
      <x:c r="C187" s="59"/>
      <x:c r="D187" s="59"/>
      <x:c r="E187" s="59"/>
      <x:c r="F187" s="59"/>
      <x:c r="G187" s="59"/>
      <x:c r="H187" s="59"/>
      <x:c r="I187" s="59"/>
      <x:c r="J187" s="59"/>
      <x:c r="K187" s="59"/>
      <x:c r="L187" s="59"/>
      <x:c r="M187" s="59"/>
      <x:c r="N187" s="59"/>
      <x:c r="O187" s="59"/>
      <x:c r="P187" s="59"/>
      <x:c r="Q187" s="59"/>
      <x:c r="R187" s="59"/>
      <x:c r="S187" s="59"/>
      <x:c r="T187" s="59"/>
      <x:c r="U187" s="59"/>
      <x:c r="V187" s="59"/>
      <x:c r="W187" s="59"/>
      <x:c r="X187" s="59"/>
      <x:c r="Y187" s="59"/>
      <x:c r="Z187" s="59"/>
      <x:c r="AA187" s="59"/>
      <x:c r="AB187" s="59"/>
      <x:c r="AC187" s="59"/>
      <x:c r="AD187" s="59"/>
      <x:c r="AE187" s="59"/>
      <x:c r="AF187" s="59"/>
      <x:c r="AG187" s="59"/>
      <x:c r="AH187" s="59"/>
      <x:c r="AI187" s="59"/>
      <x:c r="AJ187" s="59"/>
      <x:c r="AK187" s="59"/>
      <x:c r="AL187" s="59"/>
      <x:c r="AM187" s="59"/>
      <x:c r="AN187" s="59"/>
    </x:row>
    <x:row r="188">
      <x:c r="A188" s="59"/>
      <x:c r="B188" s="59"/>
      <x:c r="C188" s="59"/>
      <x:c r="D188" s="59"/>
      <x:c r="E188" s="59"/>
      <x:c r="F188" s="59"/>
      <x:c r="G188" s="59"/>
      <x:c r="H188" s="59"/>
      <x:c r="I188" s="59"/>
      <x:c r="J188" s="59"/>
      <x:c r="K188" s="59"/>
      <x:c r="L188" s="59"/>
      <x:c r="M188" s="59"/>
      <x:c r="N188" s="59"/>
      <x:c r="O188" s="59"/>
      <x:c r="P188" s="59"/>
      <x:c r="Q188" s="59"/>
      <x:c r="R188" s="59"/>
      <x:c r="S188" s="59"/>
      <x:c r="T188" s="59"/>
      <x:c r="U188" s="59"/>
      <x:c r="V188" s="59"/>
      <x:c r="W188" s="59"/>
      <x:c r="X188" s="59"/>
      <x:c r="Y188" s="59"/>
      <x:c r="Z188" s="59"/>
      <x:c r="AA188" s="59"/>
      <x:c r="AB188" s="59"/>
      <x:c r="AC188" s="59"/>
      <x:c r="AD188" s="59"/>
      <x:c r="AE188" s="59"/>
      <x:c r="AF188" s="59"/>
      <x:c r="AG188" s="59"/>
      <x:c r="AH188" s="59"/>
      <x:c r="AI188" s="59"/>
      <x:c r="AJ188" s="59"/>
      <x:c r="AK188" s="59"/>
      <x:c r="AL188" s="59"/>
      <x:c r="AM188" s="59"/>
      <x:c r="AN188" s="59"/>
    </x:row>
    <x:row r="189">
      <x:c r="A189" s="59"/>
      <x:c r="B189" s="59"/>
      <x:c r="C189" s="59"/>
      <x:c r="D189" s="59"/>
      <x:c r="E189" s="59"/>
      <x:c r="F189" s="59"/>
      <x:c r="G189" s="59"/>
      <x:c r="H189" s="59"/>
      <x:c r="I189" s="59"/>
      <x:c r="J189" s="59"/>
      <x:c r="K189" s="59"/>
      <x:c r="L189" s="59"/>
      <x:c r="M189" s="59"/>
      <x:c r="N189" s="59"/>
      <x:c r="O189" s="59"/>
      <x:c r="P189" s="59"/>
      <x:c r="Q189" s="59"/>
      <x:c r="R189" s="59"/>
      <x:c r="S189" s="59"/>
      <x:c r="T189" s="59"/>
      <x:c r="U189" s="59"/>
      <x:c r="V189" s="59"/>
      <x:c r="W189" s="59"/>
      <x:c r="X189" s="59"/>
      <x:c r="Y189" s="59"/>
      <x:c r="Z189" s="59"/>
      <x:c r="AA189" s="59"/>
      <x:c r="AB189" s="59"/>
      <x:c r="AC189" s="59"/>
      <x:c r="AD189" s="59"/>
      <x:c r="AE189" s="59"/>
      <x:c r="AF189" s="59"/>
      <x:c r="AG189" s="59"/>
      <x:c r="AH189" s="59"/>
      <x:c r="AI189" s="59"/>
      <x:c r="AJ189" s="59"/>
      <x:c r="AK189" s="59"/>
      <x:c r="AL189" s="59"/>
      <x:c r="AM189" s="59"/>
      <x:c r="AN189" s="59"/>
    </x:row>
    <x:row r="190">
      <x:c r="A190" s="59"/>
      <x:c r="B190" s="59"/>
      <x:c r="C190" s="59"/>
      <x:c r="D190" s="59"/>
      <x:c r="E190" s="59"/>
      <x:c r="F190" s="59"/>
      <x:c r="G190" s="59"/>
      <x:c r="H190" s="59"/>
      <x:c r="I190" s="59"/>
      <x:c r="J190" s="59"/>
      <x:c r="K190" s="59"/>
      <x:c r="L190" s="59"/>
      <x:c r="M190" s="59"/>
      <x:c r="N190" s="59"/>
      <x:c r="O190" s="59"/>
      <x:c r="P190" s="59"/>
      <x:c r="Q190" s="59"/>
      <x:c r="R190" s="59"/>
      <x:c r="S190" s="59"/>
      <x:c r="T190" s="59"/>
      <x:c r="U190" s="59"/>
      <x:c r="V190" s="59"/>
      <x:c r="W190" s="59"/>
      <x:c r="X190" s="59"/>
      <x:c r="Y190" s="59"/>
      <x:c r="Z190" s="59"/>
      <x:c r="AA190" s="59"/>
      <x:c r="AB190" s="59"/>
      <x:c r="AC190" s="59"/>
      <x:c r="AD190" s="59"/>
      <x:c r="AE190" s="59"/>
      <x:c r="AF190" s="59"/>
      <x:c r="AG190" s="59"/>
      <x:c r="AH190" s="59"/>
      <x:c r="AI190" s="59"/>
      <x:c r="AJ190" s="59"/>
      <x:c r="AK190" s="59"/>
      <x:c r="AL190" s="59"/>
      <x:c r="AM190" s="59"/>
      <x:c r="AN190" s="59"/>
    </x:row>
    <x:row r="191">
      <x:c r="A191" s="59"/>
      <x:c r="B191" s="59"/>
      <x:c r="C191" s="59"/>
      <x:c r="D191" s="59"/>
      <x:c r="E191" s="59"/>
      <x:c r="F191" s="59"/>
      <x:c r="G191" s="59"/>
      <x:c r="H191" s="59"/>
      <x:c r="I191" s="59"/>
      <x:c r="J191" s="59"/>
      <x:c r="K191" s="59"/>
      <x:c r="L191" s="59"/>
      <x:c r="M191" s="59"/>
      <x:c r="N191" s="59"/>
      <x:c r="O191" s="59"/>
      <x:c r="P191" s="59"/>
      <x:c r="Q191" s="59"/>
      <x:c r="R191" s="59"/>
      <x:c r="S191" s="59"/>
      <x:c r="T191" s="59"/>
      <x:c r="U191" s="59"/>
      <x:c r="V191" s="59"/>
      <x:c r="W191" s="59"/>
      <x:c r="X191" s="59"/>
      <x:c r="Y191" s="59"/>
      <x:c r="Z191" s="59"/>
      <x:c r="AA191" s="59"/>
      <x:c r="AB191" s="59"/>
      <x:c r="AC191" s="59"/>
      <x:c r="AD191" s="59"/>
      <x:c r="AE191" s="59"/>
      <x:c r="AF191" s="59"/>
      <x:c r="AG191" s="59"/>
      <x:c r="AH191" s="59"/>
      <x:c r="AI191" s="59"/>
      <x:c r="AJ191" s="59"/>
      <x:c r="AK191" s="59"/>
      <x:c r="AL191" s="59"/>
      <x:c r="AM191" s="59"/>
      <x:c r="AN191" s="59"/>
    </x:row>
    <x:row r="192">
      <x:c r="A192" s="59"/>
      <x:c r="B192" s="59"/>
      <x:c r="C192" s="59"/>
      <x:c r="D192" s="59"/>
      <x:c r="E192" s="59"/>
      <x:c r="F192" s="59"/>
      <x:c r="G192" s="59"/>
      <x:c r="H192" s="59"/>
      <x:c r="I192" s="59"/>
      <x:c r="J192" s="59"/>
      <x:c r="K192" s="59"/>
      <x:c r="L192" s="59"/>
      <x:c r="M192" s="59"/>
      <x:c r="N192" s="59"/>
      <x:c r="O192" s="59"/>
      <x:c r="P192" s="59"/>
      <x:c r="Q192" s="59"/>
      <x:c r="R192" s="59"/>
      <x:c r="S192" s="59"/>
      <x:c r="T192" s="59"/>
      <x:c r="U192" s="59"/>
      <x:c r="V192" s="59"/>
      <x:c r="W192" s="59"/>
      <x:c r="X192" s="59"/>
      <x:c r="Y192" s="59"/>
      <x:c r="Z192" s="59"/>
      <x:c r="AA192" s="59"/>
      <x:c r="AB192" s="59"/>
      <x:c r="AC192" s="59"/>
      <x:c r="AD192" s="59"/>
      <x:c r="AE192" s="59"/>
      <x:c r="AF192" s="59"/>
      <x:c r="AG192" s="59"/>
      <x:c r="AH192" s="59"/>
      <x:c r="AI192" s="59"/>
      <x:c r="AJ192" s="59"/>
      <x:c r="AK192" s="59"/>
      <x:c r="AL192" s="59"/>
      <x:c r="AM192" s="59"/>
      <x:c r="AN192" s="59"/>
    </x:row>
    <x:row r="193">
      <x:c r="A193" s="59"/>
      <x:c r="B193" s="59"/>
      <x:c r="C193" s="59"/>
      <x:c r="D193" s="59"/>
      <x:c r="E193" s="59"/>
      <x:c r="F193" s="59"/>
      <x:c r="G193" s="59"/>
      <x:c r="H193" s="59"/>
      <x:c r="I193" s="59"/>
      <x:c r="J193" s="59"/>
      <x:c r="K193" s="59"/>
      <x:c r="L193" s="59"/>
      <x:c r="M193" s="59"/>
      <x:c r="N193" s="59"/>
      <x:c r="O193" s="59"/>
      <x:c r="P193" s="59"/>
      <x:c r="Q193" s="59"/>
      <x:c r="R193" s="59"/>
      <x:c r="S193" s="59"/>
      <x:c r="T193" s="59"/>
      <x:c r="U193" s="59"/>
      <x:c r="V193" s="59"/>
      <x:c r="W193" s="59"/>
      <x:c r="X193" s="59"/>
      <x:c r="Y193" s="59"/>
      <x:c r="Z193" s="59"/>
      <x:c r="AA193" s="59"/>
      <x:c r="AB193" s="59"/>
      <x:c r="AC193" s="59"/>
      <x:c r="AD193" s="59"/>
      <x:c r="AE193" s="59"/>
      <x:c r="AF193" s="59"/>
      <x:c r="AG193" s="59"/>
      <x:c r="AH193" s="59"/>
      <x:c r="AI193" s="59"/>
      <x:c r="AJ193" s="59"/>
      <x:c r="AK193" s="59"/>
      <x:c r="AL193" s="59"/>
      <x:c r="AM193" s="59"/>
      <x:c r="AN193" s="59"/>
    </x:row>
    <x:row r="194">
      <x:c r="A194" s="59"/>
      <x:c r="B194" s="59"/>
      <x:c r="C194" s="59"/>
      <x:c r="D194" s="59"/>
      <x:c r="E194" s="59"/>
      <x:c r="F194" s="59"/>
      <x:c r="G194" s="59"/>
      <x:c r="H194" s="59"/>
      <x:c r="I194" s="59"/>
      <x:c r="J194" s="59"/>
      <x:c r="K194" s="59"/>
      <x:c r="L194" s="59"/>
      <x:c r="M194" s="59"/>
      <x:c r="N194" s="59"/>
      <x:c r="O194" s="59"/>
      <x:c r="P194" s="59"/>
      <x:c r="Q194" s="59"/>
      <x:c r="R194" s="59"/>
      <x:c r="S194" s="59"/>
      <x:c r="T194" s="59"/>
      <x:c r="U194" s="59"/>
      <x:c r="V194" s="59"/>
      <x:c r="W194" s="59"/>
      <x:c r="X194" s="59"/>
      <x:c r="Y194" s="59"/>
      <x:c r="Z194" s="59"/>
      <x:c r="AA194" s="59"/>
      <x:c r="AB194" s="59"/>
      <x:c r="AC194" s="59"/>
      <x:c r="AD194" s="59"/>
      <x:c r="AE194" s="59"/>
      <x:c r="AF194" s="59"/>
      <x:c r="AG194" s="59"/>
      <x:c r="AH194" s="59"/>
      <x:c r="AI194" s="59"/>
      <x:c r="AJ194" s="59"/>
      <x:c r="AK194" s="59"/>
      <x:c r="AL194" s="59"/>
      <x:c r="AM194" s="59"/>
      <x:c r="AN194" s="59"/>
    </x:row>
    <x:row r="195">
      <x:c r="A195" s="59"/>
      <x:c r="B195" s="59"/>
      <x:c r="C195" s="59"/>
      <x:c r="D195" s="59"/>
      <x:c r="E195" s="59"/>
      <x:c r="F195" s="59"/>
      <x:c r="G195" s="59"/>
      <x:c r="H195" s="59"/>
      <x:c r="I195" s="59"/>
      <x:c r="J195" s="59"/>
      <x:c r="K195" s="59"/>
      <x:c r="L195" s="59"/>
      <x:c r="M195" s="59"/>
      <x:c r="N195" s="59"/>
      <x:c r="O195" s="59"/>
      <x:c r="P195" s="59"/>
      <x:c r="Q195" s="59"/>
      <x:c r="R195" s="59"/>
      <x:c r="S195" s="59"/>
      <x:c r="T195" s="59"/>
      <x:c r="U195" s="59"/>
      <x:c r="V195" s="59"/>
      <x:c r="W195" s="59"/>
      <x:c r="X195" s="59"/>
      <x:c r="Y195" s="59"/>
      <x:c r="Z195" s="59"/>
      <x:c r="AA195" s="59"/>
      <x:c r="AB195" s="59"/>
      <x:c r="AC195" s="59"/>
      <x:c r="AD195" s="59"/>
      <x:c r="AE195" s="59"/>
      <x:c r="AF195" s="59"/>
      <x:c r="AG195" s="59"/>
      <x:c r="AH195" s="59"/>
      <x:c r="AI195" s="59"/>
      <x:c r="AJ195" s="59"/>
      <x:c r="AK195" s="59"/>
      <x:c r="AL195" s="59"/>
      <x:c r="AM195" s="59"/>
      <x:c r="AN195" s="59"/>
    </x:row>
    <x:row r="196">
      <x:c r="A196" s="59"/>
      <x:c r="B196" s="59"/>
      <x:c r="C196" s="59"/>
      <x:c r="D196" s="59"/>
      <x:c r="E196" s="59"/>
      <x:c r="F196" s="59"/>
      <x:c r="G196" s="59"/>
      <x:c r="H196" s="59"/>
      <x:c r="I196" s="59"/>
      <x:c r="J196" s="59"/>
      <x:c r="K196" s="59"/>
      <x:c r="L196" s="59"/>
      <x:c r="M196" s="59"/>
      <x:c r="N196" s="59"/>
      <x:c r="O196" s="59"/>
      <x:c r="P196" s="59"/>
      <x:c r="Q196" s="59"/>
      <x:c r="R196" s="59"/>
      <x:c r="S196" s="59"/>
      <x:c r="T196" s="59"/>
      <x:c r="U196" s="59"/>
      <x:c r="V196" s="59"/>
      <x:c r="W196" s="59"/>
      <x:c r="X196" s="59"/>
      <x:c r="Y196" s="59"/>
      <x:c r="Z196" s="59"/>
      <x:c r="AA196" s="59"/>
      <x:c r="AB196" s="59"/>
      <x:c r="AC196" s="59"/>
      <x:c r="AD196" s="59"/>
      <x:c r="AE196" s="59"/>
      <x:c r="AF196" s="59"/>
      <x:c r="AG196" s="59"/>
      <x:c r="AH196" s="59"/>
      <x:c r="AI196" s="59"/>
      <x:c r="AJ196" s="59"/>
      <x:c r="AK196" s="59"/>
      <x:c r="AL196" s="59"/>
      <x:c r="AM196" s="59"/>
      <x:c r="AN196" s="59"/>
    </x:row>
    <x:row r="197">
      <x:c r="A197" s="59"/>
      <x:c r="B197" s="59"/>
      <x:c r="C197" s="59"/>
      <x:c r="D197" s="59"/>
      <x:c r="E197" s="59"/>
      <x:c r="F197" s="59"/>
      <x:c r="G197" s="59"/>
      <x:c r="H197" s="59"/>
      <x:c r="I197" s="59"/>
      <x:c r="J197" s="59"/>
      <x:c r="K197" s="59"/>
      <x:c r="L197" s="59"/>
      <x:c r="M197" s="59"/>
      <x:c r="N197" s="59"/>
      <x:c r="O197" s="59"/>
      <x:c r="P197" s="59"/>
      <x:c r="Q197" s="59"/>
      <x:c r="R197" s="59"/>
      <x:c r="S197" s="59"/>
      <x:c r="T197" s="59"/>
      <x:c r="U197" s="59"/>
      <x:c r="V197" s="59"/>
      <x:c r="W197" s="59"/>
      <x:c r="X197" s="59"/>
      <x:c r="Y197" s="59"/>
      <x:c r="Z197" s="59"/>
      <x:c r="AA197" s="59"/>
      <x:c r="AB197" s="59"/>
      <x:c r="AC197" s="59"/>
      <x:c r="AD197" s="59"/>
      <x:c r="AE197" s="59"/>
      <x:c r="AF197" s="59"/>
      <x:c r="AG197" s="59"/>
      <x:c r="AH197" s="59"/>
      <x:c r="AI197" s="59"/>
      <x:c r="AJ197" s="59"/>
      <x:c r="AK197" s="59"/>
      <x:c r="AL197" s="59"/>
      <x:c r="AM197" s="59"/>
      <x:c r="AN197" s="59"/>
    </x:row>
    <x:row r="198">
      <x:c r="A198" s="59"/>
      <x:c r="B198" s="59"/>
      <x:c r="C198" s="59"/>
      <x:c r="D198" s="59"/>
      <x:c r="E198" s="59"/>
      <x:c r="F198" s="59"/>
      <x:c r="G198" s="59"/>
      <x:c r="H198" s="59"/>
      <x:c r="I198" s="59"/>
      <x:c r="J198" s="59"/>
      <x:c r="K198" s="59"/>
      <x:c r="L198" s="59"/>
      <x:c r="M198" s="59"/>
      <x:c r="N198" s="59"/>
      <x:c r="O198" s="59"/>
      <x:c r="P198" s="59"/>
      <x:c r="Q198" s="59"/>
      <x:c r="R198" s="59"/>
      <x:c r="S198" s="59"/>
      <x:c r="T198" s="59"/>
      <x:c r="U198" s="59"/>
      <x:c r="V198" s="59"/>
      <x:c r="W198" s="59"/>
      <x:c r="X198" s="59"/>
      <x:c r="Y198" s="59"/>
      <x:c r="Z198" s="59"/>
      <x:c r="AA198" s="59"/>
      <x:c r="AB198" s="59"/>
      <x:c r="AC198" s="59"/>
      <x:c r="AD198" s="59"/>
      <x:c r="AE198" s="59"/>
      <x:c r="AF198" s="59"/>
      <x:c r="AG198" s="59"/>
      <x:c r="AH198" s="59"/>
      <x:c r="AI198" s="59"/>
      <x:c r="AJ198" s="59"/>
      <x:c r="AK198" s="59"/>
      <x:c r="AL198" s="59"/>
      <x:c r="AM198" s="59"/>
      <x:c r="AN198" s="59"/>
    </x:row>
    <x:row r="199">
      <x:c r="A199" s="59"/>
      <x:c r="B199" s="59"/>
      <x:c r="C199" s="59"/>
      <x:c r="D199" s="59"/>
      <x:c r="E199" s="59"/>
      <x:c r="F199" s="59"/>
      <x:c r="G199" s="59"/>
      <x:c r="H199" s="59"/>
      <x:c r="I199" s="59"/>
      <x:c r="J199" s="59"/>
      <x:c r="K199" s="59"/>
      <x:c r="L199" s="59"/>
      <x:c r="M199" s="59"/>
      <x:c r="N199" s="59"/>
      <x:c r="O199" s="59"/>
      <x:c r="P199" s="59"/>
      <x:c r="Q199" s="59"/>
      <x:c r="R199" s="59"/>
      <x:c r="S199" s="59"/>
      <x:c r="T199" s="59"/>
      <x:c r="U199" s="59"/>
      <x:c r="V199" s="59"/>
      <x:c r="W199" s="59"/>
      <x:c r="X199" s="59"/>
      <x:c r="Y199" s="59"/>
      <x:c r="Z199" s="59"/>
      <x:c r="AA199" s="59"/>
      <x:c r="AB199" s="59"/>
      <x:c r="AC199" s="59"/>
      <x:c r="AD199" s="59"/>
      <x:c r="AE199" s="59"/>
      <x:c r="AF199" s="59"/>
      <x:c r="AG199" s="59"/>
      <x:c r="AH199" s="59"/>
      <x:c r="AI199" s="59"/>
      <x:c r="AJ199" s="59"/>
      <x:c r="AK199" s="59"/>
      <x:c r="AL199" s="59"/>
      <x:c r="AM199" s="59"/>
      <x:c r="AN199" s="59"/>
    </x:row>
    <x:row r="200">
      <x:c r="A200" s="59"/>
      <x:c r="B200" s="59"/>
      <x:c r="C200" s="59"/>
      <x:c r="D200" s="59"/>
      <x:c r="E200" s="59"/>
      <x:c r="F200" s="59"/>
      <x:c r="G200" s="59"/>
      <x:c r="H200" s="59"/>
      <x:c r="I200" s="59"/>
      <x:c r="J200" s="59"/>
      <x:c r="K200" s="59"/>
      <x:c r="L200" s="59"/>
      <x:c r="M200" s="59"/>
      <x:c r="N200" s="59"/>
      <x:c r="O200" s="59"/>
      <x:c r="P200" s="59"/>
      <x:c r="Q200" s="59"/>
      <x:c r="R200" s="59"/>
      <x:c r="S200" s="59"/>
      <x:c r="T200" s="59"/>
      <x:c r="U200" s="59"/>
      <x:c r="V200" s="59"/>
      <x:c r="W200" s="59"/>
      <x:c r="X200" s="59"/>
      <x:c r="Y200" s="59"/>
      <x:c r="Z200" s="59"/>
      <x:c r="AA200" s="59"/>
      <x:c r="AB200" s="59"/>
      <x:c r="AC200" s="59"/>
      <x:c r="AD200" s="59"/>
      <x:c r="AE200" s="59"/>
      <x:c r="AF200" s="59"/>
      <x:c r="AG200" s="59"/>
      <x:c r="AH200" s="59"/>
      <x:c r="AI200" s="59"/>
      <x:c r="AJ200" s="59"/>
      <x:c r="AK200" s="59"/>
      <x:c r="AL200" s="59"/>
      <x:c r="AM200" s="59"/>
      <x:c r="AN200" s="59"/>
    </x:row>
  </x:sheetData>
  <x:pageMargins left="0.7" right="0.7" top="0.75" bottom="0.75" header="0.3" footer="0.3"/>
  <x:tableParts count="1">
    <x:tablePart xmlns:r="http://schemas.openxmlformats.org/officeDocument/2006/relationships" r:id="Rf8dfefe7937941b3"/>
  </x:tableParts>
</x:worksheet>
</file>

<file path=xl/worksheets/sheet8.xml><?xml version="1.0" encoding="utf-8"?>
<x:worksheet xmlns:x="http://schemas.openxmlformats.org/spreadsheetml/2006/main">
  <x:sheetFormatPr defaultRowHeight="15"/>
  <x:cols>
    <x:col min="1" max="1" width="34" hidden="0" customWidth="1"/>
    <x:col min="2" max="2" width="44" hidden="0" customWidth="1"/>
    <x:col min="3" max="3" width="44" hidden="0" customWidth="1"/>
    <x:col min="4" max="4" width="44" hidden="0" customWidth="1"/>
    <x:col min="5" max="5" width="44" hidden="0" customWidth="1"/>
    <x:col min="6" max="6" width="44" hidden="0" customWidth="1"/>
    <x:col min="7" max="7" width="44" hidden="0" customWidth="1"/>
  </x:cols>
  <x:sheetData>
    <x:row r="1">
      <x:c r="A1" s="56" t="str">
        <x:v>Domain</x:v>
      </x:c>
      <x:c r="B1" s="56" t="str">
        <x:v>Description</x:v>
      </x:c>
      <x:c r="C1" s="56" t="str">
        <x:v>Level 1 Initial</x:v>
      </x:c>
      <x:c r="D1" s="56" t="str">
        <x:v>Level 2 Repeatable</x:v>
      </x:c>
      <x:c r="E1" s="56" t="str">
        <x:v>Level 3 Defined</x:v>
      </x:c>
      <x:c r="F1" s="56" t="str">
        <x:v>Level 4 Capable</x:v>
      </x:c>
      <x:c r="G1" s="56" t="str">
        <x:v>Level 5 Efficient</x:v>
      </x:c>
      <x:c r="H1" s="59"/>
      <x:c r="I1" s="59"/>
      <x:c r="J1" s="59"/>
      <x:c r="K1" s="59"/>
      <x:c r="L1" s="59"/>
      <x:c r="M1" s="59"/>
      <x:c r="N1" s="59"/>
      <x:c r="O1" s="59"/>
      <x:c r="P1" s="59"/>
      <x:c r="Q1" s="59"/>
      <x:c r="R1" s="59"/>
      <x:c r="S1" s="59"/>
      <x:c r="T1" s="59"/>
      <x:c r="U1" s="59"/>
      <x:c r="V1" s="59"/>
      <x:c r="W1" s="59"/>
      <x:c r="X1" s="59"/>
      <x:c r="Y1" s="59"/>
      <x:c r="Z1" s="59"/>
      <x:c r="AA1" s="59"/>
      <x:c r="AB1" s="59"/>
      <x:c r="AC1" s="59"/>
      <x:c r="AD1" s="59"/>
      <x:c r="AE1" s="59"/>
      <x:c r="AF1" s="59"/>
      <x:c r="AG1" s="59"/>
      <x:c r="AH1" s="59"/>
      <x:c r="AI1" s="59"/>
      <x:c r="AJ1" s="59"/>
      <x:c r="AK1" s="59"/>
      <x:c r="AL1" s="59"/>
      <x:c r="AM1" s="59"/>
      <x:c r="AN1" s="59"/>
    </x:row>
    <x:row r="2">
      <x:c r="A2" s="21" t="str">
        <x:v>Governance</x:v>
      </x:c>
      <x:c r="B2" s="21" t="str">
        <x:v>Overall governance of artificial intelligence, including use of AI tools, AI services, and creating AI powered or integrated applications. Includes AI safety and ethics policies.</x:v>
      </x:c>
      <x:c r="C2" s="21" t="str">
        <x:v>No coordinated AI governance. Teams self-manage AI usage with self-selected tools and providers. No AI-specific policies, procedures, or safety/ethics guidance.</x:v>
      </x:c>
      <x:c r="D2" s="21" t="str">
        <x:v>Initial AI usage policies established with basic guidance (e.g., "do not share sensitive enterprise or customer data with generative AI"). No AI-specific governance structures or designated management in place. Policies include high-level safety/ethics statements. Some AI-related procedures documented but not consistently followed across the organization.</x:v>
      </x:c>
      <x:c r="E2" s="21" t="str">
        <x:v>AI team, AI Council, AI Center of Excellence, or equivalent in place to guide usage. Initial AI policies in use for AI-supported development, AI-powered applications, or both. Basic adoption of procedures, standards and benchmarks (e.g., AICM). Partial control objectives established for at least one provider. AI deployment/application registry in place. General AI safety guidelines established.</x:v>
      </x:c>
      <x:c r="F2" s="21" t="str">
        <x:v>Central AI team has subject matter experts for current AI models/providers and responsibility and authority to set rules/baselines. Developer policies for AI usage in place with training. AI security control objectives for AI-supported development and applications in use, with initial automated tracking. AI safety policies established for different use cases. Cross-functional AI ethics/safety review process for high-risk use cases.</x:v>
      </x:c>
      <x:c r="G2" s="21" t="str">
        <x:v>Governance is monitored and managed using automated tooling (models/provider version compliance, guardrails coverage, agent/MCP registries). Defined process to update control objectives/specifications as AI providers and tools add/modify services and release new models. AI ethics review board in place with enforcement authority. </x:v>
      </x:c>
      <x:c r="H2" s="59"/>
      <x:c r="I2" s="59"/>
      <x:c r="J2" s="59"/>
      <x:c r="K2" s="59"/>
      <x:c r="L2" s="59"/>
      <x:c r="M2" s="59"/>
      <x:c r="N2" s="59"/>
      <x:c r="O2" s="59"/>
      <x:c r="P2" s="59"/>
      <x:c r="Q2" s="59"/>
      <x:c r="R2" s="59"/>
      <x:c r="S2" s="59"/>
      <x:c r="T2" s="59"/>
      <x:c r="U2" s="59"/>
      <x:c r="V2" s="59"/>
      <x:c r="W2" s="59"/>
      <x:c r="X2" s="59"/>
      <x:c r="Y2" s="59"/>
      <x:c r="Z2" s="59"/>
      <x:c r="AA2" s="59"/>
      <x:c r="AB2" s="59"/>
      <x:c r="AC2" s="59"/>
      <x:c r="AD2" s="59"/>
      <x:c r="AE2" s="59"/>
      <x:c r="AF2" s="59"/>
      <x:c r="AG2" s="59"/>
      <x:c r="AH2" s="59"/>
      <x:c r="AI2" s="59"/>
      <x:c r="AJ2" s="59"/>
      <x:c r="AK2" s="59"/>
      <x:c r="AL2" s="59"/>
      <x:c r="AM2" s="59"/>
      <x:c r="AN2" s="59"/>
    </x:row>
    <x:row r="3">
      <x:c r="A3" s="21" t="str">
        <x:v>Organization Management</x:v>
      </x:c>
      <x:c r="B3" s="21" t="str">
        <x:v>Controls for enterprise-wide AI management, asset discovery, inventory, and centralized security enforcement. Includes AI service, agent, and model discovery, AI-enabled developer tool management, cloud provider policy controls (e.g., AWS SCPs, Azure Policy, GCP organizational policies) to restrict AI services and models, configuration baselines, automated guardrail enforcement, and isolation patterns for blast radius control. Shared security components for managing AI autonomy and agents.</x:v>
      </x:c>
      <x:c r="C3" s="21" t="str">
        <x:v>No visibility into enterprise AI usage. AI-powered applications and AI coding assistants are untracked. Individual teams self-manage AI tools and services without centralized oversight. No technical controls to restrict or manage AI service usage.</x:v>
      </x:c>
      <x:c r="D3" s="21" t="str">
        <x:v>AI usage tracked through available means (billing analysis, endpoint telemetry, manual surveys). Approved AI platforms and developer tools identified but enforcement is policy-based or limited to provider-managed settings. Basic security requirements for AI deployments documented. No automated discovery of AI services or coding tool usage. AI feature settings managed for major SaaS platforms (e.g., Microsoft 365 Copilot) but not consistently.</x:v>
      </x:c>
      <x:c r="E3" s="21" t="str">
        <x:v>Initial technical controls for AI services on primary cloud platform (e.g., AWS SCPs restricting Bedrock models, Azure Policy for Copilot, GCP Organization Policy for Vertex AI). AI coding assistants deployed via enterprise licensing with centralized administration (e.g., GitHub Copilot Business/Enterprise). Dedicated cloud deployments (account/subscription) provisioned for AI workloads. AI service inventory maintained for primary platforms but discovery remains manual.</x:v>
      </x:c>
      <x:c r="F3" s="21" t="str">
        <x:v>Consistent organizational policies enforce approved AI services and models across cloud accounts. Enterprise controls for AI developer tools enforced (approved assistants, security code review agents). Initial use of AI-SPM or cloud-native tools for automated AI service discovery. Unmanaged AI discovery capability covering both AI services and unauthorized coding tools. Visibility into models, endpoints, agents, and dependencies. Blast radius controlled through account/subscription isolation.</x:v>
      </x:c>
      <x:c r="G3" s="21" t="str">
        <x:v>Automated, continuous AI discovery across cloud platforms and developer environments. Shared security services leverage automation for efficiency. Policy-as-code for AI service restrictions integrated with provisioning pipelines. AI-SPM integrated into security operations with automated alerting on unmanaged AI or policy violations. Org-level AI controls updated proactively as providers release new models/services. Automated workflows to bring discovered unmanaged AI under management or block.</x:v>
      </x:c>
      <x:c r="H3" s="59"/>
      <x:c r="I3" s="59"/>
      <x:c r="J3" s="59"/>
      <x:c r="K3" s="59"/>
      <x:c r="L3" s="59"/>
      <x:c r="M3" s="59"/>
      <x:c r="N3" s="59"/>
      <x:c r="O3" s="59"/>
      <x:c r="P3" s="59"/>
      <x:c r="Q3" s="59"/>
      <x:c r="R3" s="59"/>
      <x:c r="S3" s="59"/>
      <x:c r="T3" s="59"/>
      <x:c r="U3" s="59"/>
      <x:c r="V3" s="59"/>
      <x:c r="W3" s="59"/>
      <x:c r="X3" s="59"/>
      <x:c r="Y3" s="59"/>
      <x:c r="Z3" s="59"/>
      <x:c r="AA3" s="59"/>
      <x:c r="AB3" s="59"/>
      <x:c r="AC3" s="59"/>
      <x:c r="AD3" s="59"/>
      <x:c r="AE3" s="59"/>
      <x:c r="AF3" s="59"/>
      <x:c r="AG3" s="59"/>
      <x:c r="AH3" s="59"/>
      <x:c r="AI3" s="59"/>
      <x:c r="AJ3" s="59"/>
      <x:c r="AK3" s="59"/>
      <x:c r="AL3" s="59"/>
      <x:c r="AM3" s="59"/>
      <x:c r="AN3" s="59"/>
    </x:row>
    <x:row r="4">
      <x:c r="A4" s="21" t="str">
        <x:v>IAM</x:v>
      </x:c>
      <x:c r="B4" s="21" t="str">
        <x:v>Managing user authentication and authorization for AI applications and services across deployment types (self-hosted, PaaS, API/SaaS), non-human identities for AI agents and services, and customer identity workflows through AI applications. Includes chain of delegation and consent, identity chaining and transitive trust, credential scope, MCP and tool authorization, goal-based authorizations for autonomous agents, and enforcing least privilege.</x:v>
      </x:c>
      <x:c r="C4" s="21" t="str">
        <x:v>AI services and developer tools accessed using personal credentials, shared credentials or user impersonation. Agents inherit full user permissions without scoping. No distinction between human and non-human identities. API keys manually managed with broad access. No MCP or tool authorization in place. </x:v>
      </x:c>
      <x:c r="D4" s="21" t="str">
        <x:v>Initial use of service accounts or managed identities for AI workloads. SSO for enterprise AI chatbots. Basic OAuth integration for AI application access. Agent permissions defined but not scoped to tasks, agents typically receive user's full authorization. MCP servers, if used, rely on static API keys. Initial documentation of which agents access which resources.</x:v>
      </x:c>
      <x:c r="E4" s="21" t="str">
        <x:v>Dedicated service accounts or managed identities provisioned per AI workload and enterprise AI application. Enterprise AI platforms and SaaS AI features (e.g., Microsoft 365 Copilot, Salesforce Agentforce) managed through provider IAM controls. OAuth or similar standards used for primary MCP tool authorization. Agent credentials managed with rotation and revocation procedures. Initial least-privilege policies for enterprise AI agents documented. Customer-facing AI applications include authentication and consent management.</x:v>
      </x:c>
      <x:c r="F4" s="21" t="str">
        <x:v>Distinct non-human identities established for AI agents across deployment types (enterprise-built, SaaS-embedded, developer tools). Delegation and consent flows implemented (users explicitly authorize agent actions). On-behalf-of authorization patterns with tokens reflecting both user and agent identity. Agent identity integrated with enterprise IdP for supported technologies. MCP tool authorization with fine-grained scopes. AI developer tools consistently tag their commits/actions with agent identity.</x:v>
      </x:c>
      <x:c r="G4" s="21" t="str">
        <x:v>Automated agent identity lifecycle management integrated with AI deployment pipelines. Just-in-time, ephemeral credentials for agent operations (tokens expire after task/session). Delegation chain validation for multi-agent workflows with transitive trust boundaries enforced. Full auditability from user intent through agent actions to resource access. Policy-as-code enforcement for agent authorization. Continuous validation of agent permissions against intent. Customer-facing AI identity flows secured with consent management and revocation.</x:v>
      </x:c>
      <x:c r="H4" s="59"/>
      <x:c r="I4" s="59"/>
      <x:c r="J4" s="59"/>
      <x:c r="K4" s="59"/>
      <x:c r="L4" s="59"/>
      <x:c r="M4" s="59"/>
      <x:c r="N4" s="59"/>
      <x:c r="O4" s="59"/>
      <x:c r="P4" s="59"/>
      <x:c r="Q4" s="59"/>
      <x:c r="R4" s="59"/>
      <x:c r="S4" s="59"/>
      <x:c r="T4" s="59"/>
      <x:c r="U4" s="59"/>
      <x:c r="V4" s="59"/>
      <x:c r="W4" s="59"/>
      <x:c r="X4" s="59"/>
      <x:c r="Y4" s="59"/>
      <x:c r="Z4" s="59"/>
      <x:c r="AA4" s="59"/>
      <x:c r="AB4" s="59"/>
      <x:c r="AC4" s="59"/>
      <x:c r="AD4" s="59"/>
      <x:c r="AE4" s="59"/>
      <x:c r="AF4" s="59"/>
      <x:c r="AG4" s="59"/>
      <x:c r="AH4" s="59"/>
      <x:c r="AI4" s="59"/>
      <x:c r="AJ4" s="59"/>
      <x:c r="AK4" s="59"/>
      <x:c r="AL4" s="59"/>
      <x:c r="AM4" s="59"/>
      <x:c r="AN4" s="59"/>
    </x:row>
    <x:row r="5">
      <x:c r="A5" s="21" t="str">
        <x:v>Security Monitoring</x:v>
      </x:c>
      <x:c r="B5" s="21" t="str">
        <x:v>Monitoring and logging of AI applications and activity, including prompts, input/output, service usage, agent actions, data access, and other relevant logs and events useful for security and compliance.</x:v>
      </x:c>
      <x:c r="C5" s="21" t="str">
        <x:v>No AI-specific monitoring. Reliance on cloud and/or AI provider default logging, if enabled. No visibility into prompts, agent actions, or AI service usage. AI activity untracked and unauditable.</x:v>
      </x:c>
      <x:c r="D5" s="21" t="str">
        <x:v>Basic AI service logs collected (model invocations, API calls) and initial token/cost tracking for major AI platforms. Logs retained in the provider but not regularly analyzed for security. No prompt or response capture. AI usage logs reviewed for billing or troubleshooting but not security.</x:v>
      </x:c>
      <x:c r="E5" s="21" t="str">
        <x:v>Prompt/response logging implemented for key AI applications (with appropriate data handling/masking). Agent action logging captures tool calls and resource access. Initial AI-specific alerting (e.g., guardrail violations, information disclosure). Logs aggregated into central SIEM. MCP and tool invocations logged.</x:v>
      </x:c>
      <x:c r="F5" s="21" t="str">
        <x:v>Comprehensive AI telemetry across applications, including prompts, responses, agent actions, delegation chains, and data access. AI-specific threat detection in place (prompt injection, jailbreak attempts, anomalous patterns). Delegation chain auditability for multi-agent workflows. Alerts integrated with SOC workflows. Sensitive data detection in key AI inputs/outputs.</x:v>
      </x:c>
      <x:c r="G5" s="21" t="str">
        <x:v>Real-time AI security monitoring with automated response capabilities. Full auditability from user intent through agent actions to resource access. AI behavioral baselines with anomaly detection. Proactive threat hunting for AI attack patterns. AI monitoring integrated with incident response playbooks.</x:v>
      </x:c>
      <x:c r="H5" s="59"/>
      <x:c r="I5" s="59"/>
      <x:c r="J5" s="59"/>
      <x:c r="K5" s="59"/>
      <x:c r="L5" s="59"/>
      <x:c r="M5" s="59"/>
      <x:c r="N5" s="59"/>
      <x:c r="O5" s="59"/>
      <x:c r="P5" s="59"/>
      <x:c r="Q5" s="59"/>
      <x:c r="R5" s="59"/>
      <x:c r="S5" s="59"/>
      <x:c r="T5" s="59"/>
      <x:c r="U5" s="59"/>
      <x:c r="V5" s="59"/>
      <x:c r="W5" s="59"/>
      <x:c r="X5" s="59"/>
      <x:c r="Y5" s="59"/>
      <x:c r="Z5" s="59"/>
      <x:c r="AA5" s="59"/>
      <x:c r="AB5" s="59"/>
      <x:c r="AC5" s="59"/>
      <x:c r="AD5" s="59"/>
      <x:c r="AE5" s="59"/>
      <x:c r="AF5" s="59"/>
      <x:c r="AG5" s="59"/>
      <x:c r="AH5" s="59"/>
      <x:c r="AI5" s="59"/>
      <x:c r="AJ5" s="59"/>
      <x:c r="AK5" s="59"/>
      <x:c r="AL5" s="59"/>
      <x:c r="AM5" s="59"/>
      <x:c r="AN5" s="59"/>
    </x:row>
    <x:row r="6">
      <x:c r="A6" s="21" t="str">
        <x:v>Infrastructure Security and Resilience</x:v>
      </x:c>
      <x:c r="B6" s="21" t="str">
        <x:v>Security and resilience of the hosting environment for AI workloads, including compute (training clusters, inference servers), network isolation, and cloud/datacenter infrastructure. Focuses on preventing infrastructure-level compromise and outages of AI systems.</x:v>
      </x:c>
      <x:c r="C6" s="21" t="str">
        <x:v>AI workloads run on general-purpose infrastructure with default security settings. No dedicated or isolated environments for AI training or serving. Network segmentation between AI and other workloads is absent. Hosting infrastructure for AI not differentiated in vulnerability management or monitoring.</x:v>
      </x:c>
      <x:c r="D6" s="21" t="str">
        <x:v>Basic separation between AI development, training, and production environments (e.g., separate accounts/subscriptions or network segments). AI hosting infrastructure included in standard vulnerability management. Initial security configurations documented for AI compute and serving environments but inconsistently applied. </x:v>
      </x:c>
      <x:c r="E6" s="21" t="str">
        <x:v>Standardized AI infrastructure architecture with documented security baselines. Training and inference environments isolated with defined network boundaries. AI workloads provisioned using Infrastructure-as-Code with security configurations. Hosting infrastructure integrated into CSPM/CNAPP coverage. Hardening and resilience standards applied to AI compute resources.</x:v>
      </x:c>
      <x:c r="F6" s="21" t="str">
        <x:v>AI infrastructure initial use of zero trust architectures. Model and app serving workloads implement runtime security monitoring and enforcement. Confidential computing evaluated for high-sensitivity training and inference workloads. Deployments managed using IaC with security checks in the pipeline. Resilience includes system prompts, agent configurations, and other AI-specific components.</x:v>
      </x:c>
      <x:c r="G6" s="21" t="str">
        <x:v>Zero trust architecture consistently enforced across AI infrastructure. Immutable infrastructure patterns for AI hosting where feasible. Confidential computing deployed for high-sensitivity workloads. AI infrastructure security continuously validated and adapted as new attack vectors emerge. Infrastructure changes automated with security gates.</x:v>
      </x:c>
      <x:c r="H6" s="59"/>
      <x:c r="I6" s="59"/>
      <x:c r="J6" s="59"/>
      <x:c r="K6" s="59"/>
      <x:c r="L6" s="59"/>
      <x:c r="M6" s="59"/>
      <x:c r="N6" s="59"/>
      <x:c r="O6" s="59"/>
      <x:c r="P6" s="59"/>
      <x:c r="Q6" s="59"/>
      <x:c r="R6" s="59"/>
      <x:c r="S6" s="59"/>
      <x:c r="T6" s="59"/>
      <x:c r="U6" s="59"/>
      <x:c r="V6" s="59"/>
      <x:c r="W6" s="59"/>
      <x:c r="X6" s="59"/>
      <x:c r="Y6" s="59"/>
      <x:c r="Z6" s="59"/>
      <x:c r="AA6" s="59"/>
      <x:c r="AB6" s="59"/>
      <x:c r="AC6" s="59"/>
      <x:c r="AD6" s="59"/>
      <x:c r="AE6" s="59"/>
      <x:c r="AF6" s="59"/>
      <x:c r="AG6" s="59"/>
      <x:c r="AH6" s="59"/>
      <x:c r="AI6" s="59"/>
      <x:c r="AJ6" s="59"/>
      <x:c r="AK6" s="59"/>
      <x:c r="AL6" s="59"/>
      <x:c r="AM6" s="59"/>
      <x:c r="AN6" s="59"/>
    </x:row>
    <x:row r="7">
      <x:c r="A7" s="21" t="str">
        <x:v>Model Security</x:v>
      </x:c>
      <x:c r="B7" s="21" t="str">
        <x:v>Security controls for AI models across deployment types (self-hosted, PaaS, API/SaaS), including model selection, integrity and provenance verification, secure configuration, adversarial robustness, and operational monitoring. Includes model safety (bias, harm, hallucinations).</x:v>
      </x:c>
      <x:c r="C7" s="21" t="str">
        <x:v>Models deployed without security or safety review regardless of deployment type. For self-hosted models, no integrity controls or restrictions on unsafe file formats. For PaaS/API models, default configurations used without security assessment. No evaluation of third-party or open models before use. Model provider security posture not assessed.</x:v>
      </x:c>
      <x:c r="D7" s="21" t="str">
        <x:v>Basic security requirements documented for model deployments (e.g., system prompt requirements). Third-party and open models undergo risk review for major deployments, including basic safety evaluation. For self-hosted models, unsafe file formats recognized but enforcement inconsistent. For PaaS/API models, initial configuration reviews performed. Model provider security assessments conducted for primary providers.</x:v>
      </x:c>
      <x:c r="E7" s="21" t="str">
        <x:v>Standardized security and safety (bias/harm/hallucination) requirements for models based on deployment type and risk classification. Self-hosted models require integrity verification and secure file formats. PaaS/API model configurations hardened per documented standards. Formal risk assessment process for third-party and open models. Model versioning and rollback capability established. Initial monitoring for model behavior and performance in production.</x:v>
      </x:c>
      <x:c r="F7" s="21" t="str">
        <x:v>Model signing and provenance verification enforced for self-hosted models. Automated configuration validation for PaaS/API deployments. Adversarial robustness testing standard for production use cases. Continuous monitoring for model drift, degradation, safety, and anomalous behavior across deployment types. Model risk metrics tracked and reported through governance processes.</x:v>
      </x:c>
      <x:c r="G7" s="21" t="str">
        <x:v>Automated model security verification across deployment types integrated into pipelines. Real-time monitoring with automated alerting on drift, safety issues, or anomalies. Adversarial testing integrated into CI/CD with defined thresholds. Proactive updates to model security controls as providers release changes or new attack vectors emerge.</x:v>
      </x:c>
      <x:c r="H7" s="59"/>
      <x:c r="I7" s="59"/>
      <x:c r="J7" s="59"/>
      <x:c r="K7" s="59"/>
      <x:c r="L7" s="59"/>
      <x:c r="M7" s="59"/>
      <x:c r="N7" s="59"/>
      <x:c r="O7" s="59"/>
      <x:c r="P7" s="59"/>
      <x:c r="Q7" s="59"/>
      <x:c r="R7" s="59"/>
      <x:c r="S7" s="59"/>
      <x:c r="T7" s="59"/>
      <x:c r="U7" s="59"/>
      <x:c r="V7" s="59"/>
      <x:c r="W7" s="59"/>
      <x:c r="X7" s="59"/>
      <x:c r="Y7" s="59"/>
      <x:c r="Z7" s="59"/>
      <x:c r="AA7" s="59"/>
      <x:c r="AB7" s="59"/>
      <x:c r="AC7" s="59"/>
      <x:c r="AD7" s="59"/>
      <x:c r="AE7" s="59"/>
      <x:c r="AF7" s="59"/>
      <x:c r="AG7" s="59"/>
      <x:c r="AH7" s="59"/>
      <x:c r="AI7" s="59"/>
      <x:c r="AJ7" s="59"/>
      <x:c r="AK7" s="59"/>
      <x:c r="AL7" s="59"/>
      <x:c r="AM7" s="59"/>
      <x:c r="AN7" s="59"/>
    </x:row>
    <x:row r="8">
      <x:c r="A8" s="21" t="str">
        <x:v>App Security</x:v>
      </x:c>
      <x:c r="B8" s="21" t="str">
        <x:v>Security for AI systems and the components of an AI application across deployment types (self-hosted, PaaS, API/SaaS), including agents, MCPs, orchestration, APIs, and UIs. Tools such as guardrails, runtime protection, and other defenses.</x:v>
      </x:c>
      <x:c r="C8" s="21" t="str">
        <x:v>AI applications rely solely on traditional application security controls. No AI-specific input or output validation. Prompt injection risks unaddressed. No guardrails for model interactions. Agentic components and MCP servers, if used, deployed without security boundaries or tool restrictions.</x:v>
      </x:c>
      <x:c r="D8" s="21" t="str">
        <x:v>AI-specific application risks identified (prompt injection, insecure outputs). Initial input/output validation for AI components or some apps. Guardrails deployed for some high-risk applications. Basic API security for AI endpoints (authentication, rate limiting). Agent tool permissions defined but inconsistently enforced. MCP servers, if used, deployed without formal security review.</x:v>
      </x:c>
      <x:c r="E8" s="21" t="str">
        <x:v>AI application security requirements documented. Input validation standards include prompt injection mitigations. Output filtering requirements defined for sensitive content. Guardrails deployed for critical AI applications but coverage incomplete. Initial agent security boundaries defined with tool access restrictions. MCP/A2A integrations undergo security review for new deployments. Initial AI-specific security testing.</x:v>
      </x:c>
      <x:c r="F8" s="21" t="str">
        <x:v>Guardrails deployed consistently across production AI applications. Input/output validation automated in deployment pipelines. Runtime protection monitors AI application behavior. Agent orchestration hardened against drift and unauthorized actions. Human-in-the-loop enforced for high-risk agent actions; alerting otherwise. AI-specific security testing integrated into CI/CD.</x:v>
      </x:c>
      <x:c r="G8" s="21" t="str">
        <x:v>Guardrails continuously tuned based on emerging attack patterns. Real-time detection and response for prompt injection and output anomalies. Agentic security automated with policy engines governing tool access and multi-agent interactions. AI application red teaming conducted regularly.</x:v>
      </x:c>
      <x:c r="H8" s="59"/>
      <x:c r="I8" s="59"/>
      <x:c r="J8" s="59"/>
      <x:c r="K8" s="59"/>
      <x:c r="L8" s="59"/>
      <x:c r="M8" s="59"/>
      <x:c r="N8" s="59"/>
      <x:c r="O8" s="59"/>
      <x:c r="P8" s="59"/>
      <x:c r="Q8" s="59"/>
      <x:c r="R8" s="59"/>
      <x:c r="S8" s="59"/>
      <x:c r="T8" s="59"/>
      <x:c r="U8" s="59"/>
      <x:c r="V8" s="59"/>
      <x:c r="W8" s="59"/>
      <x:c r="X8" s="59"/>
      <x:c r="Y8" s="59"/>
      <x:c r="Z8" s="59"/>
      <x:c r="AA8" s="59"/>
      <x:c r="AB8" s="59"/>
      <x:c r="AC8" s="59"/>
      <x:c r="AD8" s="59"/>
      <x:c r="AE8" s="59"/>
      <x:c r="AF8" s="59"/>
      <x:c r="AG8" s="59"/>
      <x:c r="AH8" s="59"/>
      <x:c r="AI8" s="59"/>
      <x:c r="AJ8" s="59"/>
      <x:c r="AK8" s="59"/>
      <x:c r="AL8" s="59"/>
      <x:c r="AM8" s="59"/>
      <x:c r="AN8" s="59"/>
    </x:row>
    <x:row r="9">
      <x:c r="A9" s="21" t="str">
        <x:v>Data Security</x:v>
      </x:c>
      <x:c r="B9" s="21" t="str">
        <x:v>Managing the security, privacy and ownership of data across the AI service supply chain and deployment types (self-hosted, PaaS, API/SaaS). Includes provenance, lineage, input/output sanitization, privacy, and security controls. Focuses on training data, RAG, vector data stores, inference output and other data repositories and workflows used in AI models and applications.</x:v>
      </x:c>
      <x:c r="C9" s="21" t="str">
        <x:v>AI data repositories (training data, vector stores, RAG sources) rely on general-purpose data security controls. No differentiation between AI and other data assets. Data provenance for training and fine-tuning for self-trained models not tracked. Vector databases deployed with default access controls. No validation of data sources used for grounding or retrieval.</x:v>
      </x:c>
      <x:c r="D9" s="21" t="str">
        <x:v>AI-specific data risks identified (poisoning, RAG leakage). Training and fine-tuning data sources documented for critical models. Basic access controls on vector databases. Basic validation (source approval, format checks) for external sources used in RAG. Sensitive data handling requirements documented for AI contexts but inconsistently applied.</x:v>
      </x:c>
      <x:c r="E9" s="21" t="str">
        <x:v>AI data security requirements documented by data type (training, fine-tuning, RAG, embeddings). Data ingestion restricted to approved, documented sources with format validation before use. Vector databases use tenant or application isolation to prevent cross-context access. Sensitive data filtering applied to training and grounding sources (e.g. PII scanning). Initial data versioning for critical AI systems.</x:v>
      </x:c>
      <x:c r="F9" s="21" t="str">
        <x:v>Data sources and transformations documented and auditable for production AI systems. Automated data validation integrated into AI pipelines where applicable. Permission-aware retrieval implemented for RAG tool calls (query results filtered based on user access to source data). Comprehensive data versioning with ability to trace data changes over time. </x:v>
      </x:c>
      <x:c r="G9" s="21" t="str">
        <x:v>Data lineage integrated with model inventory for end-to-end traceability (for training). Permission-aware retrieval standard across RAG deployments. Scanning for detection of potential data poisoning or adversarial patterns in training/RAG. AI data security controls updated proactively as new attack vectors emerge.</x:v>
      </x:c>
      <x:c r="H9" s="59"/>
      <x:c r="I9" s="59"/>
      <x:c r="J9" s="59"/>
      <x:c r="K9" s="59"/>
      <x:c r="L9" s="59"/>
      <x:c r="M9" s="59"/>
      <x:c r="N9" s="59"/>
      <x:c r="O9" s="59"/>
      <x:c r="P9" s="59"/>
      <x:c r="Q9" s="59"/>
      <x:c r="R9" s="59"/>
      <x:c r="S9" s="59"/>
      <x:c r="T9" s="59"/>
      <x:c r="U9" s="59"/>
      <x:c r="V9" s="59"/>
      <x:c r="W9" s="59"/>
      <x:c r="X9" s="59"/>
      <x:c r="Y9" s="59"/>
      <x:c r="Z9" s="59"/>
      <x:c r="AA9" s="59"/>
      <x:c r="AB9" s="59"/>
      <x:c r="AC9" s="59"/>
      <x:c r="AD9" s="59"/>
      <x:c r="AE9" s="59"/>
      <x:c r="AF9" s="59"/>
      <x:c r="AG9" s="59"/>
      <x:c r="AH9" s="59"/>
      <x:c r="AI9" s="59"/>
      <x:c r="AJ9" s="59"/>
      <x:c r="AK9" s="59"/>
      <x:c r="AL9" s="59"/>
      <x:c r="AM9" s="59"/>
      <x:c r="AN9" s="59"/>
    </x:row>
    <x:row r="10">
      <x:c r="A10" s="21" t="str">
        <x:v>Risk &amp; Provider Assessment &amp; Management</x:v>
      </x:c>
      <x:c r="B10" s="21" t="str">
        <x:v>Managing all the phases of the risk management process: identification, assessment, treatment/mitigation, monitoring, and reporting. Focuses on risk assessment of specific AI projects, use cases, and deployments. 
Includes provider selection, 3rd party risk, ongoing provider reassessment and management.</x:v>
      </x:c>
      <x:c r="C10" s="21" t="str">
        <x:v>No AI-specific risk assessment. AI providers and models selected by business units or individuals without security involvement. Existing general vendor assessment processes (if any) applied inconsistently to AI. No differentiation between AI services and other technology procurements. No registry of approved AI providers or models.</x:v>
      </x:c>
      <x:c r="D10" s="21" t="str">
        <x:v>Security performs risk assessments for major AI providers and platforms when requested. Initial provider registry documents approved AI providers (may be informal, e.g., spreadsheet). Basic evaluation criteria established (e.g., data handling, SOC 2 compliance). Security engaged for some AI project risk assessments but not consistently. Initial broad data classification requirement set for all providers/models.</x:v>
      </x:c>
      <x:c r="E10" s="21" t="str">
        <x:v>Initial AI provider/model assessment process using industry frameworks (e.g., AI-CAIQ, AICM). Major provider/model registry documents approvals by data classification/type. Initial AI-specific project risk assessment process for AI applications. Open/third-party models require documented risk evaluation before use. Providers reassessed on a scheduled basis (typically annually) or after significant changes.</x:v>
      </x:c>
      <x:c r="F10" s="21" t="str">
        <x:v>Provider/model registry with service and model approvals based on data types/use cases. Application risk registry includes AI risk rating. Risk assessments and management plans integrated into the AI project lifecycle starting at design/architecture. Provider assessments and mitigating controls consistently updated when providers release new models or significant service changes. Initial automation to track major provider/model updates requiring reassessment.</x:v>
      </x:c>
      <x:c r="G10" s="21" t="str">
        <x:v>Automated discovery of AI services and models in use via CSPM and AI-SPM tooling feeds risk process. Consistent monitoring for provider and model updates with alerting to trigger reassessment and mitigation processes. Application risk registry integrated with AI discovery tooling for visibility across the enterprise. Defined, efficient process to rapidly assess and manage new provider releases and model updates. Risk dashboards aggregate provider and application risk data.</x:v>
      </x:c>
      <x:c r="H10" s="59"/>
      <x:c r="I10" s="59"/>
      <x:c r="J10" s="59"/>
      <x:c r="K10" s="59"/>
      <x:c r="L10" s="59"/>
      <x:c r="M10" s="59"/>
      <x:c r="N10" s="59"/>
      <x:c r="O10" s="59"/>
      <x:c r="P10" s="59"/>
      <x:c r="Q10" s="59"/>
      <x:c r="R10" s="59"/>
      <x:c r="S10" s="59"/>
      <x:c r="T10" s="59"/>
      <x:c r="U10" s="59"/>
      <x:c r="V10" s="59"/>
      <x:c r="W10" s="59"/>
      <x:c r="X10" s="59"/>
      <x:c r="Y10" s="59"/>
      <x:c r="Z10" s="59"/>
      <x:c r="AA10" s="59"/>
      <x:c r="AB10" s="59"/>
      <x:c r="AC10" s="59"/>
      <x:c r="AD10" s="59"/>
      <x:c r="AE10" s="59"/>
      <x:c r="AF10" s="59"/>
      <x:c r="AG10" s="59"/>
      <x:c r="AH10" s="59"/>
      <x:c r="AI10" s="59"/>
      <x:c r="AJ10" s="59"/>
      <x:c r="AK10" s="59"/>
      <x:c r="AL10" s="59"/>
      <x:c r="AM10" s="59"/>
      <x:c r="AN10" s="59"/>
    </x:row>
    <x:row r="11">
      <x:c r="A11" s="21" t="str">
        <x:v>AI Supported Development and Supply Chain Security</x:v>
      </x:c>
      <x:c r="B11" s="21" t="str">
        <x:v>The technical and process controls to ensure secure and safe use of AI developer tools, and to manage the secure software chain for AI models, libraries, services, and other components in DevOps and manual pipelines.</x:v>
      </x:c>
      <x:c r="C11" s="21" t="str">
        <x:v>No controls over AI coding assistant usage; developers self-select and configure tools. No visibility into which AI tools are accessing enterprise code. AI components (models, libraries) not differentiated from other software dependencies. No awareness of AI-specific supply chain risks. Traditional SCA may flag some AI library vulnerabilities but no AI-specific assessment. </x:v>
      </x:c>
      <x:c r="D11" s="21" t="str">
        <x:v>AI coding assistant risks identified (code exposure to model providers, insecure code suggestions). Some approved AI coding tools identified but enforcement inconsistent. Initial documentation of AI components in use (models, AI libraries, services). Basic guidance on AI tool usage (e.g., "don't paste sensitive code into public AI chat"). AI libraries included in standard SCA scanning but no AI-specific checks.</x:v>
      </x:c>
      <x:c r="E11" s="21" t="str">
        <x:v>Enterprise-managed AI coding assistant deployed (e.g., GitHub Copilot Business/Enterprise) configured to prevent code exposure to model training. AI coding tool usage tracked via enterprise licensing and administration. AI components included in existing SAST/SCA scanning processes. AI providers and major AI components documented in supply chain inventory. Open models require integrity verification (checksums, safe file formats) before use.</x:v>
      </x:c>
      <x:c r="F11" s="21" t="str">
        <x:v>SAST/SCA tools include AI-specific assessment capabilities (insecure AI-generated code patterns, AI library vulnerabilities). Security testing consistently integrated into pipelines for AI-generated and AI-assisted code. AI security agents integrated into CI/CD for automated code review. AI supply chain inventory includes models, versions, MCPs, and dependencies (initial AI-BOM). Model provenance verification for self-hosted models. Automated scanning blocks known-vulnerable AI libraries and unsafe model formats.</x:v>
      </x:c>
      <x:c r="G11" s="21" t="str">
        <x:v>Multiple AI development tools supported (coding assistants, coding agents) with consistent enterprise security controls. On-demand agent-based security assessments available in IDE for developers. AI security agents integrated into pipelines for automated code review. Comprehensive AI-BOM generated and maintained. Model signing and provenance verification standard for production deployments. Supply chain monitoring alerts on new vulnerabilities in AI dependencies.</x:v>
      </x:c>
      <x:c r="H11" s="59"/>
      <x:c r="I11" s="59"/>
      <x:c r="J11" s="59"/>
      <x:c r="K11" s="59"/>
      <x:c r="L11" s="59"/>
      <x:c r="M11" s="59"/>
      <x:c r="N11" s="59"/>
      <x:c r="O11" s="59"/>
      <x:c r="P11" s="59"/>
      <x:c r="Q11" s="59"/>
      <x:c r="R11" s="59"/>
      <x:c r="S11" s="59"/>
      <x:c r="T11" s="59"/>
      <x:c r="U11" s="59"/>
      <x:c r="V11" s="59"/>
      <x:c r="W11" s="59"/>
      <x:c r="X11" s="59"/>
      <x:c r="Y11" s="59"/>
      <x:c r="Z11" s="59"/>
      <x:c r="AA11" s="59"/>
      <x:c r="AB11" s="59"/>
      <x:c r="AC11" s="59"/>
      <x:c r="AD11" s="59"/>
      <x:c r="AE11" s="59"/>
      <x:c r="AF11" s="59"/>
      <x:c r="AG11" s="59"/>
      <x:c r="AH11" s="59"/>
      <x:c r="AI11" s="59"/>
      <x:c r="AJ11" s="59"/>
      <x:c r="AK11" s="59"/>
      <x:c r="AL11" s="59"/>
      <x:c r="AM11" s="59"/>
      <x:c r="AN11" s="59"/>
    </x:row>
    <x:row r="12">
      <x:c r="A12" s="21" t="str">
        <x:v>Privacy, Compliance and Audit</x:v>
      </x:c>
      <x:c r="B12" s="21" t="str">
        <x:v>Meeting and communicating legal, regulatory and internal compliance requirements for AI adoption and usage. Includes data privacy, IP and licensing, AI-driven/supported services accountability and liability, organizational AI governance, safety and ethics policies.</x:v>
      </x:c>
      <x:c r="C12" s="21" t="str">
        <x:v>No AI-specific audit/compliance actions. AI deployments treated the same as any other application with no recognition of unique AI requirements. No tracking of AI model or training data licensing. No verification that AI deployments meet internal safety/ethics policies established in governance.</x:v>
      </x:c>
      <x:c r="D12" s="21" t="str">
        <x:v>AI-specific compliance requirements identified (e.g., EU AI Act risk classifications, data privacy regulations, sector-specific AI rules). Assessment of AI deployments against internal policies performed when requested. Initial documentation of model and dataset licensing for some deployments. No systematic process to verify compliance with AI safety/ethics policies.</x:v>
      </x:c>
      <x:c r="E12" s="21" t="str">
        <x:v>AI providers, models, and services assessed for regulatory compliance and approved for use with different data types (aligned with provider registry). Scheduled compliance assessments of AI deployments against internal AI governance policies (safety, bias, transparency requirements). Model and training data licensing tracked and verified for in-scope deployments. Manual compliance reporting includes AI-specific controls and standards (e.g., AICM, ISO 42001). Manual AI-CAIQ for some external facing apps. Privacy impact assessments conducted for AI deployments handling personal data.</x:v>
      </x:c>
      <x:c r="F12" s="21" t="str">
        <x:v>Continuous assessment of AI deployments using automated tooling for technical compliance (guardrails coverage, data handling, access controls). Bias and fairness audits conducted for high-risk AI use cases per governance requirements. License compliance automated for models and major AI components. Compliance status integrated into AI deployment registry. Reporting partially automated with AI-specific (or enriched) compliance dashboards. AI-CAIQ automated for major external apps.</x:v>
      </x:c>
      <x:c r="G12" s="21" t="str">
        <x:v>Continuous compliance monitoring across AI deployments with automated evidence collection. Real-time verification of safety/ethics policy compliance integrated into deployment pipelines. Comprehensive license tracking automated. Compliance reporting fully automated with dashboards covering AI-specific regulations, internal policies, and industry frameworks. AI-CAIQ generation automated for external apps. Proactive monitoring for emerging AI regulatory requirements. </x:v>
      </x:c>
      <x:c r="H12" s="59"/>
      <x:c r="I12" s="59"/>
      <x:c r="J12" s="59"/>
      <x:c r="K12" s="59"/>
      <x:c r="L12" s="59"/>
      <x:c r="M12" s="59"/>
      <x:c r="N12" s="59"/>
      <x:c r="O12" s="59"/>
      <x:c r="P12" s="59"/>
      <x:c r="Q12" s="59"/>
      <x:c r="R12" s="59"/>
      <x:c r="S12" s="59"/>
      <x:c r="T12" s="59"/>
      <x:c r="U12" s="59"/>
      <x:c r="V12" s="59"/>
      <x:c r="W12" s="59"/>
      <x:c r="X12" s="59"/>
      <x:c r="Y12" s="59"/>
      <x:c r="Z12" s="59"/>
      <x:c r="AA12" s="59"/>
      <x:c r="AB12" s="59"/>
      <x:c r="AC12" s="59"/>
      <x:c r="AD12" s="59"/>
      <x:c r="AE12" s="59"/>
      <x:c r="AF12" s="59"/>
      <x:c r="AG12" s="59"/>
      <x:c r="AH12" s="59"/>
      <x:c r="AI12" s="59"/>
      <x:c r="AJ12" s="59"/>
      <x:c r="AK12" s="59"/>
      <x:c r="AL12" s="59"/>
      <x:c r="AM12" s="59"/>
      <x:c r="AN12" s="59"/>
    </x:row>
    <x:row r="13">
      <x:c r="A13" s="21" t="str">
        <x:v>Incident Response</x:v>
      </x:c>
      <x:c r="B13" s="21" t="str">
        <x:v>Detecting, responding to, and recovering from security incidents involving AI systems, including AI-specific attacks, abuse, and system failures. Threat intelligence and analysis for AI systems.</x:v>
      </x:c>
      <x:c r="C13" s="21" t="str">
        <x:v>No AI-specific incident response capabilities. AI deployments treated the same as any other application incident. No AI-specific telemetry collection (prompt logs, model activity). IR team lacks awareness of AI-specific attack types. Incidents involving AI systems are handled ad hoc without AI-specific procedures or expertise.</x:v>
      </x:c>
      <x:c r="D13" s="21" t="str">
        <x:v>Incident response team designated for AI incidents with basic manual processes. Initial AI-specific telemetry collection in place for some deployments (prompt/response logs). Major AI attack categories documented (prompt injection, data leakage, model abuse) but no formal detection. Cloud and application IR processes extended to cover AI deployments. Basic AI incident documentation.</x:v>
      </x:c>
      <x:c r="E13" s="21" t="str">
        <x:v>Initial AI-specific playbooks (prompt injection, data exfiltration, model abuse, unauthorized usage, compromised agent credentials, tool misuse). IR team trained on AI-specific threats and response procedures. Input/output monitoring in place for high-risk AI deployments. Responders have read access to AI deployment configurations, logs, and telemetry. AI incidents categorized and tracked separately from general application incidents.</x:v>
      </x:c>
      <x:c r="F13" s="21" t="str">
        <x:v>Threat intelligence for AI systems integrated into program. Input/output security telemetry tools (guardrails, prompt injection detection) deployed for production AI systems. AI security alerts integrated with SIEM for correlation and tracking. Agentic threat detection (tool abuse, prompt injection, anomalous delegation) via log analysis. Response automation available for common AI incidents via SOAR integration. Responders can escalate to administrative access for AI system containment.</x:v>
      </x:c>
      <x:c r="G13" s="21" t="str">
        <x:v>Runtime AI security monitoring with behavioral analysis detects anomalous activity (unusual tool calls, unexpected data access patterns). Automated response for agentic AI threats (agent hijacking, MCP attacks, memory manipulation). Comprehensive telemetry capture (prompts, responses, tool executions, context state). ChatOps or workflow automation engages AI/development teams for rapid incident validation. Detection rules continuously refined based on emerging AI attack patterns and threat intelligence.</x:v>
      </x:c>
      <x:c r="H13" s="59"/>
      <x:c r="I13" s="59"/>
      <x:c r="J13" s="59"/>
      <x:c r="K13" s="59"/>
      <x:c r="L13" s="59"/>
      <x:c r="M13" s="59"/>
      <x:c r="N13" s="59"/>
      <x:c r="O13" s="59"/>
      <x:c r="P13" s="59"/>
      <x:c r="Q13" s="59"/>
      <x:c r="R13" s="59"/>
      <x:c r="S13" s="59"/>
      <x:c r="T13" s="59"/>
      <x:c r="U13" s="59"/>
      <x:c r="V13" s="59"/>
      <x:c r="W13" s="59"/>
      <x:c r="X13" s="59"/>
      <x:c r="Y13" s="59"/>
      <x:c r="Z13" s="59"/>
      <x:c r="AA13" s="59"/>
      <x:c r="AB13" s="59"/>
      <x:c r="AC13" s="59"/>
      <x:c r="AD13" s="59"/>
      <x:c r="AE13" s="59"/>
      <x:c r="AF13" s="59"/>
      <x:c r="AG13" s="59"/>
      <x:c r="AH13" s="59"/>
      <x:c r="AI13" s="59"/>
      <x:c r="AJ13" s="59"/>
      <x:c r="AK13" s="59"/>
      <x:c r="AL13" s="59"/>
      <x:c r="AM13" s="59"/>
      <x:c r="AN13" s="59"/>
    </x:row>
    <x:row r="14">
      <x:c r="A14" s="59"/>
      <x:c r="B14" s="59"/>
      <x:c r="C14" s="59"/>
      <x:c r="D14" s="59"/>
      <x:c r="E14" s="59"/>
      <x:c r="F14" s="59"/>
      <x:c r="G14" s="59"/>
      <x:c r="H14" s="59"/>
      <x:c r="I14" s="59"/>
      <x:c r="J14" s="59"/>
      <x:c r="K14" s="59"/>
      <x:c r="L14" s="59"/>
      <x:c r="M14" s="59"/>
      <x:c r="N14" s="59"/>
      <x:c r="O14" s="59"/>
      <x:c r="P14" s="59"/>
      <x:c r="Q14" s="59"/>
      <x:c r="R14" s="59"/>
      <x:c r="S14" s="59"/>
      <x:c r="T14" s="59"/>
      <x:c r="U14" s="59"/>
      <x:c r="V14" s="59"/>
      <x:c r="W14" s="59"/>
      <x:c r="X14" s="59"/>
      <x:c r="Y14" s="59"/>
      <x:c r="Z14" s="59"/>
      <x:c r="AA14" s="59"/>
      <x:c r="AB14" s="59"/>
      <x:c r="AC14" s="59"/>
      <x:c r="AD14" s="59"/>
      <x:c r="AE14" s="59"/>
      <x:c r="AF14" s="59"/>
      <x:c r="AG14" s="59"/>
      <x:c r="AH14" s="59"/>
      <x:c r="AI14" s="59"/>
      <x:c r="AJ14" s="59"/>
      <x:c r="AK14" s="59"/>
      <x:c r="AL14" s="59"/>
      <x:c r="AM14" s="59"/>
      <x:c r="AN14" s="59"/>
    </x:row>
    <x:row r="15">
      <x:c r="A15" s="59"/>
      <x:c r="B15" s="59"/>
      <x:c r="C15" s="59"/>
      <x:c r="D15" s="59"/>
      <x:c r="E15" s="59"/>
      <x:c r="F15" s="59"/>
      <x:c r="G15" s="59"/>
      <x:c r="H15" s="59"/>
      <x:c r="I15" s="59"/>
      <x:c r="J15" s="59"/>
      <x:c r="K15" s="59"/>
      <x:c r="L15" s="59"/>
      <x:c r="M15" s="59"/>
      <x:c r="N15" s="59"/>
      <x:c r="O15" s="59"/>
      <x:c r="P15" s="59"/>
      <x:c r="Q15" s="59"/>
      <x:c r="R15" s="59"/>
      <x:c r="S15" s="59"/>
      <x:c r="T15" s="59"/>
      <x:c r="U15" s="59"/>
      <x:c r="V15" s="59"/>
      <x:c r="W15" s="59"/>
      <x:c r="X15" s="59"/>
      <x:c r="Y15" s="59"/>
      <x:c r="Z15" s="59"/>
      <x:c r="AA15" s="59"/>
      <x:c r="AB15" s="59"/>
      <x:c r="AC15" s="59"/>
      <x:c r="AD15" s="59"/>
      <x:c r="AE15" s="59"/>
      <x:c r="AF15" s="59"/>
      <x:c r="AG15" s="59"/>
      <x:c r="AH15" s="59"/>
      <x:c r="AI15" s="59"/>
      <x:c r="AJ15" s="59"/>
      <x:c r="AK15" s="59"/>
      <x:c r="AL15" s="59"/>
      <x:c r="AM15" s="59"/>
      <x:c r="AN15" s="59"/>
    </x:row>
    <x:row r="16">
      <x:c r="A16" s="59"/>
      <x:c r="B16" s="59"/>
      <x:c r="C16" s="59"/>
      <x:c r="D16" s="59"/>
      <x:c r="E16" s="59"/>
      <x:c r="F16" s="59"/>
      <x:c r="G16" s="59"/>
      <x:c r="H16" s="59"/>
      <x:c r="I16" s="59"/>
      <x:c r="J16" s="59"/>
      <x:c r="K16" s="59"/>
      <x:c r="L16" s="59"/>
      <x:c r="M16" s="59"/>
      <x:c r="N16" s="59"/>
      <x:c r="O16" s="59"/>
      <x:c r="P16" s="59"/>
      <x:c r="Q16" s="59"/>
      <x:c r="R16" s="59"/>
      <x:c r="S16" s="59"/>
      <x:c r="T16" s="59"/>
      <x:c r="U16" s="59"/>
      <x:c r="V16" s="59"/>
      <x:c r="W16" s="59"/>
      <x:c r="X16" s="59"/>
      <x:c r="Y16" s="59"/>
      <x:c r="Z16" s="59"/>
      <x:c r="AA16" s="59"/>
      <x:c r="AB16" s="59"/>
      <x:c r="AC16" s="59"/>
      <x:c r="AD16" s="59"/>
      <x:c r="AE16" s="59"/>
      <x:c r="AF16" s="59"/>
      <x:c r="AG16" s="59"/>
      <x:c r="AH16" s="59"/>
      <x:c r="AI16" s="59"/>
      <x:c r="AJ16" s="59"/>
      <x:c r="AK16" s="59"/>
      <x:c r="AL16" s="59"/>
      <x:c r="AM16" s="59"/>
      <x:c r="AN16" s="59"/>
    </x:row>
    <x:row r="17">
      <x:c r="A17" s="59"/>
      <x:c r="B17" s="59"/>
      <x:c r="C17" s="59"/>
      <x:c r="D17" s="59"/>
      <x:c r="E17" s="59"/>
      <x:c r="F17" s="59"/>
      <x:c r="G17" s="59"/>
      <x:c r="H17" s="59"/>
      <x:c r="I17" s="59"/>
      <x:c r="J17" s="59"/>
      <x:c r="K17" s="59"/>
      <x:c r="L17" s="59"/>
      <x:c r="M17" s="59"/>
      <x:c r="N17" s="59"/>
      <x:c r="O17" s="59"/>
      <x:c r="P17" s="59"/>
      <x:c r="Q17" s="59"/>
      <x:c r="R17" s="59"/>
      <x:c r="S17" s="59"/>
      <x:c r="T17" s="59"/>
      <x:c r="U17" s="59"/>
      <x:c r="V17" s="59"/>
      <x:c r="W17" s="59"/>
      <x:c r="X17" s="59"/>
      <x:c r="Y17" s="59"/>
      <x:c r="Z17" s="59"/>
      <x:c r="AA17" s="59"/>
      <x:c r="AB17" s="59"/>
      <x:c r="AC17" s="59"/>
      <x:c r="AD17" s="59"/>
      <x:c r="AE17" s="59"/>
      <x:c r="AF17" s="59"/>
      <x:c r="AG17" s="59"/>
      <x:c r="AH17" s="59"/>
      <x:c r="AI17" s="59"/>
      <x:c r="AJ17" s="59"/>
      <x:c r="AK17" s="59"/>
      <x:c r="AL17" s="59"/>
      <x:c r="AM17" s="59"/>
      <x:c r="AN17" s="59"/>
    </x:row>
    <x:row r="18">
      <x:c r="A18" s="59"/>
      <x:c r="B18" s="59"/>
      <x:c r="C18" s="59"/>
      <x:c r="D18" s="59"/>
      <x:c r="E18" s="59"/>
      <x:c r="F18" s="59"/>
      <x:c r="G18" s="59"/>
      <x:c r="H18" s="59"/>
      <x:c r="I18" s="59"/>
      <x:c r="J18" s="59"/>
      <x:c r="K18" s="59"/>
      <x:c r="L18" s="59"/>
      <x:c r="M18" s="59"/>
      <x:c r="N18" s="59"/>
      <x:c r="O18" s="59"/>
      <x:c r="P18" s="59"/>
      <x:c r="Q18" s="59"/>
      <x:c r="R18" s="59"/>
      <x:c r="S18" s="59"/>
      <x:c r="T18" s="59"/>
      <x:c r="U18" s="59"/>
      <x:c r="V18" s="59"/>
      <x:c r="W18" s="59"/>
      <x:c r="X18" s="59"/>
      <x:c r="Y18" s="59"/>
      <x:c r="Z18" s="59"/>
      <x:c r="AA18" s="59"/>
      <x:c r="AB18" s="59"/>
      <x:c r="AC18" s="59"/>
      <x:c r="AD18" s="59"/>
      <x:c r="AE18" s="59"/>
      <x:c r="AF18" s="59"/>
      <x:c r="AG18" s="59"/>
      <x:c r="AH18" s="59"/>
      <x:c r="AI18" s="59"/>
      <x:c r="AJ18" s="59"/>
      <x:c r="AK18" s="59"/>
      <x:c r="AL18" s="59"/>
      <x:c r="AM18" s="59"/>
      <x:c r="AN18" s="59"/>
    </x:row>
    <x:row r="19">
      <x:c r="A19" s="59"/>
      <x:c r="B19" s="59"/>
      <x:c r="C19" s="59"/>
      <x:c r="D19" s="59"/>
      <x:c r="E19" s="59"/>
      <x:c r="F19" s="59"/>
      <x:c r="G19" s="59"/>
      <x:c r="H19" s="59"/>
      <x:c r="I19" s="59"/>
      <x:c r="J19" s="59"/>
      <x:c r="K19" s="59"/>
      <x:c r="L19" s="59"/>
      <x:c r="M19" s="59"/>
      <x:c r="N19" s="59"/>
      <x:c r="O19" s="59"/>
      <x:c r="P19" s="59"/>
      <x:c r="Q19" s="59"/>
      <x:c r="R19" s="59"/>
      <x:c r="S19" s="59"/>
      <x:c r="T19" s="59"/>
      <x:c r="U19" s="59"/>
      <x:c r="V19" s="59"/>
      <x:c r="W19" s="59"/>
      <x:c r="X19" s="59"/>
      <x:c r="Y19" s="59"/>
      <x:c r="Z19" s="59"/>
      <x:c r="AA19" s="59"/>
      <x:c r="AB19" s="59"/>
      <x:c r="AC19" s="59"/>
      <x:c r="AD19" s="59"/>
      <x:c r="AE19" s="59"/>
      <x:c r="AF19" s="59"/>
      <x:c r="AG19" s="59"/>
      <x:c r="AH19" s="59"/>
      <x:c r="AI19" s="59"/>
      <x:c r="AJ19" s="59"/>
      <x:c r="AK19" s="59"/>
      <x:c r="AL19" s="59"/>
      <x:c r="AM19" s="59"/>
      <x:c r="AN19" s="59"/>
    </x:row>
    <x:row r="20">
      <x:c r="A20" s="59"/>
      <x:c r="B20" s="59"/>
      <x:c r="C20" s="59"/>
      <x:c r="D20" s="59"/>
      <x:c r="E20" s="59"/>
      <x:c r="F20" s="59"/>
      <x:c r="G20" s="59"/>
      <x:c r="H20" s="59"/>
      <x:c r="I20" s="59"/>
      <x:c r="J20" s="59"/>
      <x:c r="K20" s="59"/>
      <x:c r="L20" s="59"/>
      <x:c r="M20" s="59"/>
      <x:c r="N20" s="59"/>
      <x:c r="O20" s="59"/>
      <x:c r="P20" s="59"/>
      <x:c r="Q20" s="59"/>
      <x:c r="R20" s="59"/>
      <x:c r="S20" s="59"/>
      <x:c r="T20" s="59"/>
      <x:c r="U20" s="59"/>
      <x:c r="V20" s="59"/>
      <x:c r="W20" s="59"/>
      <x:c r="X20" s="59"/>
      <x:c r="Y20" s="59"/>
      <x:c r="Z20" s="59"/>
      <x:c r="AA20" s="59"/>
      <x:c r="AB20" s="59"/>
      <x:c r="AC20" s="59"/>
      <x:c r="AD20" s="59"/>
      <x:c r="AE20" s="59"/>
      <x:c r="AF20" s="59"/>
      <x:c r="AG20" s="59"/>
      <x:c r="AH20" s="59"/>
      <x:c r="AI20" s="59"/>
      <x:c r="AJ20" s="59"/>
      <x:c r="AK20" s="59"/>
      <x:c r="AL20" s="59"/>
      <x:c r="AM20" s="59"/>
      <x:c r="AN20" s="59"/>
    </x:row>
    <x:row r="21">
      <x:c r="A21" s="59"/>
      <x:c r="B21" s="59"/>
      <x:c r="C21" s="59"/>
      <x:c r="D21" s="59"/>
      <x:c r="E21" s="59"/>
      <x:c r="F21" s="59"/>
      <x:c r="G21" s="59"/>
      <x:c r="H21" s="59"/>
      <x:c r="I21" s="59"/>
      <x:c r="J21" s="59"/>
      <x:c r="K21" s="59"/>
      <x:c r="L21" s="59"/>
      <x:c r="M21" s="59"/>
      <x:c r="N21" s="59"/>
      <x:c r="O21" s="59"/>
      <x:c r="P21" s="59"/>
      <x:c r="Q21" s="59"/>
      <x:c r="R21" s="59"/>
      <x:c r="S21" s="59"/>
      <x:c r="T21" s="59"/>
      <x:c r="U21" s="59"/>
      <x:c r="V21" s="59"/>
      <x:c r="W21" s="59"/>
      <x:c r="X21" s="59"/>
      <x:c r="Y21" s="59"/>
      <x:c r="Z21" s="59"/>
      <x:c r="AA21" s="59"/>
      <x:c r="AB21" s="59"/>
      <x:c r="AC21" s="59"/>
      <x:c r="AD21" s="59"/>
      <x:c r="AE21" s="59"/>
      <x:c r="AF21" s="59"/>
      <x:c r="AG21" s="59"/>
      <x:c r="AH21" s="59"/>
      <x:c r="AI21" s="59"/>
      <x:c r="AJ21" s="59"/>
      <x:c r="AK21" s="59"/>
      <x:c r="AL21" s="59"/>
      <x:c r="AM21" s="59"/>
      <x:c r="AN21" s="59"/>
    </x:row>
    <x:row r="22">
      <x:c r="A22" s="59"/>
      <x:c r="B22" s="59"/>
      <x:c r="C22" s="59"/>
      <x:c r="D22" s="59"/>
      <x:c r="E22" s="59"/>
      <x:c r="F22" s="59"/>
      <x:c r="G22" s="59"/>
      <x:c r="H22" s="59"/>
      <x:c r="I22" s="59"/>
      <x:c r="J22" s="59"/>
      <x:c r="K22" s="59"/>
      <x:c r="L22" s="59"/>
      <x:c r="M22" s="59"/>
      <x:c r="N22" s="59"/>
      <x:c r="O22" s="59"/>
      <x:c r="P22" s="59"/>
      <x:c r="Q22" s="59"/>
      <x:c r="R22" s="59"/>
      <x:c r="S22" s="59"/>
      <x:c r="T22" s="59"/>
      <x:c r="U22" s="59"/>
      <x:c r="V22" s="59"/>
      <x:c r="W22" s="59"/>
      <x:c r="X22" s="59"/>
      <x:c r="Y22" s="59"/>
      <x:c r="Z22" s="59"/>
      <x:c r="AA22" s="59"/>
      <x:c r="AB22" s="59"/>
      <x:c r="AC22" s="59"/>
      <x:c r="AD22" s="59"/>
      <x:c r="AE22" s="59"/>
      <x:c r="AF22" s="59"/>
      <x:c r="AG22" s="59"/>
      <x:c r="AH22" s="59"/>
      <x:c r="AI22" s="59"/>
      <x:c r="AJ22" s="59"/>
      <x:c r="AK22" s="59"/>
      <x:c r="AL22" s="59"/>
      <x:c r="AM22" s="59"/>
      <x:c r="AN22" s="59"/>
    </x:row>
    <x:row r="23">
      <x:c r="A23" s="59"/>
      <x:c r="B23" s="59"/>
      <x:c r="C23" s="59"/>
      <x:c r="D23" s="59"/>
      <x:c r="E23" s="59"/>
      <x:c r="F23" s="59"/>
      <x:c r="G23" s="59"/>
      <x:c r="H23" s="59"/>
      <x:c r="I23" s="59"/>
      <x:c r="J23" s="59"/>
      <x:c r="K23" s="59"/>
      <x:c r="L23" s="59"/>
      <x:c r="M23" s="59"/>
      <x:c r="N23" s="59"/>
      <x:c r="O23" s="59"/>
      <x:c r="P23" s="59"/>
      <x:c r="Q23" s="59"/>
      <x:c r="R23" s="59"/>
      <x:c r="S23" s="59"/>
      <x:c r="T23" s="59"/>
      <x:c r="U23" s="59"/>
      <x:c r="V23" s="59"/>
      <x:c r="W23" s="59"/>
      <x:c r="X23" s="59"/>
      <x:c r="Y23" s="59"/>
      <x:c r="Z23" s="59"/>
      <x:c r="AA23" s="59"/>
      <x:c r="AB23" s="59"/>
      <x:c r="AC23" s="59"/>
      <x:c r="AD23" s="59"/>
      <x:c r="AE23" s="59"/>
      <x:c r="AF23" s="59"/>
      <x:c r="AG23" s="59"/>
      <x:c r="AH23" s="59"/>
      <x:c r="AI23" s="59"/>
      <x:c r="AJ23" s="59"/>
      <x:c r="AK23" s="59"/>
      <x:c r="AL23" s="59"/>
      <x:c r="AM23" s="59"/>
      <x:c r="AN23" s="59"/>
    </x:row>
    <x:row r="24">
      <x:c r="A24" s="59"/>
      <x:c r="B24" s="59"/>
      <x:c r="C24" s="59"/>
      <x:c r="D24" s="59"/>
      <x:c r="E24" s="59"/>
      <x:c r="F24" s="59"/>
      <x:c r="G24" s="59"/>
      <x:c r="H24" s="59"/>
      <x:c r="I24" s="59"/>
      <x:c r="J24" s="59"/>
      <x:c r="K24" s="59"/>
      <x:c r="L24" s="59"/>
      <x:c r="M24" s="59"/>
      <x:c r="N24" s="59"/>
      <x:c r="O24" s="59"/>
      <x:c r="P24" s="59"/>
      <x:c r="Q24" s="59"/>
      <x:c r="R24" s="59"/>
      <x:c r="S24" s="59"/>
      <x:c r="T24" s="59"/>
      <x:c r="U24" s="59"/>
      <x:c r="V24" s="59"/>
      <x:c r="W24" s="59"/>
      <x:c r="X24" s="59"/>
      <x:c r="Y24" s="59"/>
      <x:c r="Z24" s="59"/>
      <x:c r="AA24" s="59"/>
      <x:c r="AB24" s="59"/>
      <x:c r="AC24" s="59"/>
      <x:c r="AD24" s="59"/>
      <x:c r="AE24" s="59"/>
      <x:c r="AF24" s="59"/>
      <x:c r="AG24" s="59"/>
      <x:c r="AH24" s="59"/>
      <x:c r="AI24" s="59"/>
      <x:c r="AJ24" s="59"/>
      <x:c r="AK24" s="59"/>
      <x:c r="AL24" s="59"/>
      <x:c r="AM24" s="59"/>
      <x:c r="AN24" s="59"/>
    </x:row>
    <x:row r="25">
      <x:c r="A25" s="59"/>
      <x:c r="B25" s="59"/>
      <x:c r="C25" s="59"/>
      <x:c r="D25" s="59"/>
      <x:c r="E25" s="59"/>
      <x:c r="F25" s="59"/>
      <x:c r="G25" s="59"/>
      <x:c r="H25" s="59"/>
      <x:c r="I25" s="59"/>
      <x:c r="J25" s="59"/>
      <x:c r="K25" s="59"/>
      <x:c r="L25" s="59"/>
      <x:c r="M25" s="59"/>
      <x:c r="N25" s="59"/>
      <x:c r="O25" s="59"/>
      <x:c r="P25" s="59"/>
      <x:c r="Q25" s="59"/>
      <x:c r="R25" s="59"/>
      <x:c r="S25" s="59"/>
      <x:c r="T25" s="59"/>
      <x:c r="U25" s="59"/>
      <x:c r="V25" s="59"/>
      <x:c r="W25" s="59"/>
      <x:c r="X25" s="59"/>
      <x:c r="Y25" s="59"/>
      <x:c r="Z25" s="59"/>
      <x:c r="AA25" s="59"/>
      <x:c r="AB25" s="59"/>
      <x:c r="AC25" s="59"/>
      <x:c r="AD25" s="59"/>
      <x:c r="AE25" s="59"/>
      <x:c r="AF25" s="59"/>
      <x:c r="AG25" s="59"/>
      <x:c r="AH25" s="59"/>
      <x:c r="AI25" s="59"/>
      <x:c r="AJ25" s="59"/>
      <x:c r="AK25" s="59"/>
      <x:c r="AL25" s="59"/>
      <x:c r="AM25" s="59"/>
      <x:c r="AN25" s="59"/>
    </x:row>
    <x:row r="26">
      <x:c r="A26" s="59"/>
      <x:c r="B26" s="59"/>
      <x:c r="C26" s="59"/>
      <x:c r="D26" s="59"/>
      <x:c r="E26" s="59"/>
      <x:c r="F26" s="59"/>
      <x:c r="G26" s="59"/>
      <x:c r="H26" s="59"/>
      <x:c r="I26" s="59"/>
      <x:c r="J26" s="59"/>
      <x:c r="K26" s="59"/>
      <x:c r="L26" s="59"/>
      <x:c r="M26" s="59"/>
      <x:c r="N26" s="59"/>
      <x:c r="O26" s="59"/>
      <x:c r="P26" s="59"/>
      <x:c r="Q26" s="59"/>
      <x:c r="R26" s="59"/>
      <x:c r="S26" s="59"/>
      <x:c r="T26" s="59"/>
      <x:c r="U26" s="59"/>
      <x:c r="V26" s="59"/>
      <x:c r="W26" s="59"/>
      <x:c r="X26" s="59"/>
      <x:c r="Y26" s="59"/>
      <x:c r="Z26" s="59"/>
      <x:c r="AA26" s="59"/>
      <x:c r="AB26" s="59"/>
      <x:c r="AC26" s="59"/>
      <x:c r="AD26" s="59"/>
      <x:c r="AE26" s="59"/>
      <x:c r="AF26" s="59"/>
      <x:c r="AG26" s="59"/>
      <x:c r="AH26" s="59"/>
      <x:c r="AI26" s="59"/>
      <x:c r="AJ26" s="59"/>
      <x:c r="AK26" s="59"/>
      <x:c r="AL26" s="59"/>
      <x:c r="AM26" s="59"/>
      <x:c r="AN26" s="59"/>
    </x:row>
    <x:row r="27">
      <x:c r="A27" s="59"/>
      <x:c r="B27" s="59"/>
      <x:c r="C27" s="59"/>
      <x:c r="D27" s="59"/>
      <x:c r="E27" s="59"/>
      <x:c r="F27" s="59"/>
      <x:c r="G27" s="59"/>
      <x:c r="H27" s="59"/>
      <x:c r="I27" s="59"/>
      <x:c r="J27" s="59"/>
      <x:c r="K27" s="59"/>
      <x:c r="L27" s="59"/>
      <x:c r="M27" s="59"/>
      <x:c r="N27" s="59"/>
      <x:c r="O27" s="59"/>
      <x:c r="P27" s="59"/>
      <x:c r="Q27" s="59"/>
      <x:c r="R27" s="59"/>
      <x:c r="S27" s="59"/>
      <x:c r="T27" s="59"/>
      <x:c r="U27" s="59"/>
      <x:c r="V27" s="59"/>
      <x:c r="W27" s="59"/>
      <x:c r="X27" s="59"/>
      <x:c r="Y27" s="59"/>
      <x:c r="Z27" s="59"/>
      <x:c r="AA27" s="59"/>
      <x:c r="AB27" s="59"/>
      <x:c r="AC27" s="59"/>
      <x:c r="AD27" s="59"/>
      <x:c r="AE27" s="59"/>
      <x:c r="AF27" s="59"/>
      <x:c r="AG27" s="59"/>
      <x:c r="AH27" s="59"/>
      <x:c r="AI27" s="59"/>
      <x:c r="AJ27" s="59"/>
      <x:c r="AK27" s="59"/>
      <x:c r="AL27" s="59"/>
      <x:c r="AM27" s="59"/>
      <x:c r="AN27" s="59"/>
    </x:row>
    <x:row r="28">
      <x:c r="A28" s="59"/>
      <x:c r="B28" s="59"/>
      <x:c r="C28" s="59"/>
      <x:c r="D28" s="59"/>
      <x:c r="E28" s="59"/>
      <x:c r="F28" s="59"/>
      <x:c r="G28" s="59"/>
      <x:c r="H28" s="59"/>
      <x:c r="I28" s="59"/>
      <x:c r="J28" s="59"/>
      <x:c r="K28" s="59"/>
      <x:c r="L28" s="59"/>
      <x:c r="M28" s="59"/>
      <x:c r="N28" s="59"/>
      <x:c r="O28" s="59"/>
      <x:c r="P28" s="59"/>
      <x:c r="Q28" s="59"/>
      <x:c r="R28" s="59"/>
      <x:c r="S28" s="59"/>
      <x:c r="T28" s="59"/>
      <x:c r="U28" s="59"/>
      <x:c r="V28" s="59"/>
      <x:c r="W28" s="59"/>
      <x:c r="X28" s="59"/>
      <x:c r="Y28" s="59"/>
      <x:c r="Z28" s="59"/>
      <x:c r="AA28" s="59"/>
      <x:c r="AB28" s="59"/>
      <x:c r="AC28" s="59"/>
      <x:c r="AD28" s="59"/>
      <x:c r="AE28" s="59"/>
      <x:c r="AF28" s="59"/>
      <x:c r="AG28" s="59"/>
      <x:c r="AH28" s="59"/>
      <x:c r="AI28" s="59"/>
      <x:c r="AJ28" s="59"/>
      <x:c r="AK28" s="59"/>
      <x:c r="AL28" s="59"/>
      <x:c r="AM28" s="59"/>
      <x:c r="AN28" s="59"/>
    </x:row>
    <x:row r="29">
      <x:c r="A29" s="59"/>
      <x:c r="B29" s="59"/>
      <x:c r="C29" s="59"/>
      <x:c r="D29" s="59"/>
      <x:c r="E29" s="59"/>
      <x:c r="F29" s="59"/>
      <x:c r="G29" s="59"/>
      <x:c r="H29" s="59"/>
      <x:c r="I29" s="59"/>
      <x:c r="J29" s="59"/>
      <x:c r="K29" s="59"/>
      <x:c r="L29" s="59"/>
      <x:c r="M29" s="59"/>
      <x:c r="N29" s="59"/>
      <x:c r="O29" s="59"/>
      <x:c r="P29" s="59"/>
      <x:c r="Q29" s="59"/>
      <x:c r="R29" s="59"/>
      <x:c r="S29" s="59"/>
      <x:c r="T29" s="59"/>
      <x:c r="U29" s="59"/>
      <x:c r="V29" s="59"/>
      <x:c r="W29" s="59"/>
      <x:c r="X29" s="59"/>
      <x:c r="Y29" s="59"/>
      <x:c r="Z29" s="59"/>
      <x:c r="AA29" s="59"/>
      <x:c r="AB29" s="59"/>
      <x:c r="AC29" s="59"/>
      <x:c r="AD29" s="59"/>
      <x:c r="AE29" s="59"/>
      <x:c r="AF29" s="59"/>
      <x:c r="AG29" s="59"/>
      <x:c r="AH29" s="59"/>
      <x:c r="AI29" s="59"/>
      <x:c r="AJ29" s="59"/>
      <x:c r="AK29" s="59"/>
      <x:c r="AL29" s="59"/>
      <x:c r="AM29" s="59"/>
      <x:c r="AN29" s="59"/>
    </x:row>
    <x:row r="30">
      <x:c r="A30" s="59"/>
      <x:c r="B30" s="59"/>
      <x:c r="C30" s="59"/>
      <x:c r="D30" s="59"/>
      <x:c r="E30" s="59"/>
      <x:c r="F30" s="59"/>
      <x:c r="G30" s="59"/>
      <x:c r="H30" s="59"/>
      <x:c r="I30" s="59"/>
      <x:c r="J30" s="59"/>
      <x:c r="K30" s="59"/>
      <x:c r="L30" s="59"/>
      <x:c r="M30" s="59"/>
      <x:c r="N30" s="59"/>
      <x:c r="O30" s="59"/>
      <x:c r="P30" s="59"/>
      <x:c r="Q30" s="59"/>
      <x:c r="R30" s="59"/>
      <x:c r="S30" s="59"/>
      <x:c r="T30" s="59"/>
      <x:c r="U30" s="59"/>
      <x:c r="V30" s="59"/>
      <x:c r="W30" s="59"/>
      <x:c r="X30" s="59"/>
      <x:c r="Y30" s="59"/>
      <x:c r="Z30" s="59"/>
      <x:c r="AA30" s="59"/>
      <x:c r="AB30" s="59"/>
      <x:c r="AC30" s="59"/>
      <x:c r="AD30" s="59"/>
      <x:c r="AE30" s="59"/>
      <x:c r="AF30" s="59"/>
      <x:c r="AG30" s="59"/>
      <x:c r="AH30" s="59"/>
      <x:c r="AI30" s="59"/>
      <x:c r="AJ30" s="59"/>
      <x:c r="AK30" s="59"/>
      <x:c r="AL30" s="59"/>
      <x:c r="AM30" s="59"/>
      <x:c r="AN30" s="59"/>
    </x:row>
    <x:row r="31">
      <x:c r="A31" s="59"/>
      <x:c r="B31" s="59"/>
      <x:c r="C31" s="59"/>
      <x:c r="D31" s="59"/>
      <x:c r="E31" s="59"/>
      <x:c r="F31" s="59"/>
      <x:c r="G31" s="59"/>
      <x:c r="H31" s="59"/>
      <x:c r="I31" s="59"/>
      <x:c r="J31" s="59"/>
      <x:c r="K31" s="59"/>
      <x:c r="L31" s="59"/>
      <x:c r="M31" s="59"/>
      <x:c r="N31" s="59"/>
      <x:c r="O31" s="59"/>
      <x:c r="P31" s="59"/>
      <x:c r="Q31" s="59"/>
      <x:c r="R31" s="59"/>
      <x:c r="S31" s="59"/>
      <x:c r="T31" s="59"/>
      <x:c r="U31" s="59"/>
      <x:c r="V31" s="59"/>
      <x:c r="W31" s="59"/>
      <x:c r="X31" s="59"/>
      <x:c r="Y31" s="59"/>
      <x:c r="Z31" s="59"/>
      <x:c r="AA31" s="59"/>
      <x:c r="AB31" s="59"/>
      <x:c r="AC31" s="59"/>
      <x:c r="AD31" s="59"/>
      <x:c r="AE31" s="59"/>
      <x:c r="AF31" s="59"/>
      <x:c r="AG31" s="59"/>
      <x:c r="AH31" s="59"/>
      <x:c r="AI31" s="59"/>
      <x:c r="AJ31" s="59"/>
      <x:c r="AK31" s="59"/>
      <x:c r="AL31" s="59"/>
      <x:c r="AM31" s="59"/>
      <x:c r="AN31" s="59"/>
    </x:row>
    <x:row r="32">
      <x:c r="A32" s="59"/>
      <x:c r="B32" s="59"/>
      <x:c r="C32" s="59"/>
      <x:c r="D32" s="59"/>
      <x:c r="E32" s="59"/>
      <x:c r="F32" s="59"/>
      <x:c r="G32" s="59"/>
      <x:c r="H32" s="59"/>
      <x:c r="I32" s="59"/>
      <x:c r="J32" s="59"/>
      <x:c r="K32" s="59"/>
      <x:c r="L32" s="59"/>
      <x:c r="M32" s="59"/>
      <x:c r="N32" s="59"/>
      <x:c r="O32" s="59"/>
      <x:c r="P32" s="59"/>
      <x:c r="Q32" s="59"/>
      <x:c r="R32" s="59"/>
      <x:c r="S32" s="59"/>
      <x:c r="T32" s="59"/>
      <x:c r="U32" s="59"/>
      <x:c r="V32" s="59"/>
      <x:c r="W32" s="59"/>
      <x:c r="X32" s="59"/>
      <x:c r="Y32" s="59"/>
      <x:c r="Z32" s="59"/>
      <x:c r="AA32" s="59"/>
      <x:c r="AB32" s="59"/>
      <x:c r="AC32" s="59"/>
      <x:c r="AD32" s="59"/>
      <x:c r="AE32" s="59"/>
      <x:c r="AF32" s="59"/>
      <x:c r="AG32" s="59"/>
      <x:c r="AH32" s="59"/>
      <x:c r="AI32" s="59"/>
      <x:c r="AJ32" s="59"/>
      <x:c r="AK32" s="59"/>
      <x:c r="AL32" s="59"/>
      <x:c r="AM32" s="59"/>
      <x:c r="AN32" s="59"/>
    </x:row>
    <x:row r="33">
      <x:c r="A33" s="59"/>
      <x:c r="B33" s="59"/>
      <x:c r="C33" s="59"/>
      <x:c r="D33" s="59"/>
      <x:c r="E33" s="59"/>
      <x:c r="F33" s="59"/>
      <x:c r="G33" s="59"/>
      <x:c r="H33" s="59"/>
      <x:c r="I33" s="59"/>
      <x:c r="J33" s="59"/>
      <x:c r="K33" s="59"/>
      <x:c r="L33" s="59"/>
      <x:c r="M33" s="59"/>
      <x:c r="N33" s="59"/>
      <x:c r="O33" s="59"/>
      <x:c r="P33" s="59"/>
      <x:c r="Q33" s="59"/>
      <x:c r="R33" s="59"/>
      <x:c r="S33" s="59"/>
      <x:c r="T33" s="59"/>
      <x:c r="U33" s="59"/>
      <x:c r="V33" s="59"/>
      <x:c r="W33" s="59"/>
      <x:c r="X33" s="59"/>
      <x:c r="Y33" s="59"/>
      <x:c r="Z33" s="59"/>
      <x:c r="AA33" s="59"/>
      <x:c r="AB33" s="59"/>
      <x:c r="AC33" s="59"/>
      <x:c r="AD33" s="59"/>
      <x:c r="AE33" s="59"/>
      <x:c r="AF33" s="59"/>
      <x:c r="AG33" s="59"/>
      <x:c r="AH33" s="59"/>
      <x:c r="AI33" s="59"/>
      <x:c r="AJ33" s="59"/>
      <x:c r="AK33" s="59"/>
      <x:c r="AL33" s="59"/>
      <x:c r="AM33" s="59"/>
      <x:c r="AN33" s="59"/>
    </x:row>
    <x:row r="34">
      <x:c r="A34" s="59"/>
      <x:c r="B34" s="59"/>
      <x:c r="C34" s="59"/>
      <x:c r="D34" s="59"/>
      <x:c r="E34" s="59"/>
      <x:c r="F34" s="59"/>
      <x:c r="G34" s="59"/>
      <x:c r="H34" s="59"/>
      <x:c r="I34" s="59"/>
      <x:c r="J34" s="59"/>
      <x:c r="K34" s="59"/>
      <x:c r="L34" s="59"/>
      <x:c r="M34" s="59"/>
      <x:c r="N34" s="59"/>
      <x:c r="O34" s="59"/>
      <x:c r="P34" s="59"/>
      <x:c r="Q34" s="59"/>
      <x:c r="R34" s="59"/>
      <x:c r="S34" s="59"/>
      <x:c r="T34" s="59"/>
      <x:c r="U34" s="59"/>
      <x:c r="V34" s="59"/>
      <x:c r="W34" s="59"/>
      <x:c r="X34" s="59"/>
      <x:c r="Y34" s="59"/>
      <x:c r="Z34" s="59"/>
      <x:c r="AA34" s="59"/>
      <x:c r="AB34" s="59"/>
      <x:c r="AC34" s="59"/>
      <x:c r="AD34" s="59"/>
      <x:c r="AE34" s="59"/>
      <x:c r="AF34" s="59"/>
      <x:c r="AG34" s="59"/>
      <x:c r="AH34" s="59"/>
      <x:c r="AI34" s="59"/>
      <x:c r="AJ34" s="59"/>
      <x:c r="AK34" s="59"/>
      <x:c r="AL34" s="59"/>
      <x:c r="AM34" s="59"/>
      <x:c r="AN34" s="59"/>
    </x:row>
    <x:row r="35">
      <x:c r="A35" s="59"/>
      <x:c r="B35" s="59"/>
      <x:c r="C35" s="59"/>
      <x:c r="D35" s="59"/>
      <x:c r="E35" s="59"/>
      <x:c r="F35" s="59"/>
      <x:c r="G35" s="59"/>
      <x:c r="H35" s="59"/>
      <x:c r="I35" s="59"/>
      <x:c r="J35" s="59"/>
      <x:c r="K35" s="59"/>
      <x:c r="L35" s="59"/>
      <x:c r="M35" s="59"/>
      <x:c r="N35" s="59"/>
      <x:c r="O35" s="59"/>
      <x:c r="P35" s="59"/>
      <x:c r="Q35" s="59"/>
      <x:c r="R35" s="59"/>
      <x:c r="S35" s="59"/>
      <x:c r="T35" s="59"/>
      <x:c r="U35" s="59"/>
      <x:c r="V35" s="59"/>
      <x:c r="W35" s="59"/>
      <x:c r="X35" s="59"/>
      <x:c r="Y35" s="59"/>
      <x:c r="Z35" s="59"/>
      <x:c r="AA35" s="59"/>
      <x:c r="AB35" s="59"/>
      <x:c r="AC35" s="59"/>
      <x:c r="AD35" s="59"/>
      <x:c r="AE35" s="59"/>
      <x:c r="AF35" s="59"/>
      <x:c r="AG35" s="59"/>
      <x:c r="AH35" s="59"/>
      <x:c r="AI35" s="59"/>
      <x:c r="AJ35" s="59"/>
      <x:c r="AK35" s="59"/>
      <x:c r="AL35" s="59"/>
      <x:c r="AM35" s="59"/>
      <x:c r="AN35" s="59"/>
    </x:row>
    <x:row r="36">
      <x:c r="A36" s="59"/>
      <x:c r="B36" s="59"/>
      <x:c r="C36" s="59"/>
      <x:c r="D36" s="59"/>
      <x:c r="E36" s="59"/>
      <x:c r="F36" s="59"/>
      <x:c r="G36" s="59"/>
      <x:c r="H36" s="59"/>
      <x:c r="I36" s="59"/>
      <x:c r="J36" s="59"/>
      <x:c r="K36" s="59"/>
      <x:c r="L36" s="59"/>
      <x:c r="M36" s="59"/>
      <x:c r="N36" s="59"/>
      <x:c r="O36" s="59"/>
      <x:c r="P36" s="59"/>
      <x:c r="Q36" s="59"/>
      <x:c r="R36" s="59"/>
      <x:c r="S36" s="59"/>
      <x:c r="T36" s="59"/>
      <x:c r="U36" s="59"/>
      <x:c r="V36" s="59"/>
      <x:c r="W36" s="59"/>
      <x:c r="X36" s="59"/>
      <x:c r="Y36" s="59"/>
      <x:c r="Z36" s="59"/>
      <x:c r="AA36" s="59"/>
      <x:c r="AB36" s="59"/>
      <x:c r="AC36" s="59"/>
      <x:c r="AD36" s="59"/>
      <x:c r="AE36" s="59"/>
      <x:c r="AF36" s="59"/>
      <x:c r="AG36" s="59"/>
      <x:c r="AH36" s="59"/>
      <x:c r="AI36" s="59"/>
      <x:c r="AJ36" s="59"/>
      <x:c r="AK36" s="59"/>
      <x:c r="AL36" s="59"/>
      <x:c r="AM36" s="59"/>
      <x:c r="AN36" s="59"/>
    </x:row>
    <x:row r="37">
      <x:c r="A37" s="59"/>
      <x:c r="B37" s="59"/>
      <x:c r="C37" s="59"/>
      <x:c r="D37" s="59"/>
      <x:c r="E37" s="59"/>
      <x:c r="F37" s="59"/>
      <x:c r="G37" s="59"/>
      <x:c r="H37" s="59"/>
      <x:c r="I37" s="59"/>
      <x:c r="J37" s="59"/>
      <x:c r="K37" s="59"/>
      <x:c r="L37" s="59"/>
      <x:c r="M37" s="59"/>
      <x:c r="N37" s="59"/>
      <x:c r="O37" s="59"/>
      <x:c r="P37" s="59"/>
      <x:c r="Q37" s="59"/>
      <x:c r="R37" s="59"/>
      <x:c r="S37" s="59"/>
      <x:c r="T37" s="59"/>
      <x:c r="U37" s="59"/>
      <x:c r="V37" s="59"/>
      <x:c r="W37" s="59"/>
      <x:c r="X37" s="59"/>
      <x:c r="Y37" s="59"/>
      <x:c r="Z37" s="59"/>
      <x:c r="AA37" s="59"/>
      <x:c r="AB37" s="59"/>
      <x:c r="AC37" s="59"/>
      <x:c r="AD37" s="59"/>
      <x:c r="AE37" s="59"/>
      <x:c r="AF37" s="59"/>
      <x:c r="AG37" s="59"/>
      <x:c r="AH37" s="59"/>
      <x:c r="AI37" s="59"/>
      <x:c r="AJ37" s="59"/>
      <x:c r="AK37" s="59"/>
      <x:c r="AL37" s="59"/>
      <x:c r="AM37" s="59"/>
      <x:c r="AN37" s="59"/>
    </x:row>
    <x:row r="38">
      <x:c r="A38" s="59"/>
      <x:c r="B38" s="59"/>
      <x:c r="C38" s="59"/>
      <x:c r="D38" s="59"/>
      <x:c r="E38" s="59"/>
      <x:c r="F38" s="59"/>
      <x:c r="G38" s="59"/>
      <x:c r="H38" s="59"/>
      <x:c r="I38" s="59"/>
      <x:c r="J38" s="59"/>
      <x:c r="K38" s="59"/>
      <x:c r="L38" s="59"/>
      <x:c r="M38" s="59"/>
      <x:c r="N38" s="59"/>
      <x:c r="O38" s="59"/>
      <x:c r="P38" s="59"/>
      <x:c r="Q38" s="59"/>
      <x:c r="R38" s="59"/>
      <x:c r="S38" s="59"/>
      <x:c r="T38" s="59"/>
      <x:c r="U38" s="59"/>
      <x:c r="V38" s="59"/>
      <x:c r="W38" s="59"/>
      <x:c r="X38" s="59"/>
      <x:c r="Y38" s="59"/>
      <x:c r="Z38" s="59"/>
      <x:c r="AA38" s="59"/>
      <x:c r="AB38" s="59"/>
      <x:c r="AC38" s="59"/>
      <x:c r="AD38" s="59"/>
      <x:c r="AE38" s="59"/>
      <x:c r="AF38" s="59"/>
      <x:c r="AG38" s="59"/>
      <x:c r="AH38" s="59"/>
      <x:c r="AI38" s="59"/>
      <x:c r="AJ38" s="59"/>
      <x:c r="AK38" s="59"/>
      <x:c r="AL38" s="59"/>
      <x:c r="AM38" s="59"/>
      <x:c r="AN38" s="59"/>
    </x:row>
    <x:row r="39">
      <x:c r="A39" s="59"/>
      <x:c r="B39" s="59"/>
      <x:c r="C39" s="59"/>
      <x:c r="D39" s="59"/>
      <x:c r="E39" s="59"/>
      <x:c r="F39" s="59"/>
      <x:c r="G39" s="59"/>
      <x:c r="H39" s="59"/>
      <x:c r="I39" s="59"/>
      <x:c r="J39" s="59"/>
      <x:c r="K39" s="59"/>
      <x:c r="L39" s="59"/>
      <x:c r="M39" s="59"/>
      <x:c r="N39" s="59"/>
      <x:c r="O39" s="59"/>
      <x:c r="P39" s="59"/>
      <x:c r="Q39" s="59"/>
      <x:c r="R39" s="59"/>
      <x:c r="S39" s="59"/>
      <x:c r="T39" s="59"/>
      <x:c r="U39" s="59"/>
      <x:c r="V39" s="59"/>
      <x:c r="W39" s="59"/>
      <x:c r="X39" s="59"/>
      <x:c r="Y39" s="59"/>
      <x:c r="Z39" s="59"/>
      <x:c r="AA39" s="59"/>
      <x:c r="AB39" s="59"/>
      <x:c r="AC39" s="59"/>
      <x:c r="AD39" s="59"/>
      <x:c r="AE39" s="59"/>
      <x:c r="AF39" s="59"/>
      <x:c r="AG39" s="59"/>
      <x:c r="AH39" s="59"/>
      <x:c r="AI39" s="59"/>
      <x:c r="AJ39" s="59"/>
      <x:c r="AK39" s="59"/>
      <x:c r="AL39" s="59"/>
      <x:c r="AM39" s="59"/>
      <x:c r="AN39" s="59"/>
    </x:row>
    <x:row r="40">
      <x:c r="A40" s="59"/>
      <x:c r="B40" s="59"/>
      <x:c r="C40" s="59"/>
      <x:c r="D40" s="59"/>
      <x:c r="E40" s="59"/>
      <x:c r="F40" s="59"/>
      <x:c r="G40" s="59"/>
      <x:c r="H40" s="59"/>
      <x:c r="I40" s="59"/>
      <x:c r="J40" s="59"/>
      <x:c r="K40" s="59"/>
      <x:c r="L40" s="59"/>
      <x:c r="M40" s="59"/>
      <x:c r="N40" s="59"/>
      <x:c r="O40" s="59"/>
      <x:c r="P40" s="59"/>
      <x:c r="Q40" s="59"/>
      <x:c r="R40" s="59"/>
      <x:c r="S40" s="59"/>
      <x:c r="T40" s="59"/>
      <x:c r="U40" s="59"/>
      <x:c r="V40" s="59"/>
      <x:c r="W40" s="59"/>
      <x:c r="X40" s="59"/>
      <x:c r="Y40" s="59"/>
      <x:c r="Z40" s="59"/>
      <x:c r="AA40" s="59"/>
      <x:c r="AB40" s="59"/>
      <x:c r="AC40" s="59"/>
      <x:c r="AD40" s="59"/>
      <x:c r="AE40" s="59"/>
      <x:c r="AF40" s="59"/>
      <x:c r="AG40" s="59"/>
      <x:c r="AH40" s="59"/>
      <x:c r="AI40" s="59"/>
      <x:c r="AJ40" s="59"/>
      <x:c r="AK40" s="59"/>
      <x:c r="AL40" s="59"/>
      <x:c r="AM40" s="59"/>
      <x:c r="AN40" s="59"/>
    </x:row>
    <x:row r="41">
      <x:c r="A41" s="59"/>
      <x:c r="B41" s="59"/>
      <x:c r="C41" s="59"/>
      <x:c r="D41" s="59"/>
      <x:c r="E41" s="59"/>
      <x:c r="F41" s="59"/>
      <x:c r="G41" s="59"/>
      <x:c r="H41" s="59"/>
      <x:c r="I41" s="59"/>
      <x:c r="J41" s="59"/>
      <x:c r="K41" s="59"/>
      <x:c r="L41" s="59"/>
      <x:c r="M41" s="59"/>
      <x:c r="N41" s="59"/>
      <x:c r="O41" s="59"/>
      <x:c r="P41" s="59"/>
      <x:c r="Q41" s="59"/>
      <x:c r="R41" s="59"/>
      <x:c r="S41" s="59"/>
      <x:c r="T41" s="59"/>
      <x:c r="U41" s="59"/>
      <x:c r="V41" s="59"/>
      <x:c r="W41" s="59"/>
      <x:c r="X41" s="59"/>
      <x:c r="Y41" s="59"/>
      <x:c r="Z41" s="59"/>
      <x:c r="AA41" s="59"/>
      <x:c r="AB41" s="59"/>
      <x:c r="AC41" s="59"/>
      <x:c r="AD41" s="59"/>
      <x:c r="AE41" s="59"/>
      <x:c r="AF41" s="59"/>
      <x:c r="AG41" s="59"/>
      <x:c r="AH41" s="59"/>
      <x:c r="AI41" s="59"/>
      <x:c r="AJ41" s="59"/>
      <x:c r="AK41" s="59"/>
      <x:c r="AL41" s="59"/>
      <x:c r="AM41" s="59"/>
      <x:c r="AN41" s="59"/>
    </x:row>
    <x:row r="42">
      <x:c r="A42" s="59"/>
      <x:c r="B42" s="59"/>
      <x:c r="C42" s="59"/>
      <x:c r="D42" s="59"/>
      <x:c r="E42" s="59"/>
      <x:c r="F42" s="59"/>
      <x:c r="G42" s="59"/>
      <x:c r="H42" s="59"/>
      <x:c r="I42" s="59"/>
      <x:c r="J42" s="59"/>
      <x:c r="K42" s="59"/>
      <x:c r="L42" s="59"/>
      <x:c r="M42" s="59"/>
      <x:c r="N42" s="59"/>
      <x:c r="O42" s="59"/>
      <x:c r="P42" s="59"/>
      <x:c r="Q42" s="59"/>
      <x:c r="R42" s="59"/>
      <x:c r="S42" s="59"/>
      <x:c r="T42" s="59"/>
      <x:c r="U42" s="59"/>
      <x:c r="V42" s="59"/>
      <x:c r="W42" s="59"/>
      <x:c r="X42" s="59"/>
      <x:c r="Y42" s="59"/>
      <x:c r="Z42" s="59"/>
      <x:c r="AA42" s="59"/>
      <x:c r="AB42" s="59"/>
      <x:c r="AC42" s="59"/>
      <x:c r="AD42" s="59"/>
      <x:c r="AE42" s="59"/>
      <x:c r="AF42" s="59"/>
      <x:c r="AG42" s="59"/>
      <x:c r="AH42" s="59"/>
      <x:c r="AI42" s="59"/>
      <x:c r="AJ42" s="59"/>
      <x:c r="AK42" s="59"/>
      <x:c r="AL42" s="59"/>
      <x:c r="AM42" s="59"/>
      <x:c r="AN42" s="59"/>
    </x:row>
    <x:row r="43">
      <x:c r="A43" s="59"/>
      <x:c r="B43" s="59"/>
      <x:c r="C43" s="59"/>
      <x:c r="D43" s="59"/>
      <x:c r="E43" s="59"/>
      <x:c r="F43" s="59"/>
      <x:c r="G43" s="59"/>
      <x:c r="H43" s="59"/>
      <x:c r="I43" s="59"/>
      <x:c r="J43" s="59"/>
      <x:c r="K43" s="59"/>
      <x:c r="L43" s="59"/>
      <x:c r="M43" s="59"/>
      <x:c r="N43" s="59"/>
      <x:c r="O43" s="59"/>
      <x:c r="P43" s="59"/>
      <x:c r="Q43" s="59"/>
      <x:c r="R43" s="59"/>
      <x:c r="S43" s="59"/>
      <x:c r="T43" s="59"/>
      <x:c r="U43" s="59"/>
      <x:c r="V43" s="59"/>
      <x:c r="W43" s="59"/>
      <x:c r="X43" s="59"/>
      <x:c r="Y43" s="59"/>
      <x:c r="Z43" s="59"/>
      <x:c r="AA43" s="59"/>
      <x:c r="AB43" s="59"/>
      <x:c r="AC43" s="59"/>
      <x:c r="AD43" s="59"/>
      <x:c r="AE43" s="59"/>
      <x:c r="AF43" s="59"/>
      <x:c r="AG43" s="59"/>
      <x:c r="AH43" s="59"/>
      <x:c r="AI43" s="59"/>
      <x:c r="AJ43" s="59"/>
      <x:c r="AK43" s="59"/>
      <x:c r="AL43" s="59"/>
      <x:c r="AM43" s="59"/>
      <x:c r="AN43" s="59"/>
    </x:row>
    <x:row r="44">
      <x:c r="A44" s="59"/>
      <x:c r="B44" s="59"/>
      <x:c r="C44" s="59"/>
      <x:c r="D44" s="59"/>
      <x:c r="E44" s="59"/>
      <x:c r="F44" s="59"/>
      <x:c r="G44" s="59"/>
      <x:c r="H44" s="59"/>
      <x:c r="I44" s="59"/>
      <x:c r="J44" s="59"/>
      <x:c r="K44" s="59"/>
      <x:c r="L44" s="59"/>
      <x:c r="M44" s="59"/>
      <x:c r="N44" s="59"/>
      <x:c r="O44" s="59"/>
      <x:c r="P44" s="59"/>
      <x:c r="Q44" s="59"/>
      <x:c r="R44" s="59"/>
      <x:c r="S44" s="59"/>
      <x:c r="T44" s="59"/>
      <x:c r="U44" s="59"/>
      <x:c r="V44" s="59"/>
      <x:c r="W44" s="59"/>
      <x:c r="X44" s="59"/>
      <x:c r="Y44" s="59"/>
      <x:c r="Z44" s="59"/>
      <x:c r="AA44" s="59"/>
      <x:c r="AB44" s="59"/>
      <x:c r="AC44" s="59"/>
      <x:c r="AD44" s="59"/>
      <x:c r="AE44" s="59"/>
      <x:c r="AF44" s="59"/>
      <x:c r="AG44" s="59"/>
      <x:c r="AH44" s="59"/>
      <x:c r="AI44" s="59"/>
      <x:c r="AJ44" s="59"/>
      <x:c r="AK44" s="59"/>
      <x:c r="AL44" s="59"/>
      <x:c r="AM44" s="59"/>
      <x:c r="AN44" s="59"/>
    </x:row>
    <x:row r="45">
      <x:c r="A45" s="59"/>
      <x:c r="B45" s="59"/>
      <x:c r="C45" s="59"/>
      <x:c r="D45" s="59"/>
      <x:c r="E45" s="59"/>
      <x:c r="F45" s="59"/>
      <x:c r="G45" s="59"/>
      <x:c r="H45" s="59"/>
      <x:c r="I45" s="59"/>
      <x:c r="J45" s="59"/>
      <x:c r="K45" s="59"/>
      <x:c r="L45" s="59"/>
      <x:c r="M45" s="59"/>
      <x:c r="N45" s="59"/>
      <x:c r="O45" s="59"/>
      <x:c r="P45" s="59"/>
      <x:c r="Q45" s="59"/>
      <x:c r="R45" s="59"/>
      <x:c r="S45" s="59"/>
      <x:c r="T45" s="59"/>
      <x:c r="U45" s="59"/>
      <x:c r="V45" s="59"/>
      <x:c r="W45" s="59"/>
      <x:c r="X45" s="59"/>
      <x:c r="Y45" s="59"/>
      <x:c r="Z45" s="59"/>
      <x:c r="AA45" s="59"/>
      <x:c r="AB45" s="59"/>
      <x:c r="AC45" s="59"/>
      <x:c r="AD45" s="59"/>
      <x:c r="AE45" s="59"/>
      <x:c r="AF45" s="59"/>
      <x:c r="AG45" s="59"/>
      <x:c r="AH45" s="59"/>
      <x:c r="AI45" s="59"/>
      <x:c r="AJ45" s="59"/>
      <x:c r="AK45" s="59"/>
      <x:c r="AL45" s="59"/>
      <x:c r="AM45" s="59"/>
      <x:c r="AN45" s="59"/>
    </x:row>
    <x:row r="46">
      <x:c r="A46" s="59"/>
      <x:c r="B46" s="59"/>
      <x:c r="C46" s="59"/>
      <x:c r="D46" s="59"/>
      <x:c r="E46" s="59"/>
      <x:c r="F46" s="59"/>
      <x:c r="G46" s="59"/>
      <x:c r="H46" s="59"/>
      <x:c r="I46" s="59"/>
      <x:c r="J46" s="59"/>
      <x:c r="K46" s="59"/>
      <x:c r="L46" s="59"/>
      <x:c r="M46" s="59"/>
      <x:c r="N46" s="59"/>
      <x:c r="O46" s="59"/>
      <x:c r="P46" s="59"/>
      <x:c r="Q46" s="59"/>
      <x:c r="R46" s="59"/>
      <x:c r="S46" s="59"/>
      <x:c r="T46" s="59"/>
      <x:c r="U46" s="59"/>
      <x:c r="V46" s="59"/>
      <x:c r="W46" s="59"/>
      <x:c r="X46" s="59"/>
      <x:c r="Y46" s="59"/>
      <x:c r="Z46" s="59"/>
      <x:c r="AA46" s="59"/>
      <x:c r="AB46" s="59"/>
      <x:c r="AC46" s="59"/>
      <x:c r="AD46" s="59"/>
      <x:c r="AE46" s="59"/>
      <x:c r="AF46" s="59"/>
      <x:c r="AG46" s="59"/>
      <x:c r="AH46" s="59"/>
      <x:c r="AI46" s="59"/>
      <x:c r="AJ46" s="59"/>
      <x:c r="AK46" s="59"/>
      <x:c r="AL46" s="59"/>
      <x:c r="AM46" s="59"/>
      <x:c r="AN46" s="59"/>
    </x:row>
    <x:row r="47">
      <x:c r="A47" s="59"/>
      <x:c r="B47" s="59"/>
      <x:c r="C47" s="59"/>
      <x:c r="D47" s="59"/>
      <x:c r="E47" s="59"/>
      <x:c r="F47" s="59"/>
      <x:c r="G47" s="59"/>
      <x:c r="H47" s="59"/>
      <x:c r="I47" s="59"/>
      <x:c r="J47" s="59"/>
      <x:c r="K47" s="59"/>
      <x:c r="L47" s="59"/>
      <x:c r="M47" s="59"/>
      <x:c r="N47" s="59"/>
      <x:c r="O47" s="59"/>
      <x:c r="P47" s="59"/>
      <x:c r="Q47" s="59"/>
      <x:c r="R47" s="59"/>
      <x:c r="S47" s="59"/>
      <x:c r="T47" s="59"/>
      <x:c r="U47" s="59"/>
      <x:c r="V47" s="59"/>
      <x:c r="W47" s="59"/>
      <x:c r="X47" s="59"/>
      <x:c r="Y47" s="59"/>
      <x:c r="Z47" s="59"/>
      <x:c r="AA47" s="59"/>
      <x:c r="AB47" s="59"/>
      <x:c r="AC47" s="59"/>
      <x:c r="AD47" s="59"/>
      <x:c r="AE47" s="59"/>
      <x:c r="AF47" s="59"/>
      <x:c r="AG47" s="59"/>
      <x:c r="AH47" s="59"/>
      <x:c r="AI47" s="59"/>
      <x:c r="AJ47" s="59"/>
      <x:c r="AK47" s="59"/>
      <x:c r="AL47" s="59"/>
      <x:c r="AM47" s="59"/>
      <x:c r="AN47" s="59"/>
    </x:row>
    <x:row r="48">
      <x:c r="A48" s="59"/>
      <x:c r="B48" s="59"/>
      <x:c r="C48" s="59"/>
      <x:c r="D48" s="59"/>
      <x:c r="E48" s="59"/>
      <x:c r="F48" s="59"/>
      <x:c r="G48" s="59"/>
      <x:c r="H48" s="59"/>
      <x:c r="I48" s="59"/>
      <x:c r="J48" s="59"/>
      <x:c r="K48" s="59"/>
      <x:c r="L48" s="59"/>
      <x:c r="M48" s="59"/>
      <x:c r="N48" s="59"/>
      <x:c r="O48" s="59"/>
      <x:c r="P48" s="59"/>
      <x:c r="Q48" s="59"/>
      <x:c r="R48" s="59"/>
      <x:c r="S48" s="59"/>
      <x:c r="T48" s="59"/>
      <x:c r="U48" s="59"/>
      <x:c r="V48" s="59"/>
      <x:c r="W48" s="59"/>
      <x:c r="X48" s="59"/>
      <x:c r="Y48" s="59"/>
      <x:c r="Z48" s="59"/>
      <x:c r="AA48" s="59"/>
      <x:c r="AB48" s="59"/>
      <x:c r="AC48" s="59"/>
      <x:c r="AD48" s="59"/>
      <x:c r="AE48" s="59"/>
      <x:c r="AF48" s="59"/>
      <x:c r="AG48" s="59"/>
      <x:c r="AH48" s="59"/>
      <x:c r="AI48" s="59"/>
      <x:c r="AJ48" s="59"/>
      <x:c r="AK48" s="59"/>
      <x:c r="AL48" s="59"/>
      <x:c r="AM48" s="59"/>
      <x:c r="AN48" s="59"/>
    </x:row>
    <x:row r="49">
      <x:c r="A49" s="59"/>
      <x:c r="B49" s="59"/>
      <x:c r="C49" s="59"/>
      <x:c r="D49" s="59"/>
      <x:c r="E49" s="59"/>
      <x:c r="F49" s="59"/>
      <x:c r="G49" s="59"/>
      <x:c r="H49" s="59"/>
      <x:c r="I49" s="59"/>
      <x:c r="J49" s="59"/>
      <x:c r="K49" s="59"/>
      <x:c r="L49" s="59"/>
      <x:c r="M49" s="59"/>
      <x:c r="N49" s="59"/>
      <x:c r="O49" s="59"/>
      <x:c r="P49" s="59"/>
      <x:c r="Q49" s="59"/>
      <x:c r="R49" s="59"/>
      <x:c r="S49" s="59"/>
      <x:c r="T49" s="59"/>
      <x:c r="U49" s="59"/>
      <x:c r="V49" s="59"/>
      <x:c r="W49" s="59"/>
      <x:c r="X49" s="59"/>
      <x:c r="Y49" s="59"/>
      <x:c r="Z49" s="59"/>
      <x:c r="AA49" s="59"/>
      <x:c r="AB49" s="59"/>
      <x:c r="AC49" s="59"/>
      <x:c r="AD49" s="59"/>
      <x:c r="AE49" s="59"/>
      <x:c r="AF49" s="59"/>
      <x:c r="AG49" s="59"/>
      <x:c r="AH49" s="59"/>
      <x:c r="AI49" s="59"/>
      <x:c r="AJ49" s="59"/>
      <x:c r="AK49" s="59"/>
      <x:c r="AL49" s="59"/>
      <x:c r="AM49" s="59"/>
      <x:c r="AN49" s="59"/>
    </x:row>
    <x:row r="50">
      <x:c r="A50" s="59"/>
      <x:c r="B50" s="59"/>
      <x:c r="C50" s="59"/>
      <x:c r="D50" s="59"/>
      <x:c r="E50" s="59"/>
      <x:c r="F50" s="59"/>
      <x:c r="G50" s="59"/>
      <x:c r="H50" s="59"/>
      <x:c r="I50" s="59"/>
      <x:c r="J50" s="59"/>
      <x:c r="K50" s="59"/>
      <x:c r="L50" s="59"/>
      <x:c r="M50" s="59"/>
      <x:c r="N50" s="59"/>
      <x:c r="O50" s="59"/>
      <x:c r="P50" s="59"/>
      <x:c r="Q50" s="59"/>
      <x:c r="R50" s="59"/>
      <x:c r="S50" s="59"/>
      <x:c r="T50" s="59"/>
      <x:c r="U50" s="59"/>
      <x:c r="V50" s="59"/>
      <x:c r="W50" s="59"/>
      <x:c r="X50" s="59"/>
      <x:c r="Y50" s="59"/>
      <x:c r="Z50" s="59"/>
      <x:c r="AA50" s="59"/>
      <x:c r="AB50" s="59"/>
      <x:c r="AC50" s="59"/>
      <x:c r="AD50" s="59"/>
      <x:c r="AE50" s="59"/>
      <x:c r="AF50" s="59"/>
      <x:c r="AG50" s="59"/>
      <x:c r="AH50" s="59"/>
      <x:c r="AI50" s="59"/>
      <x:c r="AJ50" s="59"/>
      <x:c r="AK50" s="59"/>
      <x:c r="AL50" s="59"/>
      <x:c r="AM50" s="59"/>
      <x:c r="AN50" s="59"/>
    </x:row>
    <x:row r="51">
      <x:c r="A51" s="59"/>
      <x:c r="B51" s="59"/>
      <x:c r="C51" s="59"/>
      <x:c r="D51" s="59"/>
      <x:c r="E51" s="59"/>
      <x:c r="F51" s="59"/>
      <x:c r="G51" s="59"/>
      <x:c r="H51" s="59"/>
      <x:c r="I51" s="59"/>
      <x:c r="J51" s="59"/>
      <x:c r="K51" s="59"/>
      <x:c r="L51" s="59"/>
      <x:c r="M51" s="59"/>
      <x:c r="N51" s="59"/>
      <x:c r="O51" s="59"/>
      <x:c r="P51" s="59"/>
      <x:c r="Q51" s="59"/>
      <x:c r="R51" s="59"/>
      <x:c r="S51" s="59"/>
      <x:c r="T51" s="59"/>
      <x:c r="U51" s="59"/>
      <x:c r="V51" s="59"/>
      <x:c r="W51" s="59"/>
      <x:c r="X51" s="59"/>
      <x:c r="Y51" s="59"/>
      <x:c r="Z51" s="59"/>
      <x:c r="AA51" s="59"/>
      <x:c r="AB51" s="59"/>
      <x:c r="AC51" s="59"/>
      <x:c r="AD51" s="59"/>
      <x:c r="AE51" s="59"/>
      <x:c r="AF51" s="59"/>
      <x:c r="AG51" s="59"/>
      <x:c r="AH51" s="59"/>
      <x:c r="AI51" s="59"/>
      <x:c r="AJ51" s="59"/>
      <x:c r="AK51" s="59"/>
      <x:c r="AL51" s="59"/>
      <x:c r="AM51" s="59"/>
      <x:c r="AN51" s="59"/>
    </x:row>
    <x:row r="52">
      <x:c r="A52" s="59"/>
      <x:c r="B52" s="59"/>
      <x:c r="C52" s="59"/>
      <x:c r="D52" s="59"/>
      <x:c r="E52" s="59"/>
      <x:c r="F52" s="59"/>
      <x:c r="G52" s="59"/>
      <x:c r="H52" s="59"/>
      <x:c r="I52" s="59"/>
      <x:c r="J52" s="59"/>
      <x:c r="K52" s="59"/>
      <x:c r="L52" s="59"/>
      <x:c r="M52" s="59"/>
      <x:c r="N52" s="59"/>
      <x:c r="O52" s="59"/>
      <x:c r="P52" s="59"/>
      <x:c r="Q52" s="59"/>
      <x:c r="R52" s="59"/>
      <x:c r="S52" s="59"/>
      <x:c r="T52" s="59"/>
      <x:c r="U52" s="59"/>
      <x:c r="V52" s="59"/>
      <x:c r="W52" s="59"/>
      <x:c r="X52" s="59"/>
      <x:c r="Y52" s="59"/>
      <x:c r="Z52" s="59"/>
      <x:c r="AA52" s="59"/>
      <x:c r="AB52" s="59"/>
      <x:c r="AC52" s="59"/>
      <x:c r="AD52" s="59"/>
      <x:c r="AE52" s="59"/>
      <x:c r="AF52" s="59"/>
      <x:c r="AG52" s="59"/>
      <x:c r="AH52" s="59"/>
      <x:c r="AI52" s="59"/>
      <x:c r="AJ52" s="59"/>
      <x:c r="AK52" s="59"/>
      <x:c r="AL52" s="59"/>
      <x:c r="AM52" s="59"/>
      <x:c r="AN52" s="59"/>
    </x:row>
    <x:row r="53">
      <x:c r="A53" s="59"/>
      <x:c r="B53" s="59"/>
      <x:c r="C53" s="59"/>
      <x:c r="D53" s="59"/>
      <x:c r="E53" s="59"/>
      <x:c r="F53" s="59"/>
      <x:c r="G53" s="59"/>
      <x:c r="H53" s="59"/>
      <x:c r="I53" s="59"/>
      <x:c r="J53" s="59"/>
      <x:c r="K53" s="59"/>
      <x:c r="L53" s="59"/>
      <x:c r="M53" s="59"/>
      <x:c r="N53" s="59"/>
      <x:c r="O53" s="59"/>
      <x:c r="P53" s="59"/>
      <x:c r="Q53" s="59"/>
      <x:c r="R53" s="59"/>
      <x:c r="S53" s="59"/>
      <x:c r="T53" s="59"/>
      <x:c r="U53" s="59"/>
      <x:c r="V53" s="59"/>
      <x:c r="W53" s="59"/>
      <x:c r="X53" s="59"/>
      <x:c r="Y53" s="59"/>
      <x:c r="Z53" s="59"/>
      <x:c r="AA53" s="59"/>
      <x:c r="AB53" s="59"/>
      <x:c r="AC53" s="59"/>
      <x:c r="AD53" s="59"/>
      <x:c r="AE53" s="59"/>
      <x:c r="AF53" s="59"/>
      <x:c r="AG53" s="59"/>
      <x:c r="AH53" s="59"/>
      <x:c r="AI53" s="59"/>
      <x:c r="AJ53" s="59"/>
      <x:c r="AK53" s="59"/>
      <x:c r="AL53" s="59"/>
      <x:c r="AM53" s="59"/>
      <x:c r="AN53" s="59"/>
    </x:row>
    <x:row r="54">
      <x:c r="A54" s="59"/>
      <x:c r="B54" s="59"/>
      <x:c r="C54" s="59"/>
      <x:c r="D54" s="59"/>
      <x:c r="E54" s="59"/>
      <x:c r="F54" s="59"/>
      <x:c r="G54" s="59"/>
      <x:c r="H54" s="59"/>
      <x:c r="I54" s="59"/>
      <x:c r="J54" s="59"/>
      <x:c r="K54" s="59"/>
      <x:c r="L54" s="59"/>
      <x:c r="M54" s="59"/>
      <x:c r="N54" s="59"/>
      <x:c r="O54" s="59"/>
      <x:c r="P54" s="59"/>
      <x:c r="Q54" s="59"/>
      <x:c r="R54" s="59"/>
      <x:c r="S54" s="59"/>
      <x:c r="T54" s="59"/>
      <x:c r="U54" s="59"/>
      <x:c r="V54" s="59"/>
      <x:c r="W54" s="59"/>
      <x:c r="X54" s="59"/>
      <x:c r="Y54" s="59"/>
      <x:c r="Z54" s="59"/>
      <x:c r="AA54" s="59"/>
      <x:c r="AB54" s="59"/>
      <x:c r="AC54" s="59"/>
      <x:c r="AD54" s="59"/>
      <x:c r="AE54" s="59"/>
      <x:c r="AF54" s="59"/>
      <x:c r="AG54" s="59"/>
      <x:c r="AH54" s="59"/>
      <x:c r="AI54" s="59"/>
      <x:c r="AJ54" s="59"/>
      <x:c r="AK54" s="59"/>
      <x:c r="AL54" s="59"/>
      <x:c r="AM54" s="59"/>
      <x:c r="AN54" s="59"/>
    </x:row>
    <x:row r="55">
      <x:c r="A55" s="59"/>
      <x:c r="B55" s="59"/>
      <x:c r="C55" s="59"/>
      <x:c r="D55" s="59"/>
      <x:c r="E55" s="59"/>
      <x:c r="F55" s="59"/>
      <x:c r="G55" s="59"/>
      <x:c r="H55" s="59"/>
      <x:c r="I55" s="59"/>
      <x:c r="J55" s="59"/>
      <x:c r="K55" s="59"/>
      <x:c r="L55" s="59"/>
      <x:c r="M55" s="59"/>
      <x:c r="N55" s="59"/>
      <x:c r="O55" s="59"/>
      <x:c r="P55" s="59"/>
      <x:c r="Q55" s="59"/>
      <x:c r="R55" s="59"/>
      <x:c r="S55" s="59"/>
      <x:c r="T55" s="59"/>
      <x:c r="U55" s="59"/>
      <x:c r="V55" s="59"/>
      <x:c r="W55" s="59"/>
      <x:c r="X55" s="59"/>
      <x:c r="Y55" s="59"/>
      <x:c r="Z55" s="59"/>
      <x:c r="AA55" s="59"/>
      <x:c r="AB55" s="59"/>
      <x:c r="AC55" s="59"/>
      <x:c r="AD55" s="59"/>
      <x:c r="AE55" s="59"/>
      <x:c r="AF55" s="59"/>
      <x:c r="AG55" s="59"/>
      <x:c r="AH55" s="59"/>
      <x:c r="AI55" s="59"/>
      <x:c r="AJ55" s="59"/>
      <x:c r="AK55" s="59"/>
      <x:c r="AL55" s="59"/>
      <x:c r="AM55" s="59"/>
      <x:c r="AN55" s="59"/>
    </x:row>
    <x:row r="56">
      <x:c r="A56" s="59"/>
      <x:c r="B56" s="59"/>
      <x:c r="C56" s="59"/>
      <x:c r="D56" s="59"/>
      <x:c r="E56" s="59"/>
      <x:c r="F56" s="59"/>
      <x:c r="G56" s="59"/>
      <x:c r="H56" s="59"/>
      <x:c r="I56" s="59"/>
      <x:c r="J56" s="59"/>
      <x:c r="K56" s="59"/>
      <x:c r="L56" s="59"/>
      <x:c r="M56" s="59"/>
      <x:c r="N56" s="59"/>
      <x:c r="O56" s="59"/>
      <x:c r="P56" s="59"/>
      <x:c r="Q56" s="59"/>
      <x:c r="R56" s="59"/>
      <x:c r="S56" s="59"/>
      <x:c r="T56" s="59"/>
      <x:c r="U56" s="59"/>
      <x:c r="V56" s="59"/>
      <x:c r="W56" s="59"/>
      <x:c r="X56" s="59"/>
      <x:c r="Y56" s="59"/>
      <x:c r="Z56" s="59"/>
      <x:c r="AA56" s="59"/>
      <x:c r="AB56" s="59"/>
      <x:c r="AC56" s="59"/>
      <x:c r="AD56" s="59"/>
      <x:c r="AE56" s="59"/>
      <x:c r="AF56" s="59"/>
      <x:c r="AG56" s="59"/>
      <x:c r="AH56" s="59"/>
      <x:c r="AI56" s="59"/>
      <x:c r="AJ56" s="59"/>
      <x:c r="AK56" s="59"/>
      <x:c r="AL56" s="59"/>
      <x:c r="AM56" s="59"/>
      <x:c r="AN56" s="59"/>
    </x:row>
    <x:row r="57">
      <x:c r="A57" s="59"/>
      <x:c r="B57" s="59"/>
      <x:c r="C57" s="59"/>
      <x:c r="D57" s="59"/>
      <x:c r="E57" s="59"/>
      <x:c r="F57" s="59"/>
      <x:c r="G57" s="59"/>
      <x:c r="H57" s="59"/>
      <x:c r="I57" s="59"/>
      <x:c r="J57" s="59"/>
      <x:c r="K57" s="59"/>
      <x:c r="L57" s="59"/>
      <x:c r="M57" s="59"/>
      <x:c r="N57" s="59"/>
      <x:c r="O57" s="59"/>
      <x:c r="P57" s="59"/>
      <x:c r="Q57" s="59"/>
      <x:c r="R57" s="59"/>
      <x:c r="S57" s="59"/>
      <x:c r="T57" s="59"/>
      <x:c r="U57" s="59"/>
      <x:c r="V57" s="59"/>
      <x:c r="W57" s="59"/>
      <x:c r="X57" s="59"/>
      <x:c r="Y57" s="59"/>
      <x:c r="Z57" s="59"/>
      <x:c r="AA57" s="59"/>
      <x:c r="AB57" s="59"/>
      <x:c r="AC57" s="59"/>
      <x:c r="AD57" s="59"/>
      <x:c r="AE57" s="59"/>
      <x:c r="AF57" s="59"/>
      <x:c r="AG57" s="59"/>
      <x:c r="AH57" s="59"/>
      <x:c r="AI57" s="59"/>
      <x:c r="AJ57" s="59"/>
      <x:c r="AK57" s="59"/>
      <x:c r="AL57" s="59"/>
      <x:c r="AM57" s="59"/>
      <x:c r="AN57" s="59"/>
    </x:row>
    <x:row r="58">
      <x:c r="A58" s="59"/>
      <x:c r="B58" s="59"/>
      <x:c r="C58" s="59"/>
      <x:c r="D58" s="59"/>
      <x:c r="E58" s="59"/>
      <x:c r="F58" s="59"/>
      <x:c r="G58" s="59"/>
      <x:c r="H58" s="59"/>
      <x:c r="I58" s="59"/>
      <x:c r="J58" s="59"/>
      <x:c r="K58" s="59"/>
      <x:c r="L58" s="59"/>
      <x:c r="M58" s="59"/>
      <x:c r="N58" s="59"/>
      <x:c r="O58" s="59"/>
      <x:c r="P58" s="59"/>
      <x:c r="Q58" s="59"/>
      <x:c r="R58" s="59"/>
      <x:c r="S58" s="59"/>
      <x:c r="T58" s="59"/>
      <x:c r="U58" s="59"/>
      <x:c r="V58" s="59"/>
      <x:c r="W58" s="59"/>
      <x:c r="X58" s="59"/>
      <x:c r="Y58" s="59"/>
      <x:c r="Z58" s="59"/>
      <x:c r="AA58" s="59"/>
      <x:c r="AB58" s="59"/>
      <x:c r="AC58" s="59"/>
      <x:c r="AD58" s="59"/>
      <x:c r="AE58" s="59"/>
      <x:c r="AF58" s="59"/>
      <x:c r="AG58" s="59"/>
      <x:c r="AH58" s="59"/>
      <x:c r="AI58" s="59"/>
      <x:c r="AJ58" s="59"/>
      <x:c r="AK58" s="59"/>
      <x:c r="AL58" s="59"/>
      <x:c r="AM58" s="59"/>
      <x:c r="AN58" s="59"/>
    </x:row>
    <x:row r="59">
      <x:c r="A59" s="59"/>
      <x:c r="B59" s="59"/>
      <x:c r="C59" s="59"/>
      <x:c r="D59" s="59"/>
      <x:c r="E59" s="59"/>
      <x:c r="F59" s="59"/>
      <x:c r="G59" s="59"/>
      <x:c r="H59" s="59"/>
      <x:c r="I59" s="59"/>
      <x:c r="J59" s="59"/>
      <x:c r="K59" s="59"/>
      <x:c r="L59" s="59"/>
      <x:c r="M59" s="59"/>
      <x:c r="N59" s="59"/>
      <x:c r="O59" s="59"/>
      <x:c r="P59" s="59"/>
      <x:c r="Q59" s="59"/>
      <x:c r="R59" s="59"/>
      <x:c r="S59" s="59"/>
      <x:c r="T59" s="59"/>
      <x:c r="U59" s="59"/>
      <x:c r="V59" s="59"/>
      <x:c r="W59" s="59"/>
      <x:c r="X59" s="59"/>
      <x:c r="Y59" s="59"/>
      <x:c r="Z59" s="59"/>
      <x:c r="AA59" s="59"/>
      <x:c r="AB59" s="59"/>
      <x:c r="AC59" s="59"/>
      <x:c r="AD59" s="59"/>
      <x:c r="AE59" s="59"/>
      <x:c r="AF59" s="59"/>
      <x:c r="AG59" s="59"/>
      <x:c r="AH59" s="59"/>
      <x:c r="AI59" s="59"/>
      <x:c r="AJ59" s="59"/>
      <x:c r="AK59" s="59"/>
      <x:c r="AL59" s="59"/>
      <x:c r="AM59" s="59"/>
      <x:c r="AN59" s="59"/>
    </x:row>
    <x:row r="60">
      <x:c r="A60" s="59"/>
      <x:c r="B60" s="59"/>
      <x:c r="C60" s="59"/>
      <x:c r="D60" s="59"/>
      <x:c r="E60" s="59"/>
      <x:c r="F60" s="59"/>
      <x:c r="G60" s="59"/>
      <x:c r="H60" s="59"/>
      <x:c r="I60" s="59"/>
      <x:c r="J60" s="59"/>
      <x:c r="K60" s="59"/>
      <x:c r="L60" s="59"/>
      <x:c r="M60" s="59"/>
      <x:c r="N60" s="59"/>
      <x:c r="O60" s="59"/>
      <x:c r="P60" s="59"/>
      <x:c r="Q60" s="59"/>
      <x:c r="R60" s="59"/>
      <x:c r="S60" s="59"/>
      <x:c r="T60" s="59"/>
      <x:c r="U60" s="59"/>
      <x:c r="V60" s="59"/>
      <x:c r="W60" s="59"/>
      <x:c r="X60" s="59"/>
      <x:c r="Y60" s="59"/>
      <x:c r="Z60" s="59"/>
      <x:c r="AA60" s="59"/>
      <x:c r="AB60" s="59"/>
      <x:c r="AC60" s="59"/>
      <x:c r="AD60" s="59"/>
      <x:c r="AE60" s="59"/>
      <x:c r="AF60" s="59"/>
      <x:c r="AG60" s="59"/>
      <x:c r="AH60" s="59"/>
      <x:c r="AI60" s="59"/>
      <x:c r="AJ60" s="59"/>
      <x:c r="AK60" s="59"/>
      <x:c r="AL60" s="59"/>
      <x:c r="AM60" s="59"/>
      <x:c r="AN60" s="59"/>
    </x:row>
    <x:row r="61">
      <x:c r="A61" s="59"/>
      <x:c r="B61" s="59"/>
      <x:c r="C61" s="59"/>
      <x:c r="D61" s="59"/>
      <x:c r="E61" s="59"/>
      <x:c r="F61" s="59"/>
      <x:c r="G61" s="59"/>
      <x:c r="H61" s="59"/>
      <x:c r="I61" s="59"/>
      <x:c r="J61" s="59"/>
      <x:c r="K61" s="59"/>
      <x:c r="L61" s="59"/>
      <x:c r="M61" s="59"/>
      <x:c r="N61" s="59"/>
      <x:c r="O61" s="59"/>
      <x:c r="P61" s="59"/>
      <x:c r="Q61" s="59"/>
      <x:c r="R61" s="59"/>
      <x:c r="S61" s="59"/>
      <x:c r="T61" s="59"/>
      <x:c r="U61" s="59"/>
      <x:c r="V61" s="59"/>
      <x:c r="W61" s="59"/>
      <x:c r="X61" s="59"/>
      <x:c r="Y61" s="59"/>
      <x:c r="Z61" s="59"/>
      <x:c r="AA61" s="59"/>
      <x:c r="AB61" s="59"/>
      <x:c r="AC61" s="59"/>
      <x:c r="AD61" s="59"/>
      <x:c r="AE61" s="59"/>
      <x:c r="AF61" s="59"/>
      <x:c r="AG61" s="59"/>
      <x:c r="AH61" s="59"/>
      <x:c r="AI61" s="59"/>
      <x:c r="AJ61" s="59"/>
      <x:c r="AK61" s="59"/>
      <x:c r="AL61" s="59"/>
      <x:c r="AM61" s="59"/>
      <x:c r="AN61" s="59"/>
    </x:row>
    <x:row r="62">
      <x:c r="A62" s="59"/>
      <x:c r="B62" s="59"/>
      <x:c r="C62" s="59"/>
      <x:c r="D62" s="59"/>
      <x:c r="E62" s="59"/>
      <x:c r="F62" s="59"/>
      <x:c r="G62" s="59"/>
      <x:c r="H62" s="59"/>
      <x:c r="I62" s="59"/>
      <x:c r="J62" s="59"/>
      <x:c r="K62" s="59"/>
      <x:c r="L62" s="59"/>
      <x:c r="M62" s="59"/>
      <x:c r="N62" s="59"/>
      <x:c r="O62" s="59"/>
      <x:c r="P62" s="59"/>
      <x:c r="Q62" s="59"/>
      <x:c r="R62" s="59"/>
      <x:c r="S62" s="59"/>
      <x:c r="T62" s="59"/>
      <x:c r="U62" s="59"/>
      <x:c r="V62" s="59"/>
      <x:c r="W62" s="59"/>
      <x:c r="X62" s="59"/>
      <x:c r="Y62" s="59"/>
      <x:c r="Z62" s="59"/>
      <x:c r="AA62" s="59"/>
      <x:c r="AB62" s="59"/>
      <x:c r="AC62" s="59"/>
      <x:c r="AD62" s="59"/>
      <x:c r="AE62" s="59"/>
      <x:c r="AF62" s="59"/>
      <x:c r="AG62" s="59"/>
      <x:c r="AH62" s="59"/>
      <x:c r="AI62" s="59"/>
      <x:c r="AJ62" s="59"/>
      <x:c r="AK62" s="59"/>
      <x:c r="AL62" s="59"/>
      <x:c r="AM62" s="59"/>
      <x:c r="AN62" s="59"/>
    </x:row>
    <x:row r="63">
      <x:c r="A63" s="59"/>
      <x:c r="B63" s="59"/>
      <x:c r="C63" s="59"/>
      <x:c r="D63" s="59"/>
      <x:c r="E63" s="59"/>
      <x:c r="F63" s="59"/>
      <x:c r="G63" s="59"/>
      <x:c r="H63" s="59"/>
      <x:c r="I63" s="59"/>
      <x:c r="J63" s="59"/>
      <x:c r="K63" s="59"/>
      <x:c r="L63" s="59"/>
      <x:c r="M63" s="59"/>
      <x:c r="N63" s="59"/>
      <x:c r="O63" s="59"/>
      <x:c r="P63" s="59"/>
      <x:c r="Q63" s="59"/>
      <x:c r="R63" s="59"/>
      <x:c r="S63" s="59"/>
      <x:c r="T63" s="59"/>
      <x:c r="U63" s="59"/>
      <x:c r="V63" s="59"/>
      <x:c r="W63" s="59"/>
      <x:c r="X63" s="59"/>
      <x:c r="Y63" s="59"/>
      <x:c r="Z63" s="59"/>
      <x:c r="AA63" s="59"/>
      <x:c r="AB63" s="59"/>
      <x:c r="AC63" s="59"/>
      <x:c r="AD63" s="59"/>
      <x:c r="AE63" s="59"/>
      <x:c r="AF63" s="59"/>
      <x:c r="AG63" s="59"/>
      <x:c r="AH63" s="59"/>
      <x:c r="AI63" s="59"/>
      <x:c r="AJ63" s="59"/>
      <x:c r="AK63" s="59"/>
      <x:c r="AL63" s="59"/>
      <x:c r="AM63" s="59"/>
      <x:c r="AN63" s="59"/>
    </x:row>
    <x:row r="64">
      <x:c r="A64" s="59"/>
      <x:c r="B64" s="59"/>
      <x:c r="C64" s="59"/>
      <x:c r="D64" s="59"/>
      <x:c r="E64" s="59"/>
      <x:c r="F64" s="59"/>
      <x:c r="G64" s="59"/>
      <x:c r="H64" s="59"/>
      <x:c r="I64" s="59"/>
      <x:c r="J64" s="59"/>
      <x:c r="K64" s="59"/>
      <x:c r="L64" s="59"/>
      <x:c r="M64" s="59"/>
      <x:c r="N64" s="59"/>
      <x:c r="O64" s="59"/>
      <x:c r="P64" s="59"/>
      <x:c r="Q64" s="59"/>
      <x:c r="R64" s="59"/>
      <x:c r="S64" s="59"/>
      <x:c r="T64" s="59"/>
      <x:c r="U64" s="59"/>
      <x:c r="V64" s="59"/>
      <x:c r="W64" s="59"/>
      <x:c r="X64" s="59"/>
      <x:c r="Y64" s="59"/>
      <x:c r="Z64" s="59"/>
      <x:c r="AA64" s="59"/>
      <x:c r="AB64" s="59"/>
      <x:c r="AC64" s="59"/>
      <x:c r="AD64" s="59"/>
      <x:c r="AE64" s="59"/>
      <x:c r="AF64" s="59"/>
      <x:c r="AG64" s="59"/>
      <x:c r="AH64" s="59"/>
      <x:c r="AI64" s="59"/>
      <x:c r="AJ64" s="59"/>
      <x:c r="AK64" s="59"/>
      <x:c r="AL64" s="59"/>
      <x:c r="AM64" s="59"/>
      <x:c r="AN64" s="59"/>
    </x:row>
    <x:row r="65">
      <x:c r="A65" s="59"/>
      <x:c r="B65" s="59"/>
      <x:c r="C65" s="59"/>
      <x:c r="D65" s="59"/>
      <x:c r="E65" s="59"/>
      <x:c r="F65" s="59"/>
      <x:c r="G65" s="59"/>
      <x:c r="H65" s="59"/>
      <x:c r="I65" s="59"/>
      <x:c r="J65" s="59"/>
      <x:c r="K65" s="59"/>
      <x:c r="L65" s="59"/>
      <x:c r="M65" s="59"/>
      <x:c r="N65" s="59"/>
      <x:c r="O65" s="59"/>
      <x:c r="P65" s="59"/>
      <x:c r="Q65" s="59"/>
      <x:c r="R65" s="59"/>
      <x:c r="S65" s="59"/>
      <x:c r="T65" s="59"/>
      <x:c r="U65" s="59"/>
      <x:c r="V65" s="59"/>
      <x:c r="W65" s="59"/>
      <x:c r="X65" s="59"/>
      <x:c r="Y65" s="59"/>
      <x:c r="Z65" s="59"/>
      <x:c r="AA65" s="59"/>
      <x:c r="AB65" s="59"/>
      <x:c r="AC65" s="59"/>
      <x:c r="AD65" s="59"/>
      <x:c r="AE65" s="59"/>
      <x:c r="AF65" s="59"/>
      <x:c r="AG65" s="59"/>
      <x:c r="AH65" s="59"/>
      <x:c r="AI65" s="59"/>
      <x:c r="AJ65" s="59"/>
      <x:c r="AK65" s="59"/>
      <x:c r="AL65" s="59"/>
      <x:c r="AM65" s="59"/>
      <x:c r="AN65" s="59"/>
    </x:row>
    <x:row r="66">
      <x:c r="A66" s="59"/>
      <x:c r="B66" s="59"/>
      <x:c r="C66" s="59"/>
      <x:c r="D66" s="59"/>
      <x:c r="E66" s="59"/>
      <x:c r="F66" s="59"/>
      <x:c r="G66" s="59"/>
      <x:c r="H66" s="59"/>
      <x:c r="I66" s="59"/>
      <x:c r="J66" s="59"/>
      <x:c r="K66" s="59"/>
      <x:c r="L66" s="59"/>
      <x:c r="M66" s="59"/>
      <x:c r="N66" s="59"/>
      <x:c r="O66" s="59"/>
      <x:c r="P66" s="59"/>
      <x:c r="Q66" s="59"/>
      <x:c r="R66" s="59"/>
      <x:c r="S66" s="59"/>
      <x:c r="T66" s="59"/>
      <x:c r="U66" s="59"/>
      <x:c r="V66" s="59"/>
      <x:c r="W66" s="59"/>
      <x:c r="X66" s="59"/>
      <x:c r="Y66" s="59"/>
      <x:c r="Z66" s="59"/>
      <x:c r="AA66" s="59"/>
      <x:c r="AB66" s="59"/>
      <x:c r="AC66" s="59"/>
      <x:c r="AD66" s="59"/>
      <x:c r="AE66" s="59"/>
      <x:c r="AF66" s="59"/>
      <x:c r="AG66" s="59"/>
      <x:c r="AH66" s="59"/>
      <x:c r="AI66" s="59"/>
      <x:c r="AJ66" s="59"/>
      <x:c r="AK66" s="59"/>
      <x:c r="AL66" s="59"/>
      <x:c r="AM66" s="59"/>
      <x:c r="AN66" s="59"/>
    </x:row>
    <x:row r="67">
      <x:c r="A67" s="59"/>
      <x:c r="B67" s="59"/>
      <x:c r="C67" s="59"/>
      <x:c r="D67" s="59"/>
      <x:c r="E67" s="59"/>
      <x:c r="F67" s="59"/>
      <x:c r="G67" s="59"/>
      <x:c r="H67" s="59"/>
      <x:c r="I67" s="59"/>
      <x:c r="J67" s="59"/>
      <x:c r="K67" s="59"/>
      <x:c r="L67" s="59"/>
      <x:c r="M67" s="59"/>
      <x:c r="N67" s="59"/>
      <x:c r="O67" s="59"/>
      <x:c r="P67" s="59"/>
      <x:c r="Q67" s="59"/>
      <x:c r="R67" s="59"/>
      <x:c r="S67" s="59"/>
      <x:c r="T67" s="59"/>
      <x:c r="U67" s="59"/>
      <x:c r="V67" s="59"/>
      <x:c r="W67" s="59"/>
      <x:c r="X67" s="59"/>
      <x:c r="Y67" s="59"/>
      <x:c r="Z67" s="59"/>
      <x:c r="AA67" s="59"/>
      <x:c r="AB67" s="59"/>
      <x:c r="AC67" s="59"/>
      <x:c r="AD67" s="59"/>
      <x:c r="AE67" s="59"/>
      <x:c r="AF67" s="59"/>
      <x:c r="AG67" s="59"/>
      <x:c r="AH67" s="59"/>
      <x:c r="AI67" s="59"/>
      <x:c r="AJ67" s="59"/>
      <x:c r="AK67" s="59"/>
      <x:c r="AL67" s="59"/>
      <x:c r="AM67" s="59"/>
      <x:c r="AN67" s="59"/>
    </x:row>
    <x:row r="68">
      <x:c r="A68" s="59"/>
      <x:c r="B68" s="59"/>
      <x:c r="C68" s="59"/>
      <x:c r="D68" s="59"/>
      <x:c r="E68" s="59"/>
      <x:c r="F68" s="59"/>
      <x:c r="G68" s="59"/>
      <x:c r="H68" s="59"/>
      <x:c r="I68" s="59"/>
      <x:c r="J68" s="59"/>
      <x:c r="K68" s="59"/>
      <x:c r="L68" s="59"/>
      <x:c r="M68" s="59"/>
      <x:c r="N68" s="59"/>
      <x:c r="O68" s="59"/>
      <x:c r="P68" s="59"/>
      <x:c r="Q68" s="59"/>
      <x:c r="R68" s="59"/>
      <x:c r="S68" s="59"/>
      <x:c r="T68" s="59"/>
      <x:c r="U68" s="59"/>
      <x:c r="V68" s="59"/>
      <x:c r="W68" s="59"/>
      <x:c r="X68" s="59"/>
      <x:c r="Y68" s="59"/>
      <x:c r="Z68" s="59"/>
      <x:c r="AA68" s="59"/>
      <x:c r="AB68" s="59"/>
      <x:c r="AC68" s="59"/>
      <x:c r="AD68" s="59"/>
      <x:c r="AE68" s="59"/>
      <x:c r="AF68" s="59"/>
      <x:c r="AG68" s="59"/>
      <x:c r="AH68" s="59"/>
      <x:c r="AI68" s="59"/>
      <x:c r="AJ68" s="59"/>
      <x:c r="AK68" s="59"/>
      <x:c r="AL68" s="59"/>
      <x:c r="AM68" s="59"/>
      <x:c r="AN68" s="59"/>
    </x:row>
    <x:row r="69">
      <x:c r="A69" s="59"/>
      <x:c r="B69" s="59"/>
      <x:c r="C69" s="59"/>
      <x:c r="D69" s="59"/>
      <x:c r="E69" s="59"/>
      <x:c r="F69" s="59"/>
      <x:c r="G69" s="59"/>
      <x:c r="H69" s="59"/>
      <x:c r="I69" s="59"/>
      <x:c r="J69" s="59"/>
      <x:c r="K69" s="59"/>
      <x:c r="L69" s="59"/>
      <x:c r="M69" s="59"/>
      <x:c r="N69" s="59"/>
      <x:c r="O69" s="59"/>
      <x:c r="P69" s="59"/>
      <x:c r="Q69" s="59"/>
      <x:c r="R69" s="59"/>
      <x:c r="S69" s="59"/>
      <x:c r="T69" s="59"/>
      <x:c r="U69" s="59"/>
      <x:c r="V69" s="59"/>
      <x:c r="W69" s="59"/>
      <x:c r="X69" s="59"/>
      <x:c r="Y69" s="59"/>
      <x:c r="Z69" s="59"/>
      <x:c r="AA69" s="59"/>
      <x:c r="AB69" s="59"/>
      <x:c r="AC69" s="59"/>
      <x:c r="AD69" s="59"/>
      <x:c r="AE69" s="59"/>
      <x:c r="AF69" s="59"/>
      <x:c r="AG69" s="59"/>
      <x:c r="AH69" s="59"/>
      <x:c r="AI69" s="59"/>
      <x:c r="AJ69" s="59"/>
      <x:c r="AK69" s="59"/>
      <x:c r="AL69" s="59"/>
      <x:c r="AM69" s="59"/>
      <x:c r="AN69" s="59"/>
    </x:row>
    <x:row r="70">
      <x:c r="A70" s="59"/>
      <x:c r="B70" s="59"/>
      <x:c r="C70" s="59"/>
      <x:c r="D70" s="59"/>
      <x:c r="E70" s="59"/>
      <x:c r="F70" s="59"/>
      <x:c r="G70" s="59"/>
      <x:c r="H70" s="59"/>
      <x:c r="I70" s="59"/>
      <x:c r="J70" s="59"/>
      <x:c r="K70" s="59"/>
      <x:c r="L70" s="59"/>
      <x:c r="M70" s="59"/>
      <x:c r="N70" s="59"/>
      <x:c r="O70" s="59"/>
      <x:c r="P70" s="59"/>
      <x:c r="Q70" s="59"/>
      <x:c r="R70" s="59"/>
      <x:c r="S70" s="59"/>
      <x:c r="T70" s="59"/>
      <x:c r="U70" s="59"/>
      <x:c r="V70" s="59"/>
      <x:c r="W70" s="59"/>
      <x:c r="X70" s="59"/>
      <x:c r="Y70" s="59"/>
      <x:c r="Z70" s="59"/>
      <x:c r="AA70" s="59"/>
      <x:c r="AB70" s="59"/>
      <x:c r="AC70" s="59"/>
      <x:c r="AD70" s="59"/>
      <x:c r="AE70" s="59"/>
      <x:c r="AF70" s="59"/>
      <x:c r="AG70" s="59"/>
      <x:c r="AH70" s="59"/>
      <x:c r="AI70" s="59"/>
      <x:c r="AJ70" s="59"/>
      <x:c r="AK70" s="59"/>
      <x:c r="AL70" s="59"/>
      <x:c r="AM70" s="59"/>
      <x:c r="AN70" s="59"/>
    </x:row>
    <x:row r="71">
      <x:c r="A71" s="59"/>
      <x:c r="B71" s="59"/>
      <x:c r="C71" s="59"/>
      <x:c r="D71" s="59"/>
      <x:c r="E71" s="59"/>
      <x:c r="F71" s="59"/>
      <x:c r="G71" s="59"/>
      <x:c r="H71" s="59"/>
      <x:c r="I71" s="59"/>
      <x:c r="J71" s="59"/>
      <x:c r="K71" s="59"/>
      <x:c r="L71" s="59"/>
      <x:c r="M71" s="59"/>
      <x:c r="N71" s="59"/>
      <x:c r="O71" s="59"/>
      <x:c r="P71" s="59"/>
      <x:c r="Q71" s="59"/>
      <x:c r="R71" s="59"/>
      <x:c r="S71" s="59"/>
      <x:c r="T71" s="59"/>
      <x:c r="U71" s="59"/>
      <x:c r="V71" s="59"/>
      <x:c r="W71" s="59"/>
      <x:c r="X71" s="59"/>
      <x:c r="Y71" s="59"/>
      <x:c r="Z71" s="59"/>
      <x:c r="AA71" s="59"/>
      <x:c r="AB71" s="59"/>
      <x:c r="AC71" s="59"/>
      <x:c r="AD71" s="59"/>
      <x:c r="AE71" s="59"/>
      <x:c r="AF71" s="59"/>
      <x:c r="AG71" s="59"/>
      <x:c r="AH71" s="59"/>
      <x:c r="AI71" s="59"/>
      <x:c r="AJ71" s="59"/>
      <x:c r="AK71" s="59"/>
      <x:c r="AL71" s="59"/>
      <x:c r="AM71" s="59"/>
      <x:c r="AN71" s="59"/>
    </x:row>
    <x:row r="72">
      <x:c r="A72" s="59"/>
      <x:c r="B72" s="59"/>
      <x:c r="C72" s="59"/>
      <x:c r="D72" s="59"/>
      <x:c r="E72" s="59"/>
      <x:c r="F72" s="59"/>
      <x:c r="G72" s="59"/>
      <x:c r="H72" s="59"/>
      <x:c r="I72" s="59"/>
      <x:c r="J72" s="59"/>
      <x:c r="K72" s="59"/>
      <x:c r="L72" s="59"/>
      <x:c r="M72" s="59"/>
      <x:c r="N72" s="59"/>
      <x:c r="O72" s="59"/>
      <x:c r="P72" s="59"/>
      <x:c r="Q72" s="59"/>
      <x:c r="R72" s="59"/>
      <x:c r="S72" s="59"/>
      <x:c r="T72" s="59"/>
      <x:c r="U72" s="59"/>
      <x:c r="V72" s="59"/>
      <x:c r="W72" s="59"/>
      <x:c r="X72" s="59"/>
      <x:c r="Y72" s="59"/>
      <x:c r="Z72" s="59"/>
      <x:c r="AA72" s="59"/>
      <x:c r="AB72" s="59"/>
      <x:c r="AC72" s="59"/>
      <x:c r="AD72" s="59"/>
      <x:c r="AE72" s="59"/>
      <x:c r="AF72" s="59"/>
      <x:c r="AG72" s="59"/>
      <x:c r="AH72" s="59"/>
      <x:c r="AI72" s="59"/>
      <x:c r="AJ72" s="59"/>
      <x:c r="AK72" s="59"/>
      <x:c r="AL72" s="59"/>
      <x:c r="AM72" s="59"/>
      <x:c r="AN72" s="59"/>
    </x:row>
    <x:row r="73">
      <x:c r="A73" s="59"/>
      <x:c r="B73" s="59"/>
      <x:c r="C73" s="59"/>
      <x:c r="D73" s="59"/>
      <x:c r="E73" s="59"/>
      <x:c r="F73" s="59"/>
      <x:c r="G73" s="59"/>
      <x:c r="H73" s="59"/>
      <x:c r="I73" s="59"/>
      <x:c r="J73" s="59"/>
      <x:c r="K73" s="59"/>
      <x:c r="L73" s="59"/>
      <x:c r="M73" s="59"/>
      <x:c r="N73" s="59"/>
      <x:c r="O73" s="59"/>
      <x:c r="P73" s="59"/>
      <x:c r="Q73" s="59"/>
      <x:c r="R73" s="59"/>
      <x:c r="S73" s="59"/>
      <x:c r="T73" s="59"/>
      <x:c r="U73" s="59"/>
      <x:c r="V73" s="59"/>
      <x:c r="W73" s="59"/>
      <x:c r="X73" s="59"/>
      <x:c r="Y73" s="59"/>
      <x:c r="Z73" s="59"/>
      <x:c r="AA73" s="59"/>
      <x:c r="AB73" s="59"/>
      <x:c r="AC73" s="59"/>
      <x:c r="AD73" s="59"/>
      <x:c r="AE73" s="59"/>
      <x:c r="AF73" s="59"/>
      <x:c r="AG73" s="59"/>
      <x:c r="AH73" s="59"/>
      <x:c r="AI73" s="59"/>
      <x:c r="AJ73" s="59"/>
      <x:c r="AK73" s="59"/>
      <x:c r="AL73" s="59"/>
      <x:c r="AM73" s="59"/>
      <x:c r="AN73" s="59"/>
    </x:row>
    <x:row r="74">
      <x:c r="A74" s="59"/>
      <x:c r="B74" s="59"/>
      <x:c r="C74" s="59"/>
      <x:c r="D74" s="59"/>
      <x:c r="E74" s="59"/>
      <x:c r="F74" s="59"/>
      <x:c r="G74" s="59"/>
      <x:c r="H74" s="59"/>
      <x:c r="I74" s="59"/>
      <x:c r="J74" s="59"/>
      <x:c r="K74" s="59"/>
      <x:c r="L74" s="59"/>
      <x:c r="M74" s="59"/>
      <x:c r="N74" s="59"/>
      <x:c r="O74" s="59"/>
      <x:c r="P74" s="59"/>
      <x:c r="Q74" s="59"/>
      <x:c r="R74" s="59"/>
      <x:c r="S74" s="59"/>
      <x:c r="T74" s="59"/>
      <x:c r="U74" s="59"/>
      <x:c r="V74" s="59"/>
      <x:c r="W74" s="59"/>
      <x:c r="X74" s="59"/>
      <x:c r="Y74" s="59"/>
      <x:c r="Z74" s="59"/>
      <x:c r="AA74" s="59"/>
      <x:c r="AB74" s="59"/>
      <x:c r="AC74" s="59"/>
      <x:c r="AD74" s="59"/>
      <x:c r="AE74" s="59"/>
      <x:c r="AF74" s="59"/>
      <x:c r="AG74" s="59"/>
      <x:c r="AH74" s="59"/>
      <x:c r="AI74" s="59"/>
      <x:c r="AJ74" s="59"/>
      <x:c r="AK74" s="59"/>
      <x:c r="AL74" s="59"/>
      <x:c r="AM74" s="59"/>
      <x:c r="AN74" s="59"/>
    </x:row>
    <x:row r="75">
      <x:c r="A75" s="59"/>
      <x:c r="B75" s="59"/>
      <x:c r="C75" s="59"/>
      <x:c r="D75" s="59"/>
      <x:c r="E75" s="59"/>
      <x:c r="F75" s="59"/>
      <x:c r="G75" s="59"/>
      <x:c r="H75" s="59"/>
      <x:c r="I75" s="59"/>
      <x:c r="J75" s="59"/>
      <x:c r="K75" s="59"/>
      <x:c r="L75" s="59"/>
      <x:c r="M75" s="59"/>
      <x:c r="N75" s="59"/>
      <x:c r="O75" s="59"/>
      <x:c r="P75" s="59"/>
      <x:c r="Q75" s="59"/>
      <x:c r="R75" s="59"/>
      <x:c r="S75" s="59"/>
      <x:c r="T75" s="59"/>
      <x:c r="U75" s="59"/>
      <x:c r="V75" s="59"/>
      <x:c r="W75" s="59"/>
      <x:c r="X75" s="59"/>
      <x:c r="Y75" s="59"/>
      <x:c r="Z75" s="59"/>
      <x:c r="AA75" s="59"/>
      <x:c r="AB75" s="59"/>
      <x:c r="AC75" s="59"/>
      <x:c r="AD75" s="59"/>
      <x:c r="AE75" s="59"/>
      <x:c r="AF75" s="59"/>
      <x:c r="AG75" s="59"/>
      <x:c r="AH75" s="59"/>
      <x:c r="AI75" s="59"/>
      <x:c r="AJ75" s="59"/>
      <x:c r="AK75" s="59"/>
      <x:c r="AL75" s="59"/>
      <x:c r="AM75" s="59"/>
      <x:c r="AN75" s="59"/>
    </x:row>
    <x:row r="76">
      <x:c r="A76" s="59"/>
      <x:c r="B76" s="59"/>
      <x:c r="C76" s="59"/>
      <x:c r="D76" s="59"/>
      <x:c r="E76" s="59"/>
      <x:c r="F76" s="59"/>
      <x:c r="G76" s="59"/>
      <x:c r="H76" s="59"/>
      <x:c r="I76" s="59"/>
      <x:c r="J76" s="59"/>
      <x:c r="K76" s="59"/>
      <x:c r="L76" s="59"/>
      <x:c r="M76" s="59"/>
      <x:c r="N76" s="59"/>
      <x:c r="O76" s="59"/>
      <x:c r="P76" s="59"/>
      <x:c r="Q76" s="59"/>
      <x:c r="R76" s="59"/>
      <x:c r="S76" s="59"/>
      <x:c r="T76" s="59"/>
      <x:c r="U76" s="59"/>
      <x:c r="V76" s="59"/>
      <x:c r="W76" s="59"/>
      <x:c r="X76" s="59"/>
      <x:c r="Y76" s="59"/>
      <x:c r="Z76" s="59"/>
      <x:c r="AA76" s="59"/>
      <x:c r="AB76" s="59"/>
      <x:c r="AC76" s="59"/>
      <x:c r="AD76" s="59"/>
      <x:c r="AE76" s="59"/>
      <x:c r="AF76" s="59"/>
      <x:c r="AG76" s="59"/>
      <x:c r="AH76" s="59"/>
      <x:c r="AI76" s="59"/>
      <x:c r="AJ76" s="59"/>
      <x:c r="AK76" s="59"/>
      <x:c r="AL76" s="59"/>
      <x:c r="AM76" s="59"/>
      <x:c r="AN76" s="59"/>
    </x:row>
    <x:row r="77">
      <x:c r="A77" s="59"/>
      <x:c r="B77" s="59"/>
      <x:c r="C77" s="59"/>
      <x:c r="D77" s="59"/>
      <x:c r="E77" s="59"/>
      <x:c r="F77" s="59"/>
      <x:c r="G77" s="59"/>
      <x:c r="H77" s="59"/>
      <x:c r="I77" s="59"/>
      <x:c r="J77" s="59"/>
      <x:c r="K77" s="59"/>
      <x:c r="L77" s="59"/>
      <x:c r="M77" s="59"/>
      <x:c r="N77" s="59"/>
      <x:c r="O77" s="59"/>
      <x:c r="P77" s="59"/>
      <x:c r="Q77" s="59"/>
      <x:c r="R77" s="59"/>
      <x:c r="S77" s="59"/>
      <x:c r="T77" s="59"/>
      <x:c r="U77" s="59"/>
      <x:c r="V77" s="59"/>
      <x:c r="W77" s="59"/>
      <x:c r="X77" s="59"/>
      <x:c r="Y77" s="59"/>
      <x:c r="Z77" s="59"/>
      <x:c r="AA77" s="59"/>
      <x:c r="AB77" s="59"/>
      <x:c r="AC77" s="59"/>
      <x:c r="AD77" s="59"/>
      <x:c r="AE77" s="59"/>
      <x:c r="AF77" s="59"/>
      <x:c r="AG77" s="59"/>
      <x:c r="AH77" s="59"/>
      <x:c r="AI77" s="59"/>
      <x:c r="AJ77" s="59"/>
      <x:c r="AK77" s="59"/>
      <x:c r="AL77" s="59"/>
      <x:c r="AM77" s="59"/>
      <x:c r="AN77" s="59"/>
    </x:row>
    <x:row r="78">
      <x:c r="A78" s="59"/>
      <x:c r="B78" s="59"/>
      <x:c r="C78" s="59"/>
      <x:c r="D78" s="59"/>
      <x:c r="E78" s="59"/>
      <x:c r="F78" s="59"/>
      <x:c r="G78" s="59"/>
      <x:c r="H78" s="59"/>
      <x:c r="I78" s="59"/>
      <x:c r="J78" s="59"/>
      <x:c r="K78" s="59"/>
      <x:c r="L78" s="59"/>
      <x:c r="M78" s="59"/>
      <x:c r="N78" s="59"/>
      <x:c r="O78" s="59"/>
      <x:c r="P78" s="59"/>
      <x:c r="Q78" s="59"/>
      <x:c r="R78" s="59"/>
      <x:c r="S78" s="59"/>
      <x:c r="T78" s="59"/>
      <x:c r="U78" s="59"/>
      <x:c r="V78" s="59"/>
      <x:c r="W78" s="59"/>
      <x:c r="X78" s="59"/>
      <x:c r="Y78" s="59"/>
      <x:c r="Z78" s="59"/>
      <x:c r="AA78" s="59"/>
      <x:c r="AB78" s="59"/>
      <x:c r="AC78" s="59"/>
      <x:c r="AD78" s="59"/>
      <x:c r="AE78" s="59"/>
      <x:c r="AF78" s="59"/>
      <x:c r="AG78" s="59"/>
      <x:c r="AH78" s="59"/>
      <x:c r="AI78" s="59"/>
      <x:c r="AJ78" s="59"/>
      <x:c r="AK78" s="59"/>
      <x:c r="AL78" s="59"/>
      <x:c r="AM78" s="59"/>
      <x:c r="AN78" s="59"/>
    </x:row>
    <x:row r="79">
      <x:c r="A79" s="59"/>
      <x:c r="B79" s="59"/>
      <x:c r="C79" s="59"/>
      <x:c r="D79" s="59"/>
      <x:c r="E79" s="59"/>
      <x:c r="F79" s="59"/>
      <x:c r="G79" s="59"/>
      <x:c r="H79" s="59"/>
      <x:c r="I79" s="59"/>
      <x:c r="J79" s="59"/>
      <x:c r="K79" s="59"/>
      <x:c r="L79" s="59"/>
      <x:c r="M79" s="59"/>
      <x:c r="N79" s="59"/>
      <x:c r="O79" s="59"/>
      <x:c r="P79" s="59"/>
      <x:c r="Q79" s="59"/>
      <x:c r="R79" s="59"/>
      <x:c r="S79" s="59"/>
      <x:c r="T79" s="59"/>
      <x:c r="U79" s="59"/>
      <x:c r="V79" s="59"/>
      <x:c r="W79" s="59"/>
      <x:c r="X79" s="59"/>
      <x:c r="Y79" s="59"/>
      <x:c r="Z79" s="59"/>
      <x:c r="AA79" s="59"/>
      <x:c r="AB79" s="59"/>
      <x:c r="AC79" s="59"/>
      <x:c r="AD79" s="59"/>
      <x:c r="AE79" s="59"/>
      <x:c r="AF79" s="59"/>
      <x:c r="AG79" s="59"/>
      <x:c r="AH79" s="59"/>
      <x:c r="AI79" s="59"/>
      <x:c r="AJ79" s="59"/>
      <x:c r="AK79" s="59"/>
      <x:c r="AL79" s="59"/>
      <x:c r="AM79" s="59"/>
      <x:c r="AN79" s="59"/>
    </x:row>
    <x:row r="80">
      <x:c r="A80" s="59"/>
      <x:c r="B80" s="59"/>
      <x:c r="C80" s="59"/>
      <x:c r="D80" s="59"/>
      <x:c r="E80" s="59"/>
      <x:c r="F80" s="59"/>
      <x:c r="G80" s="59"/>
      <x:c r="H80" s="59"/>
      <x:c r="I80" s="59"/>
      <x:c r="J80" s="59"/>
      <x:c r="K80" s="59"/>
      <x:c r="L80" s="59"/>
      <x:c r="M80" s="59"/>
      <x:c r="N80" s="59"/>
      <x:c r="O80" s="59"/>
      <x:c r="P80" s="59"/>
      <x:c r="Q80" s="59"/>
      <x:c r="R80" s="59"/>
      <x:c r="S80" s="59"/>
      <x:c r="T80" s="59"/>
      <x:c r="U80" s="59"/>
      <x:c r="V80" s="59"/>
      <x:c r="W80" s="59"/>
      <x:c r="X80" s="59"/>
      <x:c r="Y80" s="59"/>
      <x:c r="Z80" s="59"/>
      <x:c r="AA80" s="59"/>
      <x:c r="AB80" s="59"/>
      <x:c r="AC80" s="59"/>
      <x:c r="AD80" s="59"/>
      <x:c r="AE80" s="59"/>
      <x:c r="AF80" s="59"/>
      <x:c r="AG80" s="59"/>
      <x:c r="AH80" s="59"/>
      <x:c r="AI80" s="59"/>
      <x:c r="AJ80" s="59"/>
      <x:c r="AK80" s="59"/>
      <x:c r="AL80" s="59"/>
      <x:c r="AM80" s="59"/>
      <x:c r="AN80" s="59"/>
    </x:row>
    <x:row r="81">
      <x:c r="A81" s="59"/>
      <x:c r="B81" s="59"/>
      <x:c r="C81" s="59"/>
      <x:c r="D81" s="59"/>
      <x:c r="E81" s="59"/>
      <x:c r="F81" s="59"/>
      <x:c r="G81" s="59"/>
      <x:c r="H81" s="59"/>
      <x:c r="I81" s="59"/>
      <x:c r="J81" s="59"/>
      <x:c r="K81" s="59"/>
      <x:c r="L81" s="59"/>
      <x:c r="M81" s="59"/>
      <x:c r="N81" s="59"/>
      <x:c r="O81" s="59"/>
      <x:c r="P81" s="59"/>
      <x:c r="Q81" s="59"/>
      <x:c r="R81" s="59"/>
      <x:c r="S81" s="59"/>
      <x:c r="T81" s="59"/>
      <x:c r="U81" s="59"/>
      <x:c r="V81" s="59"/>
      <x:c r="W81" s="59"/>
      <x:c r="X81" s="59"/>
      <x:c r="Y81" s="59"/>
      <x:c r="Z81" s="59"/>
      <x:c r="AA81" s="59"/>
      <x:c r="AB81" s="59"/>
      <x:c r="AC81" s="59"/>
      <x:c r="AD81" s="59"/>
      <x:c r="AE81" s="59"/>
      <x:c r="AF81" s="59"/>
      <x:c r="AG81" s="59"/>
      <x:c r="AH81" s="59"/>
      <x:c r="AI81" s="59"/>
      <x:c r="AJ81" s="59"/>
      <x:c r="AK81" s="59"/>
      <x:c r="AL81" s="59"/>
      <x:c r="AM81" s="59"/>
      <x:c r="AN81" s="59"/>
    </x:row>
    <x:row r="82">
      <x:c r="A82" s="59"/>
      <x:c r="B82" s="59"/>
      <x:c r="C82" s="59"/>
      <x:c r="D82" s="59"/>
      <x:c r="E82" s="59"/>
      <x:c r="F82" s="59"/>
      <x:c r="G82" s="59"/>
      <x:c r="H82" s="59"/>
      <x:c r="I82" s="59"/>
      <x:c r="J82" s="59"/>
      <x:c r="K82" s="59"/>
      <x:c r="L82" s="59"/>
      <x:c r="M82" s="59"/>
      <x:c r="N82" s="59"/>
      <x:c r="O82" s="59"/>
      <x:c r="P82" s="59"/>
      <x:c r="Q82" s="59"/>
      <x:c r="R82" s="59"/>
      <x:c r="S82" s="59"/>
      <x:c r="T82" s="59"/>
      <x:c r="U82" s="59"/>
      <x:c r="V82" s="59"/>
      <x:c r="W82" s="59"/>
      <x:c r="X82" s="59"/>
      <x:c r="Y82" s="59"/>
      <x:c r="Z82" s="59"/>
      <x:c r="AA82" s="59"/>
      <x:c r="AB82" s="59"/>
      <x:c r="AC82" s="59"/>
      <x:c r="AD82" s="59"/>
      <x:c r="AE82" s="59"/>
      <x:c r="AF82" s="59"/>
      <x:c r="AG82" s="59"/>
      <x:c r="AH82" s="59"/>
      <x:c r="AI82" s="59"/>
      <x:c r="AJ82" s="59"/>
      <x:c r="AK82" s="59"/>
      <x:c r="AL82" s="59"/>
      <x:c r="AM82" s="59"/>
      <x:c r="AN82" s="59"/>
    </x:row>
    <x:row r="83">
      <x:c r="A83" s="59"/>
      <x:c r="B83" s="59"/>
      <x:c r="C83" s="59"/>
      <x:c r="D83" s="59"/>
      <x:c r="E83" s="59"/>
      <x:c r="F83" s="59"/>
      <x:c r="G83" s="59"/>
      <x:c r="H83" s="59"/>
      <x:c r="I83" s="59"/>
      <x:c r="J83" s="59"/>
      <x:c r="K83" s="59"/>
      <x:c r="L83" s="59"/>
      <x:c r="M83" s="59"/>
      <x:c r="N83" s="59"/>
      <x:c r="O83" s="59"/>
      <x:c r="P83" s="59"/>
      <x:c r="Q83" s="59"/>
      <x:c r="R83" s="59"/>
      <x:c r="S83" s="59"/>
      <x:c r="T83" s="59"/>
      <x:c r="U83" s="59"/>
      <x:c r="V83" s="59"/>
      <x:c r="W83" s="59"/>
      <x:c r="X83" s="59"/>
      <x:c r="Y83" s="59"/>
      <x:c r="Z83" s="59"/>
      <x:c r="AA83" s="59"/>
      <x:c r="AB83" s="59"/>
      <x:c r="AC83" s="59"/>
      <x:c r="AD83" s="59"/>
      <x:c r="AE83" s="59"/>
      <x:c r="AF83" s="59"/>
      <x:c r="AG83" s="59"/>
      <x:c r="AH83" s="59"/>
      <x:c r="AI83" s="59"/>
      <x:c r="AJ83" s="59"/>
      <x:c r="AK83" s="59"/>
      <x:c r="AL83" s="59"/>
      <x:c r="AM83" s="59"/>
      <x:c r="AN83" s="59"/>
    </x:row>
    <x:row r="84">
      <x:c r="A84" s="59"/>
      <x:c r="B84" s="59"/>
      <x:c r="C84" s="59"/>
      <x:c r="D84" s="59"/>
      <x:c r="E84" s="59"/>
      <x:c r="F84" s="59"/>
      <x:c r="G84" s="59"/>
      <x:c r="H84" s="59"/>
      <x:c r="I84" s="59"/>
      <x:c r="J84" s="59"/>
      <x:c r="K84" s="59"/>
      <x:c r="L84" s="59"/>
      <x:c r="M84" s="59"/>
      <x:c r="N84" s="59"/>
      <x:c r="O84" s="59"/>
      <x:c r="P84" s="59"/>
      <x:c r="Q84" s="59"/>
      <x:c r="R84" s="59"/>
      <x:c r="S84" s="59"/>
      <x:c r="T84" s="59"/>
      <x:c r="U84" s="59"/>
      <x:c r="V84" s="59"/>
      <x:c r="W84" s="59"/>
      <x:c r="X84" s="59"/>
      <x:c r="Y84" s="59"/>
      <x:c r="Z84" s="59"/>
      <x:c r="AA84" s="59"/>
      <x:c r="AB84" s="59"/>
      <x:c r="AC84" s="59"/>
      <x:c r="AD84" s="59"/>
      <x:c r="AE84" s="59"/>
      <x:c r="AF84" s="59"/>
      <x:c r="AG84" s="59"/>
      <x:c r="AH84" s="59"/>
      <x:c r="AI84" s="59"/>
      <x:c r="AJ84" s="59"/>
      <x:c r="AK84" s="59"/>
      <x:c r="AL84" s="59"/>
      <x:c r="AM84" s="59"/>
      <x:c r="AN84" s="59"/>
    </x:row>
    <x:row r="85">
      <x:c r="A85" s="59"/>
      <x:c r="B85" s="59"/>
      <x:c r="C85" s="59"/>
      <x:c r="D85" s="59"/>
      <x:c r="E85" s="59"/>
      <x:c r="F85" s="59"/>
      <x:c r="G85" s="59"/>
      <x:c r="H85" s="59"/>
      <x:c r="I85" s="59"/>
      <x:c r="J85" s="59"/>
      <x:c r="K85" s="59"/>
      <x:c r="L85" s="59"/>
      <x:c r="M85" s="59"/>
      <x:c r="N85" s="59"/>
      <x:c r="O85" s="59"/>
      <x:c r="P85" s="59"/>
      <x:c r="Q85" s="59"/>
      <x:c r="R85" s="59"/>
      <x:c r="S85" s="59"/>
      <x:c r="T85" s="59"/>
      <x:c r="U85" s="59"/>
      <x:c r="V85" s="59"/>
      <x:c r="W85" s="59"/>
      <x:c r="X85" s="59"/>
      <x:c r="Y85" s="59"/>
      <x:c r="Z85" s="59"/>
      <x:c r="AA85" s="59"/>
      <x:c r="AB85" s="59"/>
      <x:c r="AC85" s="59"/>
      <x:c r="AD85" s="59"/>
      <x:c r="AE85" s="59"/>
      <x:c r="AF85" s="59"/>
      <x:c r="AG85" s="59"/>
      <x:c r="AH85" s="59"/>
      <x:c r="AI85" s="59"/>
      <x:c r="AJ85" s="59"/>
      <x:c r="AK85" s="59"/>
      <x:c r="AL85" s="59"/>
      <x:c r="AM85" s="59"/>
      <x:c r="AN85" s="59"/>
    </x:row>
    <x:row r="86">
      <x:c r="A86" s="59"/>
      <x:c r="B86" s="59"/>
      <x:c r="C86" s="59"/>
      <x:c r="D86" s="59"/>
      <x:c r="E86" s="59"/>
      <x:c r="F86" s="59"/>
      <x:c r="G86" s="59"/>
      <x:c r="H86" s="59"/>
      <x:c r="I86" s="59"/>
      <x:c r="J86" s="59"/>
      <x:c r="K86" s="59"/>
      <x:c r="L86" s="59"/>
      <x:c r="M86" s="59"/>
      <x:c r="N86" s="59"/>
      <x:c r="O86" s="59"/>
      <x:c r="P86" s="59"/>
      <x:c r="Q86" s="59"/>
      <x:c r="R86" s="59"/>
      <x:c r="S86" s="59"/>
      <x:c r="T86" s="59"/>
      <x:c r="U86" s="59"/>
      <x:c r="V86" s="59"/>
      <x:c r="W86" s="59"/>
      <x:c r="X86" s="59"/>
      <x:c r="Y86" s="59"/>
      <x:c r="Z86" s="59"/>
      <x:c r="AA86" s="59"/>
      <x:c r="AB86" s="59"/>
      <x:c r="AC86" s="59"/>
      <x:c r="AD86" s="59"/>
      <x:c r="AE86" s="59"/>
      <x:c r="AF86" s="59"/>
      <x:c r="AG86" s="59"/>
      <x:c r="AH86" s="59"/>
      <x:c r="AI86" s="59"/>
      <x:c r="AJ86" s="59"/>
      <x:c r="AK86" s="59"/>
      <x:c r="AL86" s="59"/>
      <x:c r="AM86" s="59"/>
      <x:c r="AN86" s="59"/>
    </x:row>
    <x:row r="87">
      <x:c r="A87" s="59"/>
      <x:c r="B87" s="59"/>
      <x:c r="C87" s="59"/>
      <x:c r="D87" s="59"/>
      <x:c r="E87" s="59"/>
      <x:c r="F87" s="59"/>
      <x:c r="G87" s="59"/>
      <x:c r="H87" s="59"/>
      <x:c r="I87" s="59"/>
      <x:c r="J87" s="59"/>
      <x:c r="K87" s="59"/>
      <x:c r="L87" s="59"/>
      <x:c r="M87" s="59"/>
      <x:c r="N87" s="59"/>
      <x:c r="O87" s="59"/>
      <x:c r="P87" s="59"/>
      <x:c r="Q87" s="59"/>
      <x:c r="R87" s="59"/>
      <x:c r="S87" s="59"/>
      <x:c r="T87" s="59"/>
      <x:c r="U87" s="59"/>
      <x:c r="V87" s="59"/>
      <x:c r="W87" s="59"/>
      <x:c r="X87" s="59"/>
      <x:c r="Y87" s="59"/>
      <x:c r="Z87" s="59"/>
      <x:c r="AA87" s="59"/>
      <x:c r="AB87" s="59"/>
      <x:c r="AC87" s="59"/>
      <x:c r="AD87" s="59"/>
      <x:c r="AE87" s="59"/>
      <x:c r="AF87" s="59"/>
      <x:c r="AG87" s="59"/>
      <x:c r="AH87" s="59"/>
      <x:c r="AI87" s="59"/>
      <x:c r="AJ87" s="59"/>
      <x:c r="AK87" s="59"/>
      <x:c r="AL87" s="59"/>
      <x:c r="AM87" s="59"/>
      <x:c r="AN87" s="59"/>
    </x:row>
    <x:row r="88">
      <x:c r="A88" s="59"/>
      <x:c r="B88" s="59"/>
      <x:c r="C88" s="59"/>
      <x:c r="D88" s="59"/>
      <x:c r="E88" s="59"/>
      <x:c r="F88" s="59"/>
      <x:c r="G88" s="59"/>
      <x:c r="H88" s="59"/>
      <x:c r="I88" s="59"/>
      <x:c r="J88" s="59"/>
      <x:c r="K88" s="59"/>
      <x:c r="L88" s="59"/>
      <x:c r="M88" s="59"/>
      <x:c r="N88" s="59"/>
      <x:c r="O88" s="59"/>
      <x:c r="P88" s="59"/>
      <x:c r="Q88" s="59"/>
      <x:c r="R88" s="59"/>
      <x:c r="S88" s="59"/>
      <x:c r="T88" s="59"/>
      <x:c r="U88" s="59"/>
      <x:c r="V88" s="59"/>
      <x:c r="W88" s="59"/>
      <x:c r="X88" s="59"/>
      <x:c r="Y88" s="59"/>
      <x:c r="Z88" s="59"/>
      <x:c r="AA88" s="59"/>
      <x:c r="AB88" s="59"/>
      <x:c r="AC88" s="59"/>
      <x:c r="AD88" s="59"/>
      <x:c r="AE88" s="59"/>
      <x:c r="AF88" s="59"/>
      <x:c r="AG88" s="59"/>
      <x:c r="AH88" s="59"/>
      <x:c r="AI88" s="59"/>
      <x:c r="AJ88" s="59"/>
      <x:c r="AK88" s="59"/>
      <x:c r="AL88" s="59"/>
      <x:c r="AM88" s="59"/>
      <x:c r="AN88" s="59"/>
    </x:row>
    <x:row r="89">
      <x:c r="A89" s="59"/>
      <x:c r="B89" s="59"/>
      <x:c r="C89" s="59"/>
      <x:c r="D89" s="59"/>
      <x:c r="E89" s="59"/>
      <x:c r="F89" s="59"/>
      <x:c r="G89" s="59"/>
      <x:c r="H89" s="59"/>
      <x:c r="I89" s="59"/>
      <x:c r="J89" s="59"/>
      <x:c r="K89" s="59"/>
      <x:c r="L89" s="59"/>
      <x:c r="M89" s="59"/>
      <x:c r="N89" s="59"/>
      <x:c r="O89" s="59"/>
      <x:c r="P89" s="59"/>
      <x:c r="Q89" s="59"/>
      <x:c r="R89" s="59"/>
      <x:c r="S89" s="59"/>
      <x:c r="T89" s="59"/>
      <x:c r="U89" s="59"/>
      <x:c r="V89" s="59"/>
      <x:c r="W89" s="59"/>
      <x:c r="X89" s="59"/>
      <x:c r="Y89" s="59"/>
      <x:c r="Z89" s="59"/>
      <x:c r="AA89" s="59"/>
      <x:c r="AB89" s="59"/>
      <x:c r="AC89" s="59"/>
      <x:c r="AD89" s="59"/>
      <x:c r="AE89" s="59"/>
      <x:c r="AF89" s="59"/>
      <x:c r="AG89" s="59"/>
      <x:c r="AH89" s="59"/>
      <x:c r="AI89" s="59"/>
      <x:c r="AJ89" s="59"/>
      <x:c r="AK89" s="59"/>
      <x:c r="AL89" s="59"/>
      <x:c r="AM89" s="59"/>
      <x:c r="AN89" s="59"/>
    </x:row>
    <x:row r="90">
      <x:c r="A90" s="59"/>
      <x:c r="B90" s="59"/>
      <x:c r="C90" s="59"/>
      <x:c r="D90" s="59"/>
      <x:c r="E90" s="59"/>
      <x:c r="F90" s="59"/>
      <x:c r="G90" s="59"/>
      <x:c r="H90" s="59"/>
      <x:c r="I90" s="59"/>
      <x:c r="J90" s="59"/>
      <x:c r="K90" s="59"/>
      <x:c r="L90" s="59"/>
      <x:c r="M90" s="59"/>
      <x:c r="N90" s="59"/>
      <x:c r="O90" s="59"/>
      <x:c r="P90" s="59"/>
      <x:c r="Q90" s="59"/>
      <x:c r="R90" s="59"/>
      <x:c r="S90" s="59"/>
      <x:c r="T90" s="59"/>
      <x:c r="U90" s="59"/>
      <x:c r="V90" s="59"/>
      <x:c r="W90" s="59"/>
      <x:c r="X90" s="59"/>
      <x:c r="Y90" s="59"/>
      <x:c r="Z90" s="59"/>
      <x:c r="AA90" s="59"/>
      <x:c r="AB90" s="59"/>
      <x:c r="AC90" s="59"/>
      <x:c r="AD90" s="59"/>
      <x:c r="AE90" s="59"/>
      <x:c r="AF90" s="59"/>
      <x:c r="AG90" s="59"/>
      <x:c r="AH90" s="59"/>
      <x:c r="AI90" s="59"/>
      <x:c r="AJ90" s="59"/>
      <x:c r="AK90" s="59"/>
      <x:c r="AL90" s="59"/>
      <x:c r="AM90" s="59"/>
      <x:c r="AN90" s="59"/>
    </x:row>
    <x:row r="91">
      <x:c r="A91" s="59"/>
      <x:c r="B91" s="59"/>
      <x:c r="C91" s="59"/>
      <x:c r="D91" s="59"/>
      <x:c r="E91" s="59"/>
      <x:c r="F91" s="59"/>
      <x:c r="G91" s="59"/>
      <x:c r="H91" s="59"/>
      <x:c r="I91" s="59"/>
      <x:c r="J91" s="59"/>
      <x:c r="K91" s="59"/>
      <x:c r="L91" s="59"/>
      <x:c r="M91" s="59"/>
      <x:c r="N91" s="59"/>
      <x:c r="O91" s="59"/>
      <x:c r="P91" s="59"/>
      <x:c r="Q91" s="59"/>
      <x:c r="R91" s="59"/>
      <x:c r="S91" s="59"/>
      <x:c r="T91" s="59"/>
      <x:c r="U91" s="59"/>
      <x:c r="V91" s="59"/>
      <x:c r="W91" s="59"/>
      <x:c r="X91" s="59"/>
      <x:c r="Y91" s="59"/>
      <x:c r="Z91" s="59"/>
      <x:c r="AA91" s="59"/>
      <x:c r="AB91" s="59"/>
      <x:c r="AC91" s="59"/>
      <x:c r="AD91" s="59"/>
      <x:c r="AE91" s="59"/>
      <x:c r="AF91" s="59"/>
      <x:c r="AG91" s="59"/>
      <x:c r="AH91" s="59"/>
      <x:c r="AI91" s="59"/>
      <x:c r="AJ91" s="59"/>
      <x:c r="AK91" s="59"/>
      <x:c r="AL91" s="59"/>
      <x:c r="AM91" s="59"/>
      <x:c r="AN91" s="59"/>
    </x:row>
    <x:row r="92">
      <x:c r="A92" s="59"/>
      <x:c r="B92" s="59"/>
      <x:c r="C92" s="59"/>
      <x:c r="D92" s="59"/>
      <x:c r="E92" s="59"/>
      <x:c r="F92" s="59"/>
      <x:c r="G92" s="59"/>
      <x:c r="H92" s="59"/>
      <x:c r="I92" s="59"/>
      <x:c r="J92" s="59"/>
      <x:c r="K92" s="59"/>
      <x:c r="L92" s="59"/>
      <x:c r="M92" s="59"/>
      <x:c r="N92" s="59"/>
      <x:c r="O92" s="59"/>
      <x:c r="P92" s="59"/>
      <x:c r="Q92" s="59"/>
      <x:c r="R92" s="59"/>
      <x:c r="S92" s="59"/>
      <x:c r="T92" s="59"/>
      <x:c r="U92" s="59"/>
      <x:c r="V92" s="59"/>
      <x:c r="W92" s="59"/>
      <x:c r="X92" s="59"/>
      <x:c r="Y92" s="59"/>
      <x:c r="Z92" s="59"/>
      <x:c r="AA92" s="59"/>
      <x:c r="AB92" s="59"/>
      <x:c r="AC92" s="59"/>
      <x:c r="AD92" s="59"/>
      <x:c r="AE92" s="59"/>
      <x:c r="AF92" s="59"/>
      <x:c r="AG92" s="59"/>
      <x:c r="AH92" s="59"/>
      <x:c r="AI92" s="59"/>
      <x:c r="AJ92" s="59"/>
      <x:c r="AK92" s="59"/>
      <x:c r="AL92" s="59"/>
      <x:c r="AM92" s="59"/>
      <x:c r="AN92" s="59"/>
    </x:row>
    <x:row r="93">
      <x:c r="A93" s="59"/>
      <x:c r="B93" s="59"/>
      <x:c r="C93" s="59"/>
      <x:c r="D93" s="59"/>
      <x:c r="E93" s="59"/>
      <x:c r="F93" s="59"/>
      <x:c r="G93" s="59"/>
      <x:c r="H93" s="59"/>
      <x:c r="I93" s="59"/>
      <x:c r="J93" s="59"/>
      <x:c r="K93" s="59"/>
      <x:c r="L93" s="59"/>
      <x:c r="M93" s="59"/>
      <x:c r="N93" s="59"/>
      <x:c r="O93" s="59"/>
      <x:c r="P93" s="59"/>
      <x:c r="Q93" s="59"/>
      <x:c r="R93" s="59"/>
      <x:c r="S93" s="59"/>
      <x:c r="T93" s="59"/>
      <x:c r="U93" s="59"/>
      <x:c r="V93" s="59"/>
      <x:c r="W93" s="59"/>
      <x:c r="X93" s="59"/>
      <x:c r="Y93" s="59"/>
      <x:c r="Z93" s="59"/>
      <x:c r="AA93" s="59"/>
      <x:c r="AB93" s="59"/>
      <x:c r="AC93" s="59"/>
      <x:c r="AD93" s="59"/>
      <x:c r="AE93" s="59"/>
      <x:c r="AF93" s="59"/>
      <x:c r="AG93" s="59"/>
      <x:c r="AH93" s="59"/>
      <x:c r="AI93" s="59"/>
      <x:c r="AJ93" s="59"/>
      <x:c r="AK93" s="59"/>
      <x:c r="AL93" s="59"/>
      <x:c r="AM93" s="59"/>
      <x:c r="AN93" s="59"/>
    </x:row>
    <x:row r="94">
      <x:c r="A94" s="59"/>
      <x:c r="B94" s="59"/>
      <x:c r="C94" s="59"/>
      <x:c r="D94" s="59"/>
      <x:c r="E94" s="59"/>
      <x:c r="F94" s="59"/>
      <x:c r="G94" s="59"/>
      <x:c r="H94" s="59"/>
      <x:c r="I94" s="59"/>
      <x:c r="J94" s="59"/>
      <x:c r="K94" s="59"/>
      <x:c r="L94" s="59"/>
      <x:c r="M94" s="59"/>
      <x:c r="N94" s="59"/>
      <x:c r="O94" s="59"/>
      <x:c r="P94" s="59"/>
      <x:c r="Q94" s="59"/>
      <x:c r="R94" s="59"/>
      <x:c r="S94" s="59"/>
      <x:c r="T94" s="59"/>
      <x:c r="U94" s="59"/>
      <x:c r="V94" s="59"/>
      <x:c r="W94" s="59"/>
      <x:c r="X94" s="59"/>
      <x:c r="Y94" s="59"/>
      <x:c r="Z94" s="59"/>
      <x:c r="AA94" s="59"/>
      <x:c r="AB94" s="59"/>
      <x:c r="AC94" s="59"/>
      <x:c r="AD94" s="59"/>
      <x:c r="AE94" s="59"/>
      <x:c r="AF94" s="59"/>
      <x:c r="AG94" s="59"/>
      <x:c r="AH94" s="59"/>
      <x:c r="AI94" s="59"/>
      <x:c r="AJ94" s="59"/>
      <x:c r="AK94" s="59"/>
      <x:c r="AL94" s="59"/>
      <x:c r="AM94" s="59"/>
      <x:c r="AN94" s="59"/>
    </x:row>
    <x:row r="95">
      <x:c r="A95" s="59"/>
      <x:c r="B95" s="59"/>
      <x:c r="C95" s="59"/>
      <x:c r="D95" s="59"/>
      <x:c r="E95" s="59"/>
      <x:c r="F95" s="59"/>
      <x:c r="G95" s="59"/>
      <x:c r="H95" s="59"/>
      <x:c r="I95" s="59"/>
      <x:c r="J95" s="59"/>
      <x:c r="K95" s="59"/>
      <x:c r="L95" s="59"/>
      <x:c r="M95" s="59"/>
      <x:c r="N95" s="59"/>
      <x:c r="O95" s="59"/>
      <x:c r="P95" s="59"/>
      <x:c r="Q95" s="59"/>
      <x:c r="R95" s="59"/>
      <x:c r="S95" s="59"/>
      <x:c r="T95" s="59"/>
      <x:c r="U95" s="59"/>
      <x:c r="V95" s="59"/>
      <x:c r="W95" s="59"/>
      <x:c r="X95" s="59"/>
      <x:c r="Y95" s="59"/>
      <x:c r="Z95" s="59"/>
      <x:c r="AA95" s="59"/>
      <x:c r="AB95" s="59"/>
      <x:c r="AC95" s="59"/>
      <x:c r="AD95" s="59"/>
      <x:c r="AE95" s="59"/>
      <x:c r="AF95" s="59"/>
      <x:c r="AG95" s="59"/>
      <x:c r="AH95" s="59"/>
      <x:c r="AI95" s="59"/>
      <x:c r="AJ95" s="59"/>
      <x:c r="AK95" s="59"/>
      <x:c r="AL95" s="59"/>
      <x:c r="AM95" s="59"/>
      <x:c r="AN95" s="59"/>
    </x:row>
    <x:row r="96">
      <x:c r="A96" s="59"/>
      <x:c r="B96" s="59"/>
      <x:c r="C96" s="59"/>
      <x:c r="D96" s="59"/>
      <x:c r="E96" s="59"/>
      <x:c r="F96" s="59"/>
      <x:c r="G96" s="59"/>
      <x:c r="H96" s="59"/>
      <x:c r="I96" s="59"/>
      <x:c r="J96" s="59"/>
      <x:c r="K96" s="59"/>
      <x:c r="L96" s="59"/>
      <x:c r="M96" s="59"/>
      <x:c r="N96" s="59"/>
      <x:c r="O96" s="59"/>
      <x:c r="P96" s="59"/>
      <x:c r="Q96" s="59"/>
      <x:c r="R96" s="59"/>
      <x:c r="S96" s="59"/>
      <x:c r="T96" s="59"/>
      <x:c r="U96" s="59"/>
      <x:c r="V96" s="59"/>
      <x:c r="W96" s="59"/>
      <x:c r="X96" s="59"/>
      <x:c r="Y96" s="59"/>
      <x:c r="Z96" s="59"/>
      <x:c r="AA96" s="59"/>
      <x:c r="AB96" s="59"/>
      <x:c r="AC96" s="59"/>
      <x:c r="AD96" s="59"/>
      <x:c r="AE96" s="59"/>
      <x:c r="AF96" s="59"/>
      <x:c r="AG96" s="59"/>
      <x:c r="AH96" s="59"/>
      <x:c r="AI96" s="59"/>
      <x:c r="AJ96" s="59"/>
      <x:c r="AK96" s="59"/>
      <x:c r="AL96" s="59"/>
      <x:c r="AM96" s="59"/>
      <x:c r="AN96" s="59"/>
    </x:row>
    <x:row r="97">
      <x:c r="A97" s="59"/>
      <x:c r="B97" s="59"/>
      <x:c r="C97" s="59"/>
      <x:c r="D97" s="59"/>
      <x:c r="E97" s="59"/>
      <x:c r="F97" s="59"/>
      <x:c r="G97" s="59"/>
      <x:c r="H97" s="59"/>
      <x:c r="I97" s="59"/>
      <x:c r="J97" s="59"/>
      <x:c r="K97" s="59"/>
      <x:c r="L97" s="59"/>
      <x:c r="M97" s="59"/>
      <x:c r="N97" s="59"/>
      <x:c r="O97" s="59"/>
      <x:c r="P97" s="59"/>
      <x:c r="Q97" s="59"/>
      <x:c r="R97" s="59"/>
      <x:c r="S97" s="59"/>
      <x:c r="T97" s="59"/>
      <x:c r="U97" s="59"/>
      <x:c r="V97" s="59"/>
      <x:c r="W97" s="59"/>
      <x:c r="X97" s="59"/>
      <x:c r="Y97" s="59"/>
      <x:c r="Z97" s="59"/>
      <x:c r="AA97" s="59"/>
      <x:c r="AB97" s="59"/>
      <x:c r="AC97" s="59"/>
      <x:c r="AD97" s="59"/>
      <x:c r="AE97" s="59"/>
      <x:c r="AF97" s="59"/>
      <x:c r="AG97" s="59"/>
      <x:c r="AH97" s="59"/>
      <x:c r="AI97" s="59"/>
      <x:c r="AJ97" s="59"/>
      <x:c r="AK97" s="59"/>
      <x:c r="AL97" s="59"/>
      <x:c r="AM97" s="59"/>
      <x:c r="AN97" s="59"/>
    </x:row>
    <x:row r="98">
      <x:c r="A98" s="59"/>
      <x:c r="B98" s="59"/>
      <x:c r="C98" s="59"/>
      <x:c r="D98" s="59"/>
      <x:c r="E98" s="59"/>
      <x:c r="F98" s="59"/>
      <x:c r="G98" s="59"/>
      <x:c r="H98" s="59"/>
      <x:c r="I98" s="59"/>
      <x:c r="J98" s="59"/>
      <x:c r="K98" s="59"/>
      <x:c r="L98" s="59"/>
      <x:c r="M98" s="59"/>
      <x:c r="N98" s="59"/>
      <x:c r="O98" s="59"/>
      <x:c r="P98" s="59"/>
      <x:c r="Q98" s="59"/>
      <x:c r="R98" s="59"/>
      <x:c r="S98" s="59"/>
      <x:c r="T98" s="59"/>
      <x:c r="U98" s="59"/>
      <x:c r="V98" s="59"/>
      <x:c r="W98" s="59"/>
      <x:c r="X98" s="59"/>
      <x:c r="Y98" s="59"/>
      <x:c r="Z98" s="59"/>
      <x:c r="AA98" s="59"/>
      <x:c r="AB98" s="59"/>
      <x:c r="AC98" s="59"/>
      <x:c r="AD98" s="59"/>
      <x:c r="AE98" s="59"/>
      <x:c r="AF98" s="59"/>
      <x:c r="AG98" s="59"/>
      <x:c r="AH98" s="59"/>
      <x:c r="AI98" s="59"/>
      <x:c r="AJ98" s="59"/>
      <x:c r="AK98" s="59"/>
      <x:c r="AL98" s="59"/>
      <x:c r="AM98" s="59"/>
      <x:c r="AN98" s="59"/>
    </x:row>
    <x:row r="99">
      <x:c r="A99" s="59"/>
      <x:c r="B99" s="59"/>
      <x:c r="C99" s="59"/>
      <x:c r="D99" s="59"/>
      <x:c r="E99" s="59"/>
      <x:c r="F99" s="59"/>
      <x:c r="G99" s="59"/>
      <x:c r="H99" s="59"/>
      <x:c r="I99" s="59"/>
      <x:c r="J99" s="59"/>
      <x:c r="K99" s="59"/>
      <x:c r="L99" s="59"/>
      <x:c r="M99" s="59"/>
      <x:c r="N99" s="59"/>
      <x:c r="O99" s="59"/>
      <x:c r="P99" s="59"/>
      <x:c r="Q99" s="59"/>
      <x:c r="R99" s="59"/>
      <x:c r="S99" s="59"/>
      <x:c r="T99" s="59"/>
      <x:c r="U99" s="59"/>
      <x:c r="V99" s="59"/>
      <x:c r="W99" s="59"/>
      <x:c r="X99" s="59"/>
      <x:c r="Y99" s="59"/>
      <x:c r="Z99" s="59"/>
      <x:c r="AA99" s="59"/>
      <x:c r="AB99" s="59"/>
      <x:c r="AC99" s="59"/>
      <x:c r="AD99" s="59"/>
      <x:c r="AE99" s="59"/>
      <x:c r="AF99" s="59"/>
      <x:c r="AG99" s="59"/>
      <x:c r="AH99" s="59"/>
      <x:c r="AI99" s="59"/>
      <x:c r="AJ99" s="59"/>
      <x:c r="AK99" s="59"/>
      <x:c r="AL99" s="59"/>
      <x:c r="AM99" s="59"/>
      <x:c r="AN99" s="59"/>
    </x:row>
    <x:row r="100">
      <x:c r="A100" s="59"/>
      <x:c r="B100" s="59"/>
      <x:c r="C100" s="59"/>
      <x:c r="D100" s="59"/>
      <x:c r="E100" s="59"/>
      <x:c r="F100" s="59"/>
      <x:c r="G100" s="59"/>
      <x:c r="H100" s="59"/>
      <x:c r="I100" s="59"/>
      <x:c r="J100" s="59"/>
      <x:c r="K100" s="59"/>
      <x:c r="L100" s="59"/>
      <x:c r="M100" s="59"/>
      <x:c r="N100" s="59"/>
      <x:c r="O100" s="59"/>
      <x:c r="P100" s="59"/>
      <x:c r="Q100" s="59"/>
      <x:c r="R100" s="59"/>
      <x:c r="S100" s="59"/>
      <x:c r="T100" s="59"/>
      <x:c r="U100" s="59"/>
      <x:c r="V100" s="59"/>
      <x:c r="W100" s="59"/>
      <x:c r="X100" s="59"/>
      <x:c r="Y100" s="59"/>
      <x:c r="Z100" s="59"/>
      <x:c r="AA100" s="59"/>
      <x:c r="AB100" s="59"/>
      <x:c r="AC100" s="59"/>
      <x:c r="AD100" s="59"/>
      <x:c r="AE100" s="59"/>
      <x:c r="AF100" s="59"/>
      <x:c r="AG100" s="59"/>
      <x:c r="AH100" s="59"/>
      <x:c r="AI100" s="59"/>
      <x:c r="AJ100" s="59"/>
      <x:c r="AK100" s="59"/>
      <x:c r="AL100" s="59"/>
      <x:c r="AM100" s="59"/>
      <x:c r="AN100" s="59"/>
    </x:row>
    <x:row r="101">
      <x:c r="A101" s="59"/>
      <x:c r="B101" s="59"/>
      <x:c r="C101" s="59"/>
      <x:c r="D101" s="59"/>
      <x:c r="E101" s="59"/>
      <x:c r="F101" s="59"/>
      <x:c r="G101" s="59"/>
      <x:c r="H101" s="59"/>
      <x:c r="I101" s="59"/>
      <x:c r="J101" s="59"/>
      <x:c r="K101" s="59"/>
      <x:c r="L101" s="59"/>
      <x:c r="M101" s="59"/>
      <x:c r="N101" s="59"/>
      <x:c r="O101" s="59"/>
      <x:c r="P101" s="59"/>
      <x:c r="Q101" s="59"/>
      <x:c r="R101" s="59"/>
      <x:c r="S101" s="59"/>
      <x:c r="T101" s="59"/>
      <x:c r="U101" s="59"/>
      <x:c r="V101" s="59"/>
      <x:c r="W101" s="59"/>
      <x:c r="X101" s="59"/>
      <x:c r="Y101" s="59"/>
      <x:c r="Z101" s="59"/>
      <x:c r="AA101" s="59"/>
      <x:c r="AB101" s="59"/>
      <x:c r="AC101" s="59"/>
      <x:c r="AD101" s="59"/>
      <x:c r="AE101" s="59"/>
      <x:c r="AF101" s="59"/>
      <x:c r="AG101" s="59"/>
      <x:c r="AH101" s="59"/>
      <x:c r="AI101" s="59"/>
      <x:c r="AJ101" s="59"/>
      <x:c r="AK101" s="59"/>
      <x:c r="AL101" s="59"/>
      <x:c r="AM101" s="59"/>
      <x:c r="AN101" s="59"/>
    </x:row>
    <x:row r="102">
      <x:c r="A102" s="59"/>
      <x:c r="B102" s="59"/>
      <x:c r="C102" s="59"/>
      <x:c r="D102" s="59"/>
      <x:c r="E102" s="59"/>
      <x:c r="F102" s="59"/>
      <x:c r="G102" s="59"/>
      <x:c r="H102" s="59"/>
      <x:c r="I102" s="59"/>
      <x:c r="J102" s="59"/>
      <x:c r="K102" s="59"/>
      <x:c r="L102" s="59"/>
      <x:c r="M102" s="59"/>
      <x:c r="N102" s="59"/>
      <x:c r="O102" s="59"/>
      <x:c r="P102" s="59"/>
      <x:c r="Q102" s="59"/>
      <x:c r="R102" s="59"/>
      <x:c r="S102" s="59"/>
      <x:c r="T102" s="59"/>
      <x:c r="U102" s="59"/>
      <x:c r="V102" s="59"/>
      <x:c r="W102" s="59"/>
      <x:c r="X102" s="59"/>
      <x:c r="Y102" s="59"/>
      <x:c r="Z102" s="59"/>
      <x:c r="AA102" s="59"/>
      <x:c r="AB102" s="59"/>
      <x:c r="AC102" s="59"/>
      <x:c r="AD102" s="59"/>
      <x:c r="AE102" s="59"/>
      <x:c r="AF102" s="59"/>
      <x:c r="AG102" s="59"/>
      <x:c r="AH102" s="59"/>
      <x:c r="AI102" s="59"/>
      <x:c r="AJ102" s="59"/>
      <x:c r="AK102" s="59"/>
      <x:c r="AL102" s="59"/>
      <x:c r="AM102" s="59"/>
      <x:c r="AN102" s="59"/>
    </x:row>
    <x:row r="103">
      <x:c r="A103" s="59"/>
      <x:c r="B103" s="59"/>
      <x:c r="C103" s="59"/>
      <x:c r="D103" s="59"/>
      <x:c r="E103" s="59"/>
      <x:c r="F103" s="59"/>
      <x:c r="G103" s="59"/>
      <x:c r="H103" s="59"/>
      <x:c r="I103" s="59"/>
      <x:c r="J103" s="59"/>
      <x:c r="K103" s="59"/>
      <x:c r="L103" s="59"/>
      <x:c r="M103" s="59"/>
      <x:c r="N103" s="59"/>
      <x:c r="O103" s="59"/>
      <x:c r="P103" s="59"/>
      <x:c r="Q103" s="59"/>
      <x:c r="R103" s="59"/>
      <x:c r="S103" s="59"/>
      <x:c r="T103" s="59"/>
      <x:c r="U103" s="59"/>
      <x:c r="V103" s="59"/>
      <x:c r="W103" s="59"/>
      <x:c r="X103" s="59"/>
      <x:c r="Y103" s="59"/>
      <x:c r="Z103" s="59"/>
      <x:c r="AA103" s="59"/>
      <x:c r="AB103" s="59"/>
      <x:c r="AC103" s="59"/>
      <x:c r="AD103" s="59"/>
      <x:c r="AE103" s="59"/>
      <x:c r="AF103" s="59"/>
      <x:c r="AG103" s="59"/>
      <x:c r="AH103" s="59"/>
      <x:c r="AI103" s="59"/>
      <x:c r="AJ103" s="59"/>
      <x:c r="AK103" s="59"/>
      <x:c r="AL103" s="59"/>
      <x:c r="AM103" s="59"/>
      <x:c r="AN103" s="59"/>
    </x:row>
    <x:row r="104">
      <x:c r="A104" s="59"/>
      <x:c r="B104" s="59"/>
      <x:c r="C104" s="59"/>
      <x:c r="D104" s="59"/>
      <x:c r="E104" s="59"/>
      <x:c r="F104" s="59"/>
      <x:c r="G104" s="59"/>
      <x:c r="H104" s="59"/>
      <x:c r="I104" s="59"/>
      <x:c r="J104" s="59"/>
      <x:c r="K104" s="59"/>
      <x:c r="L104" s="59"/>
      <x:c r="M104" s="59"/>
      <x:c r="N104" s="59"/>
      <x:c r="O104" s="59"/>
      <x:c r="P104" s="59"/>
      <x:c r="Q104" s="59"/>
      <x:c r="R104" s="59"/>
      <x:c r="S104" s="59"/>
      <x:c r="T104" s="59"/>
      <x:c r="U104" s="59"/>
      <x:c r="V104" s="59"/>
      <x:c r="W104" s="59"/>
      <x:c r="X104" s="59"/>
      <x:c r="Y104" s="59"/>
      <x:c r="Z104" s="59"/>
      <x:c r="AA104" s="59"/>
      <x:c r="AB104" s="59"/>
      <x:c r="AC104" s="59"/>
      <x:c r="AD104" s="59"/>
      <x:c r="AE104" s="59"/>
      <x:c r="AF104" s="59"/>
      <x:c r="AG104" s="59"/>
      <x:c r="AH104" s="59"/>
      <x:c r="AI104" s="59"/>
      <x:c r="AJ104" s="59"/>
      <x:c r="AK104" s="59"/>
      <x:c r="AL104" s="59"/>
      <x:c r="AM104" s="59"/>
      <x:c r="AN104" s="59"/>
    </x:row>
    <x:row r="105">
      <x:c r="A105" s="59"/>
      <x:c r="B105" s="59"/>
      <x:c r="C105" s="59"/>
      <x:c r="D105" s="59"/>
      <x:c r="E105" s="59"/>
      <x:c r="F105" s="59"/>
      <x:c r="G105" s="59"/>
      <x:c r="H105" s="59"/>
      <x:c r="I105" s="59"/>
      <x:c r="J105" s="59"/>
      <x:c r="K105" s="59"/>
      <x:c r="L105" s="59"/>
      <x:c r="M105" s="59"/>
      <x:c r="N105" s="59"/>
      <x:c r="O105" s="59"/>
      <x:c r="P105" s="59"/>
      <x:c r="Q105" s="59"/>
      <x:c r="R105" s="59"/>
      <x:c r="S105" s="59"/>
      <x:c r="T105" s="59"/>
      <x:c r="U105" s="59"/>
      <x:c r="V105" s="59"/>
      <x:c r="W105" s="59"/>
      <x:c r="X105" s="59"/>
      <x:c r="Y105" s="59"/>
      <x:c r="Z105" s="59"/>
      <x:c r="AA105" s="59"/>
      <x:c r="AB105" s="59"/>
      <x:c r="AC105" s="59"/>
      <x:c r="AD105" s="59"/>
      <x:c r="AE105" s="59"/>
      <x:c r="AF105" s="59"/>
      <x:c r="AG105" s="59"/>
      <x:c r="AH105" s="59"/>
      <x:c r="AI105" s="59"/>
      <x:c r="AJ105" s="59"/>
      <x:c r="AK105" s="59"/>
      <x:c r="AL105" s="59"/>
      <x:c r="AM105" s="59"/>
      <x:c r="AN105" s="59"/>
    </x:row>
    <x:row r="106">
      <x:c r="A106" s="59"/>
      <x:c r="B106" s="59"/>
      <x:c r="C106" s="59"/>
      <x:c r="D106" s="59"/>
      <x:c r="E106" s="59"/>
      <x:c r="F106" s="59"/>
      <x:c r="G106" s="59"/>
      <x:c r="H106" s="59"/>
      <x:c r="I106" s="59"/>
      <x:c r="J106" s="59"/>
      <x:c r="K106" s="59"/>
      <x:c r="L106" s="59"/>
      <x:c r="M106" s="59"/>
      <x:c r="N106" s="59"/>
      <x:c r="O106" s="59"/>
      <x:c r="P106" s="59"/>
      <x:c r="Q106" s="59"/>
      <x:c r="R106" s="59"/>
      <x:c r="S106" s="59"/>
      <x:c r="T106" s="59"/>
      <x:c r="U106" s="59"/>
      <x:c r="V106" s="59"/>
      <x:c r="W106" s="59"/>
      <x:c r="X106" s="59"/>
      <x:c r="Y106" s="59"/>
      <x:c r="Z106" s="59"/>
      <x:c r="AA106" s="59"/>
      <x:c r="AB106" s="59"/>
      <x:c r="AC106" s="59"/>
      <x:c r="AD106" s="59"/>
      <x:c r="AE106" s="59"/>
      <x:c r="AF106" s="59"/>
      <x:c r="AG106" s="59"/>
      <x:c r="AH106" s="59"/>
      <x:c r="AI106" s="59"/>
      <x:c r="AJ106" s="59"/>
      <x:c r="AK106" s="59"/>
      <x:c r="AL106" s="59"/>
      <x:c r="AM106" s="59"/>
      <x:c r="AN106" s="59"/>
    </x:row>
    <x:row r="107">
      <x:c r="A107" s="59"/>
      <x:c r="B107" s="59"/>
      <x:c r="C107" s="59"/>
      <x:c r="D107" s="59"/>
      <x:c r="E107" s="59"/>
      <x:c r="F107" s="59"/>
      <x:c r="G107" s="59"/>
      <x:c r="H107" s="59"/>
      <x:c r="I107" s="59"/>
      <x:c r="J107" s="59"/>
      <x:c r="K107" s="59"/>
      <x:c r="L107" s="59"/>
      <x:c r="M107" s="59"/>
      <x:c r="N107" s="59"/>
      <x:c r="O107" s="59"/>
      <x:c r="P107" s="59"/>
      <x:c r="Q107" s="59"/>
      <x:c r="R107" s="59"/>
      <x:c r="S107" s="59"/>
      <x:c r="T107" s="59"/>
      <x:c r="U107" s="59"/>
      <x:c r="V107" s="59"/>
      <x:c r="W107" s="59"/>
      <x:c r="X107" s="59"/>
      <x:c r="Y107" s="59"/>
      <x:c r="Z107" s="59"/>
      <x:c r="AA107" s="59"/>
      <x:c r="AB107" s="59"/>
      <x:c r="AC107" s="59"/>
      <x:c r="AD107" s="59"/>
      <x:c r="AE107" s="59"/>
      <x:c r="AF107" s="59"/>
      <x:c r="AG107" s="59"/>
      <x:c r="AH107" s="59"/>
      <x:c r="AI107" s="59"/>
      <x:c r="AJ107" s="59"/>
      <x:c r="AK107" s="59"/>
      <x:c r="AL107" s="59"/>
      <x:c r="AM107" s="59"/>
      <x:c r="AN107" s="59"/>
    </x:row>
    <x:row r="108">
      <x:c r="A108" s="59"/>
      <x:c r="B108" s="59"/>
      <x:c r="C108" s="59"/>
      <x:c r="D108" s="59"/>
      <x:c r="E108" s="59"/>
      <x:c r="F108" s="59"/>
      <x:c r="G108" s="59"/>
      <x:c r="H108" s="59"/>
      <x:c r="I108" s="59"/>
      <x:c r="J108" s="59"/>
      <x:c r="K108" s="59"/>
      <x:c r="L108" s="59"/>
      <x:c r="M108" s="59"/>
      <x:c r="N108" s="59"/>
      <x:c r="O108" s="59"/>
      <x:c r="P108" s="59"/>
      <x:c r="Q108" s="59"/>
      <x:c r="R108" s="59"/>
      <x:c r="S108" s="59"/>
      <x:c r="T108" s="59"/>
      <x:c r="U108" s="59"/>
      <x:c r="V108" s="59"/>
      <x:c r="W108" s="59"/>
      <x:c r="X108" s="59"/>
      <x:c r="Y108" s="59"/>
      <x:c r="Z108" s="59"/>
      <x:c r="AA108" s="59"/>
      <x:c r="AB108" s="59"/>
      <x:c r="AC108" s="59"/>
      <x:c r="AD108" s="59"/>
      <x:c r="AE108" s="59"/>
      <x:c r="AF108" s="59"/>
      <x:c r="AG108" s="59"/>
      <x:c r="AH108" s="59"/>
      <x:c r="AI108" s="59"/>
      <x:c r="AJ108" s="59"/>
      <x:c r="AK108" s="59"/>
      <x:c r="AL108" s="59"/>
      <x:c r="AM108" s="59"/>
      <x:c r="AN108" s="59"/>
    </x:row>
    <x:row r="109">
      <x:c r="A109" s="59"/>
      <x:c r="B109" s="59"/>
      <x:c r="C109" s="59"/>
      <x:c r="D109" s="59"/>
      <x:c r="E109" s="59"/>
      <x:c r="F109" s="59"/>
      <x:c r="G109" s="59"/>
      <x:c r="H109" s="59"/>
      <x:c r="I109" s="59"/>
      <x:c r="J109" s="59"/>
      <x:c r="K109" s="59"/>
      <x:c r="L109" s="59"/>
      <x:c r="M109" s="59"/>
      <x:c r="N109" s="59"/>
      <x:c r="O109" s="59"/>
      <x:c r="P109" s="59"/>
      <x:c r="Q109" s="59"/>
      <x:c r="R109" s="59"/>
      <x:c r="S109" s="59"/>
      <x:c r="T109" s="59"/>
      <x:c r="U109" s="59"/>
      <x:c r="V109" s="59"/>
      <x:c r="W109" s="59"/>
      <x:c r="X109" s="59"/>
      <x:c r="Y109" s="59"/>
      <x:c r="Z109" s="59"/>
      <x:c r="AA109" s="59"/>
      <x:c r="AB109" s="59"/>
      <x:c r="AC109" s="59"/>
      <x:c r="AD109" s="59"/>
      <x:c r="AE109" s="59"/>
      <x:c r="AF109" s="59"/>
      <x:c r="AG109" s="59"/>
      <x:c r="AH109" s="59"/>
      <x:c r="AI109" s="59"/>
      <x:c r="AJ109" s="59"/>
      <x:c r="AK109" s="59"/>
      <x:c r="AL109" s="59"/>
      <x:c r="AM109" s="59"/>
      <x:c r="AN109" s="59"/>
    </x:row>
    <x:row r="110">
      <x:c r="A110" s="59"/>
      <x:c r="B110" s="59"/>
      <x:c r="C110" s="59"/>
      <x:c r="D110" s="59"/>
      <x:c r="E110" s="59"/>
      <x:c r="F110" s="59"/>
      <x:c r="G110" s="59"/>
      <x:c r="H110" s="59"/>
      <x:c r="I110" s="59"/>
      <x:c r="J110" s="59"/>
      <x:c r="K110" s="59"/>
      <x:c r="L110" s="59"/>
      <x:c r="M110" s="59"/>
      <x:c r="N110" s="59"/>
      <x:c r="O110" s="59"/>
      <x:c r="P110" s="59"/>
      <x:c r="Q110" s="59"/>
      <x:c r="R110" s="59"/>
      <x:c r="S110" s="59"/>
      <x:c r="T110" s="59"/>
      <x:c r="U110" s="59"/>
      <x:c r="V110" s="59"/>
      <x:c r="W110" s="59"/>
      <x:c r="X110" s="59"/>
      <x:c r="Y110" s="59"/>
      <x:c r="Z110" s="59"/>
      <x:c r="AA110" s="59"/>
      <x:c r="AB110" s="59"/>
      <x:c r="AC110" s="59"/>
      <x:c r="AD110" s="59"/>
      <x:c r="AE110" s="59"/>
      <x:c r="AF110" s="59"/>
      <x:c r="AG110" s="59"/>
      <x:c r="AH110" s="59"/>
      <x:c r="AI110" s="59"/>
      <x:c r="AJ110" s="59"/>
      <x:c r="AK110" s="59"/>
      <x:c r="AL110" s="59"/>
      <x:c r="AM110" s="59"/>
      <x:c r="AN110" s="59"/>
    </x:row>
    <x:row r="111">
      <x:c r="A111" s="59"/>
      <x:c r="B111" s="59"/>
      <x:c r="C111" s="59"/>
      <x:c r="D111" s="59"/>
      <x:c r="E111" s="59"/>
      <x:c r="F111" s="59"/>
      <x:c r="G111" s="59"/>
      <x:c r="H111" s="59"/>
      <x:c r="I111" s="59"/>
      <x:c r="J111" s="59"/>
      <x:c r="K111" s="59"/>
      <x:c r="L111" s="59"/>
      <x:c r="M111" s="59"/>
      <x:c r="N111" s="59"/>
      <x:c r="O111" s="59"/>
      <x:c r="P111" s="59"/>
      <x:c r="Q111" s="59"/>
      <x:c r="R111" s="59"/>
      <x:c r="S111" s="59"/>
      <x:c r="T111" s="59"/>
      <x:c r="U111" s="59"/>
      <x:c r="V111" s="59"/>
      <x:c r="W111" s="59"/>
      <x:c r="X111" s="59"/>
      <x:c r="Y111" s="59"/>
      <x:c r="Z111" s="59"/>
      <x:c r="AA111" s="59"/>
      <x:c r="AB111" s="59"/>
      <x:c r="AC111" s="59"/>
      <x:c r="AD111" s="59"/>
      <x:c r="AE111" s="59"/>
      <x:c r="AF111" s="59"/>
      <x:c r="AG111" s="59"/>
      <x:c r="AH111" s="59"/>
      <x:c r="AI111" s="59"/>
      <x:c r="AJ111" s="59"/>
      <x:c r="AK111" s="59"/>
      <x:c r="AL111" s="59"/>
      <x:c r="AM111" s="59"/>
      <x:c r="AN111" s="59"/>
    </x:row>
    <x:row r="112">
      <x:c r="A112" s="59"/>
      <x:c r="B112" s="59"/>
      <x:c r="C112" s="59"/>
      <x:c r="D112" s="59"/>
      <x:c r="E112" s="59"/>
      <x:c r="F112" s="59"/>
      <x:c r="G112" s="59"/>
      <x:c r="H112" s="59"/>
      <x:c r="I112" s="59"/>
      <x:c r="J112" s="59"/>
      <x:c r="K112" s="59"/>
      <x:c r="L112" s="59"/>
      <x:c r="M112" s="59"/>
      <x:c r="N112" s="59"/>
      <x:c r="O112" s="59"/>
      <x:c r="P112" s="59"/>
      <x:c r="Q112" s="59"/>
      <x:c r="R112" s="59"/>
      <x:c r="S112" s="59"/>
      <x:c r="T112" s="59"/>
      <x:c r="U112" s="59"/>
      <x:c r="V112" s="59"/>
      <x:c r="W112" s="59"/>
      <x:c r="X112" s="59"/>
      <x:c r="Y112" s="59"/>
      <x:c r="Z112" s="59"/>
      <x:c r="AA112" s="59"/>
      <x:c r="AB112" s="59"/>
      <x:c r="AC112" s="59"/>
      <x:c r="AD112" s="59"/>
      <x:c r="AE112" s="59"/>
      <x:c r="AF112" s="59"/>
      <x:c r="AG112" s="59"/>
      <x:c r="AH112" s="59"/>
      <x:c r="AI112" s="59"/>
      <x:c r="AJ112" s="59"/>
      <x:c r="AK112" s="59"/>
      <x:c r="AL112" s="59"/>
      <x:c r="AM112" s="59"/>
      <x:c r="AN112" s="59"/>
    </x:row>
    <x:row r="113">
      <x:c r="A113" s="59"/>
      <x:c r="B113" s="59"/>
      <x:c r="C113" s="59"/>
      <x:c r="D113" s="59"/>
      <x:c r="E113" s="59"/>
      <x:c r="F113" s="59"/>
      <x:c r="G113" s="59"/>
      <x:c r="H113" s="59"/>
      <x:c r="I113" s="59"/>
      <x:c r="J113" s="59"/>
      <x:c r="K113" s="59"/>
      <x:c r="L113" s="59"/>
      <x:c r="M113" s="59"/>
      <x:c r="N113" s="59"/>
      <x:c r="O113" s="59"/>
      <x:c r="P113" s="59"/>
      <x:c r="Q113" s="59"/>
      <x:c r="R113" s="59"/>
      <x:c r="S113" s="59"/>
      <x:c r="T113" s="59"/>
      <x:c r="U113" s="59"/>
      <x:c r="V113" s="59"/>
      <x:c r="W113" s="59"/>
      <x:c r="X113" s="59"/>
      <x:c r="Y113" s="59"/>
      <x:c r="Z113" s="59"/>
      <x:c r="AA113" s="59"/>
      <x:c r="AB113" s="59"/>
      <x:c r="AC113" s="59"/>
      <x:c r="AD113" s="59"/>
      <x:c r="AE113" s="59"/>
      <x:c r="AF113" s="59"/>
      <x:c r="AG113" s="59"/>
      <x:c r="AH113" s="59"/>
      <x:c r="AI113" s="59"/>
      <x:c r="AJ113" s="59"/>
      <x:c r="AK113" s="59"/>
      <x:c r="AL113" s="59"/>
      <x:c r="AM113" s="59"/>
      <x:c r="AN113" s="59"/>
    </x:row>
    <x:row r="114">
      <x:c r="A114" s="59"/>
      <x:c r="B114" s="59"/>
      <x:c r="C114" s="59"/>
      <x:c r="D114" s="59"/>
      <x:c r="E114" s="59"/>
      <x:c r="F114" s="59"/>
      <x:c r="G114" s="59"/>
      <x:c r="H114" s="59"/>
      <x:c r="I114" s="59"/>
      <x:c r="J114" s="59"/>
      <x:c r="K114" s="59"/>
      <x:c r="L114" s="59"/>
      <x:c r="M114" s="59"/>
      <x:c r="N114" s="59"/>
      <x:c r="O114" s="59"/>
      <x:c r="P114" s="59"/>
      <x:c r="Q114" s="59"/>
      <x:c r="R114" s="59"/>
      <x:c r="S114" s="59"/>
      <x:c r="T114" s="59"/>
      <x:c r="U114" s="59"/>
      <x:c r="V114" s="59"/>
      <x:c r="W114" s="59"/>
      <x:c r="X114" s="59"/>
      <x:c r="Y114" s="59"/>
      <x:c r="Z114" s="59"/>
      <x:c r="AA114" s="59"/>
      <x:c r="AB114" s="59"/>
      <x:c r="AC114" s="59"/>
      <x:c r="AD114" s="59"/>
      <x:c r="AE114" s="59"/>
      <x:c r="AF114" s="59"/>
      <x:c r="AG114" s="59"/>
      <x:c r="AH114" s="59"/>
      <x:c r="AI114" s="59"/>
      <x:c r="AJ114" s="59"/>
      <x:c r="AK114" s="59"/>
      <x:c r="AL114" s="59"/>
      <x:c r="AM114" s="59"/>
      <x:c r="AN114" s="59"/>
    </x:row>
    <x:row r="115">
      <x:c r="A115" s="59"/>
      <x:c r="B115" s="59"/>
      <x:c r="C115" s="59"/>
      <x:c r="D115" s="59"/>
      <x:c r="E115" s="59"/>
      <x:c r="F115" s="59"/>
      <x:c r="G115" s="59"/>
      <x:c r="H115" s="59"/>
      <x:c r="I115" s="59"/>
      <x:c r="J115" s="59"/>
      <x:c r="K115" s="59"/>
      <x:c r="L115" s="59"/>
      <x:c r="M115" s="59"/>
      <x:c r="N115" s="59"/>
      <x:c r="O115" s="59"/>
      <x:c r="P115" s="59"/>
      <x:c r="Q115" s="59"/>
      <x:c r="R115" s="59"/>
      <x:c r="S115" s="59"/>
      <x:c r="T115" s="59"/>
      <x:c r="U115" s="59"/>
      <x:c r="V115" s="59"/>
      <x:c r="W115" s="59"/>
      <x:c r="X115" s="59"/>
      <x:c r="Y115" s="59"/>
      <x:c r="Z115" s="59"/>
      <x:c r="AA115" s="59"/>
      <x:c r="AB115" s="59"/>
      <x:c r="AC115" s="59"/>
      <x:c r="AD115" s="59"/>
      <x:c r="AE115" s="59"/>
      <x:c r="AF115" s="59"/>
      <x:c r="AG115" s="59"/>
      <x:c r="AH115" s="59"/>
      <x:c r="AI115" s="59"/>
      <x:c r="AJ115" s="59"/>
      <x:c r="AK115" s="59"/>
      <x:c r="AL115" s="59"/>
      <x:c r="AM115" s="59"/>
      <x:c r="AN115" s="59"/>
    </x:row>
    <x:row r="116">
      <x:c r="A116" s="59"/>
      <x:c r="B116" s="59"/>
      <x:c r="C116" s="59"/>
      <x:c r="D116" s="59"/>
      <x:c r="E116" s="59"/>
      <x:c r="F116" s="59"/>
      <x:c r="G116" s="59"/>
      <x:c r="H116" s="59"/>
      <x:c r="I116" s="59"/>
      <x:c r="J116" s="59"/>
      <x:c r="K116" s="59"/>
      <x:c r="L116" s="59"/>
      <x:c r="M116" s="59"/>
      <x:c r="N116" s="59"/>
      <x:c r="O116" s="59"/>
      <x:c r="P116" s="59"/>
      <x:c r="Q116" s="59"/>
      <x:c r="R116" s="59"/>
      <x:c r="S116" s="59"/>
      <x:c r="T116" s="59"/>
      <x:c r="U116" s="59"/>
      <x:c r="V116" s="59"/>
      <x:c r="W116" s="59"/>
      <x:c r="X116" s="59"/>
      <x:c r="Y116" s="59"/>
      <x:c r="Z116" s="59"/>
      <x:c r="AA116" s="59"/>
      <x:c r="AB116" s="59"/>
      <x:c r="AC116" s="59"/>
      <x:c r="AD116" s="59"/>
      <x:c r="AE116" s="59"/>
      <x:c r="AF116" s="59"/>
      <x:c r="AG116" s="59"/>
      <x:c r="AH116" s="59"/>
      <x:c r="AI116" s="59"/>
      <x:c r="AJ116" s="59"/>
      <x:c r="AK116" s="59"/>
      <x:c r="AL116" s="59"/>
      <x:c r="AM116" s="59"/>
      <x:c r="AN116" s="59"/>
    </x:row>
    <x:row r="117">
      <x:c r="A117" s="59"/>
      <x:c r="B117" s="59"/>
      <x:c r="C117" s="59"/>
      <x:c r="D117" s="59"/>
      <x:c r="E117" s="59"/>
      <x:c r="F117" s="59"/>
      <x:c r="G117" s="59"/>
      <x:c r="H117" s="59"/>
      <x:c r="I117" s="59"/>
      <x:c r="J117" s="59"/>
      <x:c r="K117" s="59"/>
      <x:c r="L117" s="59"/>
      <x:c r="M117" s="59"/>
      <x:c r="N117" s="59"/>
      <x:c r="O117" s="59"/>
      <x:c r="P117" s="59"/>
      <x:c r="Q117" s="59"/>
      <x:c r="R117" s="59"/>
      <x:c r="S117" s="59"/>
      <x:c r="T117" s="59"/>
      <x:c r="U117" s="59"/>
      <x:c r="V117" s="59"/>
      <x:c r="W117" s="59"/>
      <x:c r="X117" s="59"/>
      <x:c r="Y117" s="59"/>
      <x:c r="Z117" s="59"/>
      <x:c r="AA117" s="59"/>
      <x:c r="AB117" s="59"/>
      <x:c r="AC117" s="59"/>
      <x:c r="AD117" s="59"/>
      <x:c r="AE117" s="59"/>
      <x:c r="AF117" s="59"/>
      <x:c r="AG117" s="59"/>
      <x:c r="AH117" s="59"/>
      <x:c r="AI117" s="59"/>
      <x:c r="AJ117" s="59"/>
      <x:c r="AK117" s="59"/>
      <x:c r="AL117" s="59"/>
      <x:c r="AM117" s="59"/>
      <x:c r="AN117" s="59"/>
    </x:row>
    <x:row r="118">
      <x:c r="A118" s="59"/>
      <x:c r="B118" s="59"/>
      <x:c r="C118" s="59"/>
      <x:c r="D118" s="59"/>
      <x:c r="E118" s="59"/>
      <x:c r="F118" s="59"/>
      <x:c r="G118" s="59"/>
      <x:c r="H118" s="59"/>
      <x:c r="I118" s="59"/>
      <x:c r="J118" s="59"/>
      <x:c r="K118" s="59"/>
      <x:c r="L118" s="59"/>
      <x:c r="M118" s="59"/>
      <x:c r="N118" s="59"/>
      <x:c r="O118" s="59"/>
      <x:c r="P118" s="59"/>
      <x:c r="Q118" s="59"/>
      <x:c r="R118" s="59"/>
      <x:c r="S118" s="59"/>
      <x:c r="T118" s="59"/>
      <x:c r="U118" s="59"/>
      <x:c r="V118" s="59"/>
      <x:c r="W118" s="59"/>
      <x:c r="X118" s="59"/>
      <x:c r="Y118" s="59"/>
      <x:c r="Z118" s="59"/>
      <x:c r="AA118" s="59"/>
      <x:c r="AB118" s="59"/>
      <x:c r="AC118" s="59"/>
      <x:c r="AD118" s="59"/>
      <x:c r="AE118" s="59"/>
      <x:c r="AF118" s="59"/>
      <x:c r="AG118" s="59"/>
      <x:c r="AH118" s="59"/>
      <x:c r="AI118" s="59"/>
      <x:c r="AJ118" s="59"/>
      <x:c r="AK118" s="59"/>
      <x:c r="AL118" s="59"/>
      <x:c r="AM118" s="59"/>
      <x:c r="AN118" s="59"/>
    </x:row>
    <x:row r="119">
      <x:c r="A119" s="59"/>
      <x:c r="B119" s="59"/>
      <x:c r="C119" s="59"/>
      <x:c r="D119" s="59"/>
      <x:c r="E119" s="59"/>
      <x:c r="F119" s="59"/>
      <x:c r="G119" s="59"/>
      <x:c r="H119" s="59"/>
      <x:c r="I119" s="59"/>
      <x:c r="J119" s="59"/>
      <x:c r="K119" s="59"/>
      <x:c r="L119" s="59"/>
      <x:c r="M119" s="59"/>
      <x:c r="N119" s="59"/>
      <x:c r="O119" s="59"/>
      <x:c r="P119" s="59"/>
      <x:c r="Q119" s="59"/>
      <x:c r="R119" s="59"/>
      <x:c r="S119" s="59"/>
      <x:c r="T119" s="59"/>
      <x:c r="U119" s="59"/>
      <x:c r="V119" s="59"/>
      <x:c r="W119" s="59"/>
      <x:c r="X119" s="59"/>
      <x:c r="Y119" s="59"/>
      <x:c r="Z119" s="59"/>
      <x:c r="AA119" s="59"/>
      <x:c r="AB119" s="59"/>
      <x:c r="AC119" s="59"/>
      <x:c r="AD119" s="59"/>
      <x:c r="AE119" s="59"/>
      <x:c r="AF119" s="59"/>
      <x:c r="AG119" s="59"/>
      <x:c r="AH119" s="59"/>
      <x:c r="AI119" s="59"/>
      <x:c r="AJ119" s="59"/>
      <x:c r="AK119" s="59"/>
      <x:c r="AL119" s="59"/>
      <x:c r="AM119" s="59"/>
      <x:c r="AN119" s="59"/>
    </x:row>
    <x:row r="120">
      <x:c r="A120" s="59"/>
      <x:c r="B120" s="59"/>
      <x:c r="C120" s="59"/>
      <x:c r="D120" s="59"/>
      <x:c r="E120" s="59"/>
      <x:c r="F120" s="59"/>
      <x:c r="G120" s="59"/>
      <x:c r="H120" s="59"/>
      <x:c r="I120" s="59"/>
      <x:c r="J120" s="59"/>
      <x:c r="K120" s="59"/>
      <x:c r="L120" s="59"/>
      <x:c r="M120" s="59"/>
      <x:c r="N120" s="59"/>
      <x:c r="O120" s="59"/>
      <x:c r="P120" s="59"/>
      <x:c r="Q120" s="59"/>
      <x:c r="R120" s="59"/>
      <x:c r="S120" s="59"/>
      <x:c r="T120" s="59"/>
      <x:c r="U120" s="59"/>
      <x:c r="V120" s="59"/>
      <x:c r="W120" s="59"/>
      <x:c r="X120" s="59"/>
      <x:c r="Y120" s="59"/>
      <x:c r="Z120" s="59"/>
      <x:c r="AA120" s="59"/>
      <x:c r="AB120" s="59"/>
      <x:c r="AC120" s="59"/>
      <x:c r="AD120" s="59"/>
      <x:c r="AE120" s="59"/>
      <x:c r="AF120" s="59"/>
      <x:c r="AG120" s="59"/>
      <x:c r="AH120" s="59"/>
      <x:c r="AI120" s="59"/>
      <x:c r="AJ120" s="59"/>
      <x:c r="AK120" s="59"/>
      <x:c r="AL120" s="59"/>
      <x:c r="AM120" s="59"/>
      <x:c r="AN120" s="59"/>
    </x:row>
    <x:row r="121">
      <x:c r="A121" s="59"/>
      <x:c r="B121" s="59"/>
      <x:c r="C121" s="59"/>
      <x:c r="D121" s="59"/>
      <x:c r="E121" s="59"/>
      <x:c r="F121" s="59"/>
      <x:c r="G121" s="59"/>
      <x:c r="H121" s="59"/>
      <x:c r="I121" s="59"/>
      <x:c r="J121" s="59"/>
      <x:c r="K121" s="59"/>
      <x:c r="L121" s="59"/>
      <x:c r="M121" s="59"/>
      <x:c r="N121" s="59"/>
      <x:c r="O121" s="59"/>
      <x:c r="P121" s="59"/>
      <x:c r="Q121" s="59"/>
      <x:c r="R121" s="59"/>
      <x:c r="S121" s="59"/>
      <x:c r="T121" s="59"/>
      <x:c r="U121" s="59"/>
      <x:c r="V121" s="59"/>
      <x:c r="W121" s="59"/>
      <x:c r="X121" s="59"/>
      <x:c r="Y121" s="59"/>
      <x:c r="Z121" s="59"/>
      <x:c r="AA121" s="59"/>
      <x:c r="AB121" s="59"/>
      <x:c r="AC121" s="59"/>
      <x:c r="AD121" s="59"/>
      <x:c r="AE121" s="59"/>
      <x:c r="AF121" s="59"/>
      <x:c r="AG121" s="59"/>
      <x:c r="AH121" s="59"/>
      <x:c r="AI121" s="59"/>
      <x:c r="AJ121" s="59"/>
      <x:c r="AK121" s="59"/>
      <x:c r="AL121" s="59"/>
      <x:c r="AM121" s="59"/>
      <x:c r="AN121" s="59"/>
    </x:row>
    <x:row r="122">
      <x:c r="A122" s="59"/>
      <x:c r="B122" s="59"/>
      <x:c r="C122" s="59"/>
      <x:c r="D122" s="59"/>
      <x:c r="E122" s="59"/>
      <x:c r="F122" s="59"/>
      <x:c r="G122" s="59"/>
      <x:c r="H122" s="59"/>
      <x:c r="I122" s="59"/>
      <x:c r="J122" s="59"/>
      <x:c r="K122" s="59"/>
      <x:c r="L122" s="59"/>
      <x:c r="M122" s="59"/>
      <x:c r="N122" s="59"/>
      <x:c r="O122" s="59"/>
      <x:c r="P122" s="59"/>
      <x:c r="Q122" s="59"/>
      <x:c r="R122" s="59"/>
      <x:c r="S122" s="59"/>
      <x:c r="T122" s="59"/>
      <x:c r="U122" s="59"/>
      <x:c r="V122" s="59"/>
      <x:c r="W122" s="59"/>
      <x:c r="X122" s="59"/>
      <x:c r="Y122" s="59"/>
      <x:c r="Z122" s="59"/>
      <x:c r="AA122" s="59"/>
      <x:c r="AB122" s="59"/>
      <x:c r="AC122" s="59"/>
      <x:c r="AD122" s="59"/>
      <x:c r="AE122" s="59"/>
      <x:c r="AF122" s="59"/>
      <x:c r="AG122" s="59"/>
      <x:c r="AH122" s="59"/>
      <x:c r="AI122" s="59"/>
      <x:c r="AJ122" s="59"/>
      <x:c r="AK122" s="59"/>
      <x:c r="AL122" s="59"/>
      <x:c r="AM122" s="59"/>
      <x:c r="AN122" s="59"/>
    </x:row>
    <x:row r="123">
      <x:c r="A123" s="59"/>
      <x:c r="B123" s="59"/>
      <x:c r="C123" s="59"/>
      <x:c r="D123" s="59"/>
      <x:c r="E123" s="59"/>
      <x:c r="F123" s="59"/>
      <x:c r="G123" s="59"/>
      <x:c r="H123" s="59"/>
      <x:c r="I123" s="59"/>
      <x:c r="J123" s="59"/>
      <x:c r="K123" s="59"/>
      <x:c r="L123" s="59"/>
      <x:c r="M123" s="59"/>
      <x:c r="N123" s="59"/>
      <x:c r="O123" s="59"/>
      <x:c r="P123" s="59"/>
      <x:c r="Q123" s="59"/>
      <x:c r="R123" s="59"/>
      <x:c r="S123" s="59"/>
      <x:c r="T123" s="59"/>
      <x:c r="U123" s="59"/>
      <x:c r="V123" s="59"/>
      <x:c r="W123" s="59"/>
      <x:c r="X123" s="59"/>
      <x:c r="Y123" s="59"/>
      <x:c r="Z123" s="59"/>
      <x:c r="AA123" s="59"/>
      <x:c r="AB123" s="59"/>
      <x:c r="AC123" s="59"/>
      <x:c r="AD123" s="59"/>
      <x:c r="AE123" s="59"/>
      <x:c r="AF123" s="59"/>
      <x:c r="AG123" s="59"/>
      <x:c r="AH123" s="59"/>
      <x:c r="AI123" s="59"/>
      <x:c r="AJ123" s="59"/>
      <x:c r="AK123" s="59"/>
      <x:c r="AL123" s="59"/>
      <x:c r="AM123" s="59"/>
      <x:c r="AN123" s="59"/>
    </x:row>
    <x:row r="124">
      <x:c r="A124" s="59"/>
      <x:c r="B124" s="59"/>
      <x:c r="C124" s="59"/>
      <x:c r="D124" s="59"/>
      <x:c r="E124" s="59"/>
      <x:c r="F124" s="59"/>
      <x:c r="G124" s="59"/>
      <x:c r="H124" s="59"/>
      <x:c r="I124" s="59"/>
      <x:c r="J124" s="59"/>
      <x:c r="K124" s="59"/>
      <x:c r="L124" s="59"/>
      <x:c r="M124" s="59"/>
      <x:c r="N124" s="59"/>
      <x:c r="O124" s="59"/>
      <x:c r="P124" s="59"/>
      <x:c r="Q124" s="59"/>
      <x:c r="R124" s="59"/>
      <x:c r="S124" s="59"/>
      <x:c r="T124" s="59"/>
      <x:c r="U124" s="59"/>
      <x:c r="V124" s="59"/>
      <x:c r="W124" s="59"/>
      <x:c r="X124" s="59"/>
      <x:c r="Y124" s="59"/>
      <x:c r="Z124" s="59"/>
      <x:c r="AA124" s="59"/>
      <x:c r="AB124" s="59"/>
      <x:c r="AC124" s="59"/>
      <x:c r="AD124" s="59"/>
      <x:c r="AE124" s="59"/>
      <x:c r="AF124" s="59"/>
      <x:c r="AG124" s="59"/>
      <x:c r="AH124" s="59"/>
      <x:c r="AI124" s="59"/>
      <x:c r="AJ124" s="59"/>
      <x:c r="AK124" s="59"/>
      <x:c r="AL124" s="59"/>
      <x:c r="AM124" s="59"/>
      <x:c r="AN124" s="59"/>
    </x:row>
    <x:row r="125">
      <x:c r="A125" s="59"/>
      <x:c r="B125" s="59"/>
      <x:c r="C125" s="59"/>
      <x:c r="D125" s="59"/>
      <x:c r="E125" s="59"/>
      <x:c r="F125" s="59"/>
      <x:c r="G125" s="59"/>
      <x:c r="H125" s="59"/>
      <x:c r="I125" s="59"/>
      <x:c r="J125" s="59"/>
      <x:c r="K125" s="59"/>
      <x:c r="L125" s="59"/>
      <x:c r="M125" s="59"/>
      <x:c r="N125" s="59"/>
      <x:c r="O125" s="59"/>
      <x:c r="P125" s="59"/>
      <x:c r="Q125" s="59"/>
      <x:c r="R125" s="59"/>
      <x:c r="S125" s="59"/>
      <x:c r="T125" s="59"/>
      <x:c r="U125" s="59"/>
      <x:c r="V125" s="59"/>
      <x:c r="W125" s="59"/>
      <x:c r="X125" s="59"/>
      <x:c r="Y125" s="59"/>
      <x:c r="Z125" s="59"/>
      <x:c r="AA125" s="59"/>
      <x:c r="AB125" s="59"/>
      <x:c r="AC125" s="59"/>
      <x:c r="AD125" s="59"/>
      <x:c r="AE125" s="59"/>
      <x:c r="AF125" s="59"/>
      <x:c r="AG125" s="59"/>
      <x:c r="AH125" s="59"/>
      <x:c r="AI125" s="59"/>
      <x:c r="AJ125" s="59"/>
      <x:c r="AK125" s="59"/>
      <x:c r="AL125" s="59"/>
      <x:c r="AM125" s="59"/>
      <x:c r="AN125" s="59"/>
    </x:row>
    <x:row r="126">
      <x:c r="A126" s="59"/>
      <x:c r="B126" s="59"/>
      <x:c r="C126" s="59"/>
      <x:c r="D126" s="59"/>
      <x:c r="E126" s="59"/>
      <x:c r="F126" s="59"/>
      <x:c r="G126" s="59"/>
      <x:c r="H126" s="59"/>
      <x:c r="I126" s="59"/>
      <x:c r="J126" s="59"/>
      <x:c r="K126" s="59"/>
      <x:c r="L126" s="59"/>
      <x:c r="M126" s="59"/>
      <x:c r="N126" s="59"/>
      <x:c r="O126" s="59"/>
      <x:c r="P126" s="59"/>
      <x:c r="Q126" s="59"/>
      <x:c r="R126" s="59"/>
      <x:c r="S126" s="59"/>
      <x:c r="T126" s="59"/>
      <x:c r="U126" s="59"/>
      <x:c r="V126" s="59"/>
      <x:c r="W126" s="59"/>
      <x:c r="X126" s="59"/>
      <x:c r="Y126" s="59"/>
      <x:c r="Z126" s="59"/>
      <x:c r="AA126" s="59"/>
      <x:c r="AB126" s="59"/>
      <x:c r="AC126" s="59"/>
      <x:c r="AD126" s="59"/>
      <x:c r="AE126" s="59"/>
      <x:c r="AF126" s="59"/>
      <x:c r="AG126" s="59"/>
      <x:c r="AH126" s="59"/>
      <x:c r="AI126" s="59"/>
      <x:c r="AJ126" s="59"/>
      <x:c r="AK126" s="59"/>
      <x:c r="AL126" s="59"/>
      <x:c r="AM126" s="59"/>
      <x:c r="AN126" s="59"/>
    </x:row>
    <x:row r="127">
      <x:c r="A127" s="59"/>
      <x:c r="B127" s="59"/>
      <x:c r="C127" s="59"/>
      <x:c r="D127" s="59"/>
      <x:c r="E127" s="59"/>
      <x:c r="F127" s="59"/>
      <x:c r="G127" s="59"/>
      <x:c r="H127" s="59"/>
      <x:c r="I127" s="59"/>
      <x:c r="J127" s="59"/>
      <x:c r="K127" s="59"/>
      <x:c r="L127" s="59"/>
      <x:c r="M127" s="59"/>
      <x:c r="N127" s="59"/>
      <x:c r="O127" s="59"/>
      <x:c r="P127" s="59"/>
      <x:c r="Q127" s="59"/>
      <x:c r="R127" s="59"/>
      <x:c r="S127" s="59"/>
      <x:c r="T127" s="59"/>
      <x:c r="U127" s="59"/>
      <x:c r="V127" s="59"/>
      <x:c r="W127" s="59"/>
      <x:c r="X127" s="59"/>
      <x:c r="Y127" s="59"/>
      <x:c r="Z127" s="59"/>
      <x:c r="AA127" s="59"/>
      <x:c r="AB127" s="59"/>
      <x:c r="AC127" s="59"/>
      <x:c r="AD127" s="59"/>
      <x:c r="AE127" s="59"/>
      <x:c r="AF127" s="59"/>
      <x:c r="AG127" s="59"/>
      <x:c r="AH127" s="59"/>
      <x:c r="AI127" s="59"/>
      <x:c r="AJ127" s="59"/>
      <x:c r="AK127" s="59"/>
      <x:c r="AL127" s="59"/>
      <x:c r="AM127" s="59"/>
      <x:c r="AN127" s="59"/>
    </x:row>
    <x:row r="128">
      <x:c r="A128" s="59"/>
      <x:c r="B128" s="59"/>
      <x:c r="C128" s="59"/>
      <x:c r="D128" s="59"/>
      <x:c r="E128" s="59"/>
      <x:c r="F128" s="59"/>
      <x:c r="G128" s="59"/>
      <x:c r="H128" s="59"/>
      <x:c r="I128" s="59"/>
      <x:c r="J128" s="59"/>
      <x:c r="K128" s="59"/>
      <x:c r="L128" s="59"/>
      <x:c r="M128" s="59"/>
      <x:c r="N128" s="59"/>
      <x:c r="O128" s="59"/>
      <x:c r="P128" s="59"/>
      <x:c r="Q128" s="59"/>
      <x:c r="R128" s="59"/>
      <x:c r="S128" s="59"/>
      <x:c r="T128" s="59"/>
      <x:c r="U128" s="59"/>
      <x:c r="V128" s="59"/>
      <x:c r="W128" s="59"/>
      <x:c r="X128" s="59"/>
      <x:c r="Y128" s="59"/>
      <x:c r="Z128" s="59"/>
      <x:c r="AA128" s="59"/>
      <x:c r="AB128" s="59"/>
      <x:c r="AC128" s="59"/>
      <x:c r="AD128" s="59"/>
      <x:c r="AE128" s="59"/>
      <x:c r="AF128" s="59"/>
      <x:c r="AG128" s="59"/>
      <x:c r="AH128" s="59"/>
      <x:c r="AI128" s="59"/>
      <x:c r="AJ128" s="59"/>
      <x:c r="AK128" s="59"/>
      <x:c r="AL128" s="59"/>
      <x:c r="AM128" s="59"/>
      <x:c r="AN128" s="59"/>
    </x:row>
    <x:row r="129">
      <x:c r="A129" s="59"/>
      <x:c r="B129" s="59"/>
      <x:c r="C129" s="59"/>
      <x:c r="D129" s="59"/>
      <x:c r="E129" s="59"/>
      <x:c r="F129" s="59"/>
      <x:c r="G129" s="59"/>
      <x:c r="H129" s="59"/>
      <x:c r="I129" s="59"/>
      <x:c r="J129" s="59"/>
      <x:c r="K129" s="59"/>
      <x:c r="L129" s="59"/>
      <x:c r="M129" s="59"/>
      <x:c r="N129" s="59"/>
      <x:c r="O129" s="59"/>
      <x:c r="P129" s="59"/>
      <x:c r="Q129" s="59"/>
      <x:c r="R129" s="59"/>
      <x:c r="S129" s="59"/>
      <x:c r="T129" s="59"/>
      <x:c r="U129" s="59"/>
      <x:c r="V129" s="59"/>
      <x:c r="W129" s="59"/>
      <x:c r="X129" s="59"/>
      <x:c r="Y129" s="59"/>
      <x:c r="Z129" s="59"/>
      <x:c r="AA129" s="59"/>
      <x:c r="AB129" s="59"/>
      <x:c r="AC129" s="59"/>
      <x:c r="AD129" s="59"/>
      <x:c r="AE129" s="59"/>
      <x:c r="AF129" s="59"/>
      <x:c r="AG129" s="59"/>
      <x:c r="AH129" s="59"/>
      <x:c r="AI129" s="59"/>
      <x:c r="AJ129" s="59"/>
      <x:c r="AK129" s="59"/>
      <x:c r="AL129" s="59"/>
      <x:c r="AM129" s="59"/>
      <x:c r="AN129" s="59"/>
    </x:row>
    <x:row r="130">
      <x:c r="A130" s="59"/>
      <x:c r="B130" s="59"/>
      <x:c r="C130" s="59"/>
      <x:c r="D130" s="59"/>
      <x:c r="E130" s="59"/>
      <x:c r="F130" s="59"/>
      <x:c r="G130" s="59"/>
      <x:c r="H130" s="59"/>
      <x:c r="I130" s="59"/>
      <x:c r="J130" s="59"/>
      <x:c r="K130" s="59"/>
      <x:c r="L130" s="59"/>
      <x:c r="M130" s="59"/>
      <x:c r="N130" s="59"/>
      <x:c r="O130" s="59"/>
      <x:c r="P130" s="59"/>
      <x:c r="Q130" s="59"/>
      <x:c r="R130" s="59"/>
      <x:c r="S130" s="59"/>
      <x:c r="T130" s="59"/>
      <x:c r="U130" s="59"/>
      <x:c r="V130" s="59"/>
      <x:c r="W130" s="59"/>
      <x:c r="X130" s="59"/>
      <x:c r="Y130" s="59"/>
      <x:c r="Z130" s="59"/>
      <x:c r="AA130" s="59"/>
      <x:c r="AB130" s="59"/>
      <x:c r="AC130" s="59"/>
      <x:c r="AD130" s="59"/>
      <x:c r="AE130" s="59"/>
      <x:c r="AF130" s="59"/>
      <x:c r="AG130" s="59"/>
      <x:c r="AH130" s="59"/>
      <x:c r="AI130" s="59"/>
      <x:c r="AJ130" s="59"/>
      <x:c r="AK130" s="59"/>
      <x:c r="AL130" s="59"/>
      <x:c r="AM130" s="59"/>
      <x:c r="AN130" s="59"/>
    </x:row>
    <x:row r="131">
      <x:c r="A131" s="59"/>
      <x:c r="B131" s="59"/>
      <x:c r="C131" s="59"/>
      <x:c r="D131" s="59"/>
      <x:c r="E131" s="59"/>
      <x:c r="F131" s="59"/>
      <x:c r="G131" s="59"/>
      <x:c r="H131" s="59"/>
      <x:c r="I131" s="59"/>
      <x:c r="J131" s="59"/>
      <x:c r="K131" s="59"/>
      <x:c r="L131" s="59"/>
      <x:c r="M131" s="59"/>
      <x:c r="N131" s="59"/>
      <x:c r="O131" s="59"/>
      <x:c r="P131" s="59"/>
      <x:c r="Q131" s="59"/>
      <x:c r="R131" s="59"/>
      <x:c r="S131" s="59"/>
      <x:c r="T131" s="59"/>
      <x:c r="U131" s="59"/>
      <x:c r="V131" s="59"/>
      <x:c r="W131" s="59"/>
      <x:c r="X131" s="59"/>
      <x:c r="Y131" s="59"/>
      <x:c r="Z131" s="59"/>
      <x:c r="AA131" s="59"/>
      <x:c r="AB131" s="59"/>
      <x:c r="AC131" s="59"/>
      <x:c r="AD131" s="59"/>
      <x:c r="AE131" s="59"/>
      <x:c r="AF131" s="59"/>
      <x:c r="AG131" s="59"/>
      <x:c r="AH131" s="59"/>
      <x:c r="AI131" s="59"/>
      <x:c r="AJ131" s="59"/>
      <x:c r="AK131" s="59"/>
      <x:c r="AL131" s="59"/>
      <x:c r="AM131" s="59"/>
      <x:c r="AN131" s="59"/>
    </x:row>
    <x:row r="132">
      <x:c r="A132" s="59"/>
      <x:c r="B132" s="59"/>
      <x:c r="C132" s="59"/>
      <x:c r="D132" s="59"/>
      <x:c r="E132" s="59"/>
      <x:c r="F132" s="59"/>
      <x:c r="G132" s="59"/>
      <x:c r="H132" s="59"/>
      <x:c r="I132" s="59"/>
      <x:c r="J132" s="59"/>
      <x:c r="K132" s="59"/>
      <x:c r="L132" s="59"/>
      <x:c r="M132" s="59"/>
      <x:c r="N132" s="59"/>
      <x:c r="O132" s="59"/>
      <x:c r="P132" s="59"/>
      <x:c r="Q132" s="59"/>
      <x:c r="R132" s="59"/>
      <x:c r="S132" s="59"/>
      <x:c r="T132" s="59"/>
      <x:c r="U132" s="59"/>
      <x:c r="V132" s="59"/>
      <x:c r="W132" s="59"/>
      <x:c r="X132" s="59"/>
      <x:c r="Y132" s="59"/>
      <x:c r="Z132" s="59"/>
      <x:c r="AA132" s="59"/>
      <x:c r="AB132" s="59"/>
      <x:c r="AC132" s="59"/>
      <x:c r="AD132" s="59"/>
      <x:c r="AE132" s="59"/>
      <x:c r="AF132" s="59"/>
      <x:c r="AG132" s="59"/>
      <x:c r="AH132" s="59"/>
      <x:c r="AI132" s="59"/>
      <x:c r="AJ132" s="59"/>
      <x:c r="AK132" s="59"/>
      <x:c r="AL132" s="59"/>
      <x:c r="AM132" s="59"/>
      <x:c r="AN132" s="59"/>
    </x:row>
    <x:row r="133">
      <x:c r="A133" s="59"/>
      <x:c r="B133" s="59"/>
      <x:c r="C133" s="59"/>
      <x:c r="D133" s="59"/>
      <x:c r="E133" s="59"/>
      <x:c r="F133" s="59"/>
      <x:c r="G133" s="59"/>
      <x:c r="H133" s="59"/>
      <x:c r="I133" s="59"/>
      <x:c r="J133" s="59"/>
      <x:c r="K133" s="59"/>
      <x:c r="L133" s="59"/>
      <x:c r="M133" s="59"/>
      <x:c r="N133" s="59"/>
      <x:c r="O133" s="59"/>
      <x:c r="P133" s="59"/>
      <x:c r="Q133" s="59"/>
      <x:c r="R133" s="59"/>
      <x:c r="S133" s="59"/>
      <x:c r="T133" s="59"/>
      <x:c r="U133" s="59"/>
      <x:c r="V133" s="59"/>
      <x:c r="W133" s="59"/>
      <x:c r="X133" s="59"/>
      <x:c r="Y133" s="59"/>
      <x:c r="Z133" s="59"/>
      <x:c r="AA133" s="59"/>
      <x:c r="AB133" s="59"/>
      <x:c r="AC133" s="59"/>
      <x:c r="AD133" s="59"/>
      <x:c r="AE133" s="59"/>
      <x:c r="AF133" s="59"/>
      <x:c r="AG133" s="59"/>
      <x:c r="AH133" s="59"/>
      <x:c r="AI133" s="59"/>
      <x:c r="AJ133" s="59"/>
      <x:c r="AK133" s="59"/>
      <x:c r="AL133" s="59"/>
      <x:c r="AM133" s="59"/>
      <x:c r="AN133" s="59"/>
    </x:row>
    <x:row r="134">
      <x:c r="A134" s="59"/>
      <x:c r="B134" s="59"/>
      <x:c r="C134" s="59"/>
      <x:c r="D134" s="59"/>
      <x:c r="E134" s="59"/>
      <x:c r="F134" s="59"/>
      <x:c r="G134" s="59"/>
      <x:c r="H134" s="59"/>
      <x:c r="I134" s="59"/>
      <x:c r="J134" s="59"/>
      <x:c r="K134" s="59"/>
      <x:c r="L134" s="59"/>
      <x:c r="M134" s="59"/>
      <x:c r="N134" s="59"/>
      <x:c r="O134" s="59"/>
      <x:c r="P134" s="59"/>
      <x:c r="Q134" s="59"/>
      <x:c r="R134" s="59"/>
      <x:c r="S134" s="59"/>
      <x:c r="T134" s="59"/>
      <x:c r="U134" s="59"/>
      <x:c r="V134" s="59"/>
      <x:c r="W134" s="59"/>
      <x:c r="X134" s="59"/>
      <x:c r="Y134" s="59"/>
      <x:c r="Z134" s="59"/>
      <x:c r="AA134" s="59"/>
      <x:c r="AB134" s="59"/>
      <x:c r="AC134" s="59"/>
      <x:c r="AD134" s="59"/>
      <x:c r="AE134" s="59"/>
      <x:c r="AF134" s="59"/>
      <x:c r="AG134" s="59"/>
      <x:c r="AH134" s="59"/>
      <x:c r="AI134" s="59"/>
      <x:c r="AJ134" s="59"/>
      <x:c r="AK134" s="59"/>
      <x:c r="AL134" s="59"/>
      <x:c r="AM134" s="59"/>
      <x:c r="AN134" s="59"/>
    </x:row>
    <x:row r="135">
      <x:c r="A135" s="59"/>
      <x:c r="B135" s="59"/>
      <x:c r="C135" s="59"/>
      <x:c r="D135" s="59"/>
      <x:c r="E135" s="59"/>
      <x:c r="F135" s="59"/>
      <x:c r="G135" s="59"/>
      <x:c r="H135" s="59"/>
      <x:c r="I135" s="59"/>
      <x:c r="J135" s="59"/>
      <x:c r="K135" s="59"/>
      <x:c r="L135" s="59"/>
      <x:c r="M135" s="59"/>
      <x:c r="N135" s="59"/>
      <x:c r="O135" s="59"/>
      <x:c r="P135" s="59"/>
      <x:c r="Q135" s="59"/>
      <x:c r="R135" s="59"/>
      <x:c r="S135" s="59"/>
      <x:c r="T135" s="59"/>
      <x:c r="U135" s="59"/>
      <x:c r="V135" s="59"/>
      <x:c r="W135" s="59"/>
      <x:c r="X135" s="59"/>
      <x:c r="Y135" s="59"/>
      <x:c r="Z135" s="59"/>
      <x:c r="AA135" s="59"/>
      <x:c r="AB135" s="59"/>
      <x:c r="AC135" s="59"/>
      <x:c r="AD135" s="59"/>
      <x:c r="AE135" s="59"/>
      <x:c r="AF135" s="59"/>
      <x:c r="AG135" s="59"/>
      <x:c r="AH135" s="59"/>
      <x:c r="AI135" s="59"/>
      <x:c r="AJ135" s="59"/>
      <x:c r="AK135" s="59"/>
      <x:c r="AL135" s="59"/>
      <x:c r="AM135" s="59"/>
      <x:c r="AN135" s="59"/>
    </x:row>
    <x:row r="136">
      <x:c r="A136" s="59"/>
      <x:c r="B136" s="59"/>
      <x:c r="C136" s="59"/>
      <x:c r="D136" s="59"/>
      <x:c r="E136" s="59"/>
      <x:c r="F136" s="59"/>
      <x:c r="G136" s="59"/>
      <x:c r="H136" s="59"/>
      <x:c r="I136" s="59"/>
      <x:c r="J136" s="59"/>
      <x:c r="K136" s="59"/>
      <x:c r="L136" s="59"/>
      <x:c r="M136" s="59"/>
      <x:c r="N136" s="59"/>
      <x:c r="O136" s="59"/>
      <x:c r="P136" s="59"/>
      <x:c r="Q136" s="59"/>
      <x:c r="R136" s="59"/>
      <x:c r="S136" s="59"/>
      <x:c r="T136" s="59"/>
      <x:c r="U136" s="59"/>
      <x:c r="V136" s="59"/>
      <x:c r="W136" s="59"/>
      <x:c r="X136" s="59"/>
      <x:c r="Y136" s="59"/>
      <x:c r="Z136" s="59"/>
      <x:c r="AA136" s="59"/>
      <x:c r="AB136" s="59"/>
      <x:c r="AC136" s="59"/>
      <x:c r="AD136" s="59"/>
      <x:c r="AE136" s="59"/>
      <x:c r="AF136" s="59"/>
      <x:c r="AG136" s="59"/>
      <x:c r="AH136" s="59"/>
      <x:c r="AI136" s="59"/>
      <x:c r="AJ136" s="59"/>
      <x:c r="AK136" s="59"/>
      <x:c r="AL136" s="59"/>
      <x:c r="AM136" s="59"/>
      <x:c r="AN136" s="59"/>
    </x:row>
    <x:row r="137">
      <x:c r="A137" s="59"/>
      <x:c r="B137" s="59"/>
      <x:c r="C137" s="59"/>
      <x:c r="D137" s="59"/>
      <x:c r="E137" s="59"/>
      <x:c r="F137" s="59"/>
      <x:c r="G137" s="59"/>
      <x:c r="H137" s="59"/>
      <x:c r="I137" s="59"/>
      <x:c r="J137" s="59"/>
      <x:c r="K137" s="59"/>
      <x:c r="L137" s="59"/>
      <x:c r="M137" s="59"/>
      <x:c r="N137" s="59"/>
      <x:c r="O137" s="59"/>
      <x:c r="P137" s="59"/>
      <x:c r="Q137" s="59"/>
      <x:c r="R137" s="59"/>
      <x:c r="S137" s="59"/>
      <x:c r="T137" s="59"/>
      <x:c r="U137" s="59"/>
      <x:c r="V137" s="59"/>
      <x:c r="W137" s="59"/>
      <x:c r="X137" s="59"/>
      <x:c r="Y137" s="59"/>
      <x:c r="Z137" s="59"/>
      <x:c r="AA137" s="59"/>
      <x:c r="AB137" s="59"/>
      <x:c r="AC137" s="59"/>
      <x:c r="AD137" s="59"/>
      <x:c r="AE137" s="59"/>
      <x:c r="AF137" s="59"/>
      <x:c r="AG137" s="59"/>
      <x:c r="AH137" s="59"/>
      <x:c r="AI137" s="59"/>
      <x:c r="AJ137" s="59"/>
      <x:c r="AK137" s="59"/>
      <x:c r="AL137" s="59"/>
      <x:c r="AM137" s="59"/>
      <x:c r="AN137" s="59"/>
    </x:row>
    <x:row r="138">
      <x:c r="A138" s="59"/>
      <x:c r="B138" s="59"/>
      <x:c r="C138" s="59"/>
      <x:c r="D138" s="59"/>
      <x:c r="E138" s="59"/>
      <x:c r="F138" s="59"/>
      <x:c r="G138" s="59"/>
      <x:c r="H138" s="59"/>
      <x:c r="I138" s="59"/>
      <x:c r="J138" s="59"/>
      <x:c r="K138" s="59"/>
      <x:c r="L138" s="59"/>
      <x:c r="M138" s="59"/>
      <x:c r="N138" s="59"/>
      <x:c r="O138" s="59"/>
      <x:c r="P138" s="59"/>
      <x:c r="Q138" s="59"/>
      <x:c r="R138" s="59"/>
      <x:c r="S138" s="59"/>
      <x:c r="T138" s="59"/>
      <x:c r="U138" s="59"/>
      <x:c r="V138" s="59"/>
      <x:c r="W138" s="59"/>
      <x:c r="X138" s="59"/>
      <x:c r="Y138" s="59"/>
      <x:c r="Z138" s="59"/>
      <x:c r="AA138" s="59"/>
      <x:c r="AB138" s="59"/>
      <x:c r="AC138" s="59"/>
      <x:c r="AD138" s="59"/>
      <x:c r="AE138" s="59"/>
      <x:c r="AF138" s="59"/>
      <x:c r="AG138" s="59"/>
      <x:c r="AH138" s="59"/>
      <x:c r="AI138" s="59"/>
      <x:c r="AJ138" s="59"/>
      <x:c r="AK138" s="59"/>
      <x:c r="AL138" s="59"/>
      <x:c r="AM138" s="59"/>
      <x:c r="AN138" s="59"/>
    </x:row>
    <x:row r="139">
      <x:c r="A139" s="59"/>
      <x:c r="B139" s="59"/>
      <x:c r="C139" s="59"/>
      <x:c r="D139" s="59"/>
      <x:c r="E139" s="59"/>
      <x:c r="F139" s="59"/>
      <x:c r="G139" s="59"/>
      <x:c r="H139" s="59"/>
      <x:c r="I139" s="59"/>
      <x:c r="J139" s="59"/>
      <x:c r="K139" s="59"/>
      <x:c r="L139" s="59"/>
      <x:c r="M139" s="59"/>
      <x:c r="N139" s="59"/>
      <x:c r="O139" s="59"/>
      <x:c r="P139" s="59"/>
      <x:c r="Q139" s="59"/>
      <x:c r="R139" s="59"/>
      <x:c r="S139" s="59"/>
      <x:c r="T139" s="59"/>
      <x:c r="U139" s="59"/>
      <x:c r="V139" s="59"/>
      <x:c r="W139" s="59"/>
      <x:c r="X139" s="59"/>
      <x:c r="Y139" s="59"/>
      <x:c r="Z139" s="59"/>
      <x:c r="AA139" s="59"/>
      <x:c r="AB139" s="59"/>
      <x:c r="AC139" s="59"/>
      <x:c r="AD139" s="59"/>
      <x:c r="AE139" s="59"/>
      <x:c r="AF139" s="59"/>
      <x:c r="AG139" s="59"/>
      <x:c r="AH139" s="59"/>
      <x:c r="AI139" s="59"/>
      <x:c r="AJ139" s="59"/>
      <x:c r="AK139" s="59"/>
      <x:c r="AL139" s="59"/>
      <x:c r="AM139" s="59"/>
      <x:c r="AN139" s="59"/>
    </x:row>
    <x:row r="140">
      <x:c r="A140" s="59"/>
      <x:c r="B140" s="59"/>
      <x:c r="C140" s="59"/>
      <x:c r="D140" s="59"/>
      <x:c r="E140" s="59"/>
      <x:c r="F140" s="59"/>
      <x:c r="G140" s="59"/>
      <x:c r="H140" s="59"/>
      <x:c r="I140" s="59"/>
      <x:c r="J140" s="59"/>
      <x:c r="K140" s="59"/>
      <x:c r="L140" s="59"/>
      <x:c r="M140" s="59"/>
      <x:c r="N140" s="59"/>
      <x:c r="O140" s="59"/>
      <x:c r="P140" s="59"/>
      <x:c r="Q140" s="59"/>
      <x:c r="R140" s="59"/>
      <x:c r="S140" s="59"/>
      <x:c r="T140" s="59"/>
      <x:c r="U140" s="59"/>
      <x:c r="V140" s="59"/>
      <x:c r="W140" s="59"/>
      <x:c r="X140" s="59"/>
      <x:c r="Y140" s="59"/>
      <x:c r="Z140" s="59"/>
      <x:c r="AA140" s="59"/>
      <x:c r="AB140" s="59"/>
      <x:c r="AC140" s="59"/>
      <x:c r="AD140" s="59"/>
      <x:c r="AE140" s="59"/>
      <x:c r="AF140" s="59"/>
      <x:c r="AG140" s="59"/>
      <x:c r="AH140" s="59"/>
      <x:c r="AI140" s="59"/>
      <x:c r="AJ140" s="59"/>
      <x:c r="AK140" s="59"/>
      <x:c r="AL140" s="59"/>
      <x:c r="AM140" s="59"/>
      <x:c r="AN140" s="59"/>
    </x:row>
    <x:row r="141">
      <x:c r="A141" s="59"/>
      <x:c r="B141" s="59"/>
      <x:c r="C141" s="59"/>
      <x:c r="D141" s="59"/>
      <x:c r="E141" s="59"/>
      <x:c r="F141" s="59"/>
      <x:c r="G141" s="59"/>
      <x:c r="H141" s="59"/>
      <x:c r="I141" s="59"/>
      <x:c r="J141" s="59"/>
      <x:c r="K141" s="59"/>
      <x:c r="L141" s="59"/>
      <x:c r="M141" s="59"/>
      <x:c r="N141" s="59"/>
      <x:c r="O141" s="59"/>
      <x:c r="P141" s="59"/>
      <x:c r="Q141" s="59"/>
      <x:c r="R141" s="59"/>
      <x:c r="S141" s="59"/>
      <x:c r="T141" s="59"/>
      <x:c r="U141" s="59"/>
      <x:c r="V141" s="59"/>
      <x:c r="W141" s="59"/>
      <x:c r="X141" s="59"/>
      <x:c r="Y141" s="59"/>
      <x:c r="Z141" s="59"/>
      <x:c r="AA141" s="59"/>
      <x:c r="AB141" s="59"/>
      <x:c r="AC141" s="59"/>
      <x:c r="AD141" s="59"/>
      <x:c r="AE141" s="59"/>
      <x:c r="AF141" s="59"/>
      <x:c r="AG141" s="59"/>
      <x:c r="AH141" s="59"/>
      <x:c r="AI141" s="59"/>
      <x:c r="AJ141" s="59"/>
      <x:c r="AK141" s="59"/>
      <x:c r="AL141" s="59"/>
      <x:c r="AM141" s="59"/>
      <x:c r="AN141" s="59"/>
    </x:row>
    <x:row r="142">
      <x:c r="A142" s="59"/>
      <x:c r="B142" s="59"/>
      <x:c r="C142" s="59"/>
      <x:c r="D142" s="59"/>
      <x:c r="E142" s="59"/>
      <x:c r="F142" s="59"/>
      <x:c r="G142" s="59"/>
      <x:c r="H142" s="59"/>
      <x:c r="I142" s="59"/>
      <x:c r="J142" s="59"/>
      <x:c r="K142" s="59"/>
      <x:c r="L142" s="59"/>
      <x:c r="M142" s="59"/>
      <x:c r="N142" s="59"/>
      <x:c r="O142" s="59"/>
      <x:c r="P142" s="59"/>
      <x:c r="Q142" s="59"/>
      <x:c r="R142" s="59"/>
      <x:c r="S142" s="59"/>
      <x:c r="T142" s="59"/>
      <x:c r="U142" s="59"/>
      <x:c r="V142" s="59"/>
      <x:c r="W142" s="59"/>
      <x:c r="X142" s="59"/>
      <x:c r="Y142" s="59"/>
      <x:c r="Z142" s="59"/>
      <x:c r="AA142" s="59"/>
      <x:c r="AB142" s="59"/>
      <x:c r="AC142" s="59"/>
      <x:c r="AD142" s="59"/>
      <x:c r="AE142" s="59"/>
      <x:c r="AF142" s="59"/>
      <x:c r="AG142" s="59"/>
      <x:c r="AH142" s="59"/>
      <x:c r="AI142" s="59"/>
      <x:c r="AJ142" s="59"/>
      <x:c r="AK142" s="59"/>
      <x:c r="AL142" s="59"/>
      <x:c r="AM142" s="59"/>
      <x:c r="AN142" s="59"/>
    </x:row>
    <x:row r="143">
      <x:c r="A143" s="59"/>
      <x:c r="B143" s="59"/>
      <x:c r="C143" s="59"/>
      <x:c r="D143" s="59"/>
      <x:c r="E143" s="59"/>
      <x:c r="F143" s="59"/>
      <x:c r="G143" s="59"/>
      <x:c r="H143" s="59"/>
      <x:c r="I143" s="59"/>
      <x:c r="J143" s="59"/>
      <x:c r="K143" s="59"/>
      <x:c r="L143" s="59"/>
      <x:c r="M143" s="59"/>
      <x:c r="N143" s="59"/>
      <x:c r="O143" s="59"/>
      <x:c r="P143" s="59"/>
      <x:c r="Q143" s="59"/>
      <x:c r="R143" s="59"/>
      <x:c r="S143" s="59"/>
      <x:c r="T143" s="59"/>
      <x:c r="U143" s="59"/>
      <x:c r="V143" s="59"/>
      <x:c r="W143" s="59"/>
      <x:c r="X143" s="59"/>
      <x:c r="Y143" s="59"/>
      <x:c r="Z143" s="59"/>
      <x:c r="AA143" s="59"/>
      <x:c r="AB143" s="59"/>
      <x:c r="AC143" s="59"/>
      <x:c r="AD143" s="59"/>
      <x:c r="AE143" s="59"/>
      <x:c r="AF143" s="59"/>
      <x:c r="AG143" s="59"/>
      <x:c r="AH143" s="59"/>
      <x:c r="AI143" s="59"/>
      <x:c r="AJ143" s="59"/>
      <x:c r="AK143" s="59"/>
      <x:c r="AL143" s="59"/>
      <x:c r="AM143" s="59"/>
      <x:c r="AN143" s="59"/>
    </x:row>
    <x:row r="144">
      <x:c r="A144" s="59"/>
      <x:c r="B144" s="59"/>
      <x:c r="C144" s="59"/>
      <x:c r="D144" s="59"/>
      <x:c r="E144" s="59"/>
      <x:c r="F144" s="59"/>
      <x:c r="G144" s="59"/>
      <x:c r="H144" s="59"/>
      <x:c r="I144" s="59"/>
      <x:c r="J144" s="59"/>
      <x:c r="K144" s="59"/>
      <x:c r="L144" s="59"/>
      <x:c r="M144" s="59"/>
      <x:c r="N144" s="59"/>
      <x:c r="O144" s="59"/>
      <x:c r="P144" s="59"/>
      <x:c r="Q144" s="59"/>
      <x:c r="R144" s="59"/>
      <x:c r="S144" s="59"/>
      <x:c r="T144" s="59"/>
      <x:c r="U144" s="59"/>
      <x:c r="V144" s="59"/>
      <x:c r="W144" s="59"/>
      <x:c r="X144" s="59"/>
      <x:c r="Y144" s="59"/>
      <x:c r="Z144" s="59"/>
      <x:c r="AA144" s="59"/>
      <x:c r="AB144" s="59"/>
      <x:c r="AC144" s="59"/>
      <x:c r="AD144" s="59"/>
      <x:c r="AE144" s="59"/>
      <x:c r="AF144" s="59"/>
      <x:c r="AG144" s="59"/>
      <x:c r="AH144" s="59"/>
      <x:c r="AI144" s="59"/>
      <x:c r="AJ144" s="59"/>
      <x:c r="AK144" s="59"/>
      <x:c r="AL144" s="59"/>
      <x:c r="AM144" s="59"/>
      <x:c r="AN144" s="59"/>
    </x:row>
    <x:row r="145">
      <x:c r="A145" s="59"/>
      <x:c r="B145" s="59"/>
      <x:c r="C145" s="59"/>
      <x:c r="D145" s="59"/>
      <x:c r="E145" s="59"/>
      <x:c r="F145" s="59"/>
      <x:c r="G145" s="59"/>
      <x:c r="H145" s="59"/>
      <x:c r="I145" s="59"/>
      <x:c r="J145" s="59"/>
      <x:c r="K145" s="59"/>
      <x:c r="L145" s="59"/>
      <x:c r="M145" s="59"/>
      <x:c r="N145" s="59"/>
      <x:c r="O145" s="59"/>
      <x:c r="P145" s="59"/>
      <x:c r="Q145" s="59"/>
      <x:c r="R145" s="59"/>
      <x:c r="S145" s="59"/>
      <x:c r="T145" s="59"/>
      <x:c r="U145" s="59"/>
      <x:c r="V145" s="59"/>
      <x:c r="W145" s="59"/>
      <x:c r="X145" s="59"/>
      <x:c r="Y145" s="59"/>
      <x:c r="Z145" s="59"/>
      <x:c r="AA145" s="59"/>
      <x:c r="AB145" s="59"/>
      <x:c r="AC145" s="59"/>
      <x:c r="AD145" s="59"/>
      <x:c r="AE145" s="59"/>
      <x:c r="AF145" s="59"/>
      <x:c r="AG145" s="59"/>
      <x:c r="AH145" s="59"/>
      <x:c r="AI145" s="59"/>
      <x:c r="AJ145" s="59"/>
      <x:c r="AK145" s="59"/>
      <x:c r="AL145" s="59"/>
      <x:c r="AM145" s="59"/>
      <x:c r="AN145" s="59"/>
    </x:row>
    <x:row r="146">
      <x:c r="A146" s="59"/>
      <x:c r="B146" s="59"/>
      <x:c r="C146" s="59"/>
      <x:c r="D146" s="59"/>
      <x:c r="E146" s="59"/>
      <x:c r="F146" s="59"/>
      <x:c r="G146" s="59"/>
      <x:c r="H146" s="59"/>
      <x:c r="I146" s="59"/>
      <x:c r="J146" s="59"/>
      <x:c r="K146" s="59"/>
      <x:c r="L146" s="59"/>
      <x:c r="M146" s="59"/>
      <x:c r="N146" s="59"/>
      <x:c r="O146" s="59"/>
      <x:c r="P146" s="59"/>
      <x:c r="Q146" s="59"/>
      <x:c r="R146" s="59"/>
      <x:c r="S146" s="59"/>
      <x:c r="T146" s="59"/>
      <x:c r="U146" s="59"/>
      <x:c r="V146" s="59"/>
      <x:c r="W146" s="59"/>
      <x:c r="X146" s="59"/>
      <x:c r="Y146" s="59"/>
      <x:c r="Z146" s="59"/>
      <x:c r="AA146" s="59"/>
      <x:c r="AB146" s="59"/>
      <x:c r="AC146" s="59"/>
      <x:c r="AD146" s="59"/>
      <x:c r="AE146" s="59"/>
      <x:c r="AF146" s="59"/>
      <x:c r="AG146" s="59"/>
      <x:c r="AH146" s="59"/>
      <x:c r="AI146" s="59"/>
      <x:c r="AJ146" s="59"/>
      <x:c r="AK146" s="59"/>
      <x:c r="AL146" s="59"/>
      <x:c r="AM146" s="59"/>
      <x:c r="AN146" s="59"/>
    </x:row>
    <x:row r="147">
      <x:c r="A147" s="59"/>
      <x:c r="B147" s="59"/>
      <x:c r="C147" s="59"/>
      <x:c r="D147" s="59"/>
      <x:c r="E147" s="59"/>
      <x:c r="F147" s="59"/>
      <x:c r="G147" s="59"/>
      <x:c r="H147" s="59"/>
      <x:c r="I147" s="59"/>
      <x:c r="J147" s="59"/>
      <x:c r="K147" s="59"/>
      <x:c r="L147" s="59"/>
      <x:c r="M147" s="59"/>
      <x:c r="N147" s="59"/>
      <x:c r="O147" s="59"/>
      <x:c r="P147" s="59"/>
      <x:c r="Q147" s="59"/>
      <x:c r="R147" s="59"/>
      <x:c r="S147" s="59"/>
      <x:c r="T147" s="59"/>
      <x:c r="U147" s="59"/>
      <x:c r="V147" s="59"/>
      <x:c r="W147" s="59"/>
      <x:c r="X147" s="59"/>
      <x:c r="Y147" s="59"/>
      <x:c r="Z147" s="59"/>
      <x:c r="AA147" s="59"/>
      <x:c r="AB147" s="59"/>
      <x:c r="AC147" s="59"/>
      <x:c r="AD147" s="59"/>
      <x:c r="AE147" s="59"/>
      <x:c r="AF147" s="59"/>
      <x:c r="AG147" s="59"/>
      <x:c r="AH147" s="59"/>
      <x:c r="AI147" s="59"/>
      <x:c r="AJ147" s="59"/>
      <x:c r="AK147" s="59"/>
      <x:c r="AL147" s="59"/>
      <x:c r="AM147" s="59"/>
      <x:c r="AN147" s="59"/>
    </x:row>
    <x:row r="148">
      <x:c r="A148" s="59"/>
      <x:c r="B148" s="59"/>
      <x:c r="C148" s="59"/>
      <x:c r="D148" s="59"/>
      <x:c r="E148" s="59"/>
      <x:c r="F148" s="59"/>
      <x:c r="G148" s="59"/>
      <x:c r="H148" s="59"/>
      <x:c r="I148" s="59"/>
      <x:c r="J148" s="59"/>
      <x:c r="K148" s="59"/>
      <x:c r="L148" s="59"/>
      <x:c r="M148" s="59"/>
      <x:c r="N148" s="59"/>
      <x:c r="O148" s="59"/>
      <x:c r="P148" s="59"/>
      <x:c r="Q148" s="59"/>
      <x:c r="R148" s="59"/>
      <x:c r="S148" s="59"/>
      <x:c r="T148" s="59"/>
      <x:c r="U148" s="59"/>
      <x:c r="V148" s="59"/>
      <x:c r="W148" s="59"/>
      <x:c r="X148" s="59"/>
      <x:c r="Y148" s="59"/>
      <x:c r="Z148" s="59"/>
      <x:c r="AA148" s="59"/>
      <x:c r="AB148" s="59"/>
      <x:c r="AC148" s="59"/>
      <x:c r="AD148" s="59"/>
      <x:c r="AE148" s="59"/>
      <x:c r="AF148" s="59"/>
      <x:c r="AG148" s="59"/>
      <x:c r="AH148" s="59"/>
      <x:c r="AI148" s="59"/>
      <x:c r="AJ148" s="59"/>
      <x:c r="AK148" s="59"/>
      <x:c r="AL148" s="59"/>
      <x:c r="AM148" s="59"/>
      <x:c r="AN148" s="59"/>
    </x:row>
    <x:row r="149">
      <x:c r="A149" s="59"/>
      <x:c r="B149" s="59"/>
      <x:c r="C149" s="59"/>
      <x:c r="D149" s="59"/>
      <x:c r="E149" s="59"/>
      <x:c r="F149" s="59"/>
      <x:c r="G149" s="59"/>
      <x:c r="H149" s="59"/>
      <x:c r="I149" s="59"/>
      <x:c r="J149" s="59"/>
      <x:c r="K149" s="59"/>
      <x:c r="L149" s="59"/>
      <x:c r="M149" s="59"/>
      <x:c r="N149" s="59"/>
      <x:c r="O149" s="59"/>
      <x:c r="P149" s="59"/>
      <x:c r="Q149" s="59"/>
      <x:c r="R149" s="59"/>
      <x:c r="S149" s="59"/>
      <x:c r="T149" s="59"/>
      <x:c r="U149" s="59"/>
      <x:c r="V149" s="59"/>
      <x:c r="W149" s="59"/>
      <x:c r="X149" s="59"/>
      <x:c r="Y149" s="59"/>
      <x:c r="Z149" s="59"/>
      <x:c r="AA149" s="59"/>
      <x:c r="AB149" s="59"/>
      <x:c r="AC149" s="59"/>
      <x:c r="AD149" s="59"/>
      <x:c r="AE149" s="59"/>
      <x:c r="AF149" s="59"/>
      <x:c r="AG149" s="59"/>
      <x:c r="AH149" s="59"/>
      <x:c r="AI149" s="59"/>
      <x:c r="AJ149" s="59"/>
      <x:c r="AK149" s="59"/>
      <x:c r="AL149" s="59"/>
      <x:c r="AM149" s="59"/>
      <x:c r="AN149" s="59"/>
    </x:row>
    <x:row r="150">
      <x:c r="A150" s="59"/>
      <x:c r="B150" s="59"/>
      <x:c r="C150" s="59"/>
      <x:c r="D150" s="59"/>
      <x:c r="E150" s="59"/>
      <x:c r="F150" s="59"/>
      <x:c r="G150" s="59"/>
      <x:c r="H150" s="59"/>
      <x:c r="I150" s="59"/>
      <x:c r="J150" s="59"/>
      <x:c r="K150" s="59"/>
      <x:c r="L150" s="59"/>
      <x:c r="M150" s="59"/>
      <x:c r="N150" s="59"/>
      <x:c r="O150" s="59"/>
      <x:c r="P150" s="59"/>
      <x:c r="Q150" s="59"/>
      <x:c r="R150" s="59"/>
      <x:c r="S150" s="59"/>
      <x:c r="T150" s="59"/>
      <x:c r="U150" s="59"/>
      <x:c r="V150" s="59"/>
      <x:c r="W150" s="59"/>
      <x:c r="X150" s="59"/>
      <x:c r="Y150" s="59"/>
      <x:c r="Z150" s="59"/>
      <x:c r="AA150" s="59"/>
      <x:c r="AB150" s="59"/>
      <x:c r="AC150" s="59"/>
      <x:c r="AD150" s="59"/>
      <x:c r="AE150" s="59"/>
      <x:c r="AF150" s="59"/>
      <x:c r="AG150" s="59"/>
      <x:c r="AH150" s="59"/>
      <x:c r="AI150" s="59"/>
      <x:c r="AJ150" s="59"/>
      <x:c r="AK150" s="59"/>
      <x:c r="AL150" s="59"/>
      <x:c r="AM150" s="59"/>
      <x:c r="AN150" s="59"/>
    </x:row>
    <x:row r="151">
      <x:c r="A151" s="59"/>
      <x:c r="B151" s="59"/>
      <x:c r="C151" s="59"/>
      <x:c r="D151" s="59"/>
      <x:c r="E151" s="59"/>
      <x:c r="F151" s="59"/>
      <x:c r="G151" s="59"/>
      <x:c r="H151" s="59"/>
      <x:c r="I151" s="59"/>
      <x:c r="J151" s="59"/>
      <x:c r="K151" s="59"/>
      <x:c r="L151" s="59"/>
      <x:c r="M151" s="59"/>
      <x:c r="N151" s="59"/>
      <x:c r="O151" s="59"/>
      <x:c r="P151" s="59"/>
      <x:c r="Q151" s="59"/>
      <x:c r="R151" s="59"/>
      <x:c r="S151" s="59"/>
      <x:c r="T151" s="59"/>
      <x:c r="U151" s="59"/>
      <x:c r="V151" s="59"/>
      <x:c r="W151" s="59"/>
      <x:c r="X151" s="59"/>
      <x:c r="Y151" s="59"/>
      <x:c r="Z151" s="59"/>
      <x:c r="AA151" s="59"/>
      <x:c r="AB151" s="59"/>
      <x:c r="AC151" s="59"/>
      <x:c r="AD151" s="59"/>
      <x:c r="AE151" s="59"/>
      <x:c r="AF151" s="59"/>
      <x:c r="AG151" s="59"/>
      <x:c r="AH151" s="59"/>
      <x:c r="AI151" s="59"/>
      <x:c r="AJ151" s="59"/>
      <x:c r="AK151" s="59"/>
      <x:c r="AL151" s="59"/>
      <x:c r="AM151" s="59"/>
      <x:c r="AN151" s="59"/>
    </x:row>
    <x:row r="152">
      <x:c r="A152" s="59"/>
      <x:c r="B152" s="59"/>
      <x:c r="C152" s="59"/>
      <x:c r="D152" s="59"/>
      <x:c r="E152" s="59"/>
      <x:c r="F152" s="59"/>
      <x:c r="G152" s="59"/>
      <x:c r="H152" s="59"/>
      <x:c r="I152" s="59"/>
      <x:c r="J152" s="59"/>
      <x:c r="K152" s="59"/>
      <x:c r="L152" s="59"/>
      <x:c r="M152" s="59"/>
      <x:c r="N152" s="59"/>
      <x:c r="O152" s="59"/>
      <x:c r="P152" s="59"/>
      <x:c r="Q152" s="59"/>
      <x:c r="R152" s="59"/>
      <x:c r="S152" s="59"/>
      <x:c r="T152" s="59"/>
      <x:c r="U152" s="59"/>
      <x:c r="V152" s="59"/>
      <x:c r="W152" s="59"/>
      <x:c r="X152" s="59"/>
      <x:c r="Y152" s="59"/>
      <x:c r="Z152" s="59"/>
      <x:c r="AA152" s="59"/>
      <x:c r="AB152" s="59"/>
      <x:c r="AC152" s="59"/>
      <x:c r="AD152" s="59"/>
      <x:c r="AE152" s="59"/>
      <x:c r="AF152" s="59"/>
      <x:c r="AG152" s="59"/>
      <x:c r="AH152" s="59"/>
      <x:c r="AI152" s="59"/>
      <x:c r="AJ152" s="59"/>
      <x:c r="AK152" s="59"/>
      <x:c r="AL152" s="59"/>
      <x:c r="AM152" s="59"/>
      <x:c r="AN152" s="59"/>
    </x:row>
    <x:row r="153">
      <x:c r="A153" s="59"/>
      <x:c r="B153" s="59"/>
      <x:c r="C153" s="59"/>
      <x:c r="D153" s="59"/>
      <x:c r="E153" s="59"/>
      <x:c r="F153" s="59"/>
      <x:c r="G153" s="59"/>
      <x:c r="H153" s="59"/>
      <x:c r="I153" s="59"/>
      <x:c r="J153" s="59"/>
      <x:c r="K153" s="59"/>
      <x:c r="L153" s="59"/>
      <x:c r="M153" s="59"/>
      <x:c r="N153" s="59"/>
      <x:c r="O153" s="59"/>
      <x:c r="P153" s="59"/>
      <x:c r="Q153" s="59"/>
      <x:c r="R153" s="59"/>
      <x:c r="S153" s="59"/>
      <x:c r="T153" s="59"/>
      <x:c r="U153" s="59"/>
      <x:c r="V153" s="59"/>
      <x:c r="W153" s="59"/>
      <x:c r="X153" s="59"/>
      <x:c r="Y153" s="59"/>
      <x:c r="Z153" s="59"/>
      <x:c r="AA153" s="59"/>
      <x:c r="AB153" s="59"/>
      <x:c r="AC153" s="59"/>
      <x:c r="AD153" s="59"/>
      <x:c r="AE153" s="59"/>
      <x:c r="AF153" s="59"/>
      <x:c r="AG153" s="59"/>
      <x:c r="AH153" s="59"/>
      <x:c r="AI153" s="59"/>
      <x:c r="AJ153" s="59"/>
      <x:c r="AK153" s="59"/>
      <x:c r="AL153" s="59"/>
      <x:c r="AM153" s="59"/>
      <x:c r="AN153" s="59"/>
    </x:row>
    <x:row r="154">
      <x:c r="A154" s="59"/>
      <x:c r="B154" s="59"/>
      <x:c r="C154" s="59"/>
      <x:c r="D154" s="59"/>
      <x:c r="E154" s="59"/>
      <x:c r="F154" s="59"/>
      <x:c r="G154" s="59"/>
      <x:c r="H154" s="59"/>
      <x:c r="I154" s="59"/>
      <x:c r="J154" s="59"/>
      <x:c r="K154" s="59"/>
      <x:c r="L154" s="59"/>
      <x:c r="M154" s="59"/>
      <x:c r="N154" s="59"/>
      <x:c r="O154" s="59"/>
      <x:c r="P154" s="59"/>
      <x:c r="Q154" s="59"/>
      <x:c r="R154" s="59"/>
      <x:c r="S154" s="59"/>
      <x:c r="T154" s="59"/>
      <x:c r="U154" s="59"/>
      <x:c r="V154" s="59"/>
      <x:c r="W154" s="59"/>
      <x:c r="X154" s="59"/>
      <x:c r="Y154" s="59"/>
      <x:c r="Z154" s="59"/>
      <x:c r="AA154" s="59"/>
      <x:c r="AB154" s="59"/>
      <x:c r="AC154" s="59"/>
      <x:c r="AD154" s="59"/>
      <x:c r="AE154" s="59"/>
      <x:c r="AF154" s="59"/>
      <x:c r="AG154" s="59"/>
      <x:c r="AH154" s="59"/>
      <x:c r="AI154" s="59"/>
      <x:c r="AJ154" s="59"/>
      <x:c r="AK154" s="59"/>
      <x:c r="AL154" s="59"/>
      <x:c r="AM154" s="59"/>
      <x:c r="AN154" s="59"/>
    </x:row>
    <x:row r="155">
      <x:c r="A155" s="59"/>
      <x:c r="B155" s="59"/>
      <x:c r="C155" s="59"/>
      <x:c r="D155" s="59"/>
      <x:c r="E155" s="59"/>
      <x:c r="F155" s="59"/>
      <x:c r="G155" s="59"/>
      <x:c r="H155" s="59"/>
      <x:c r="I155" s="59"/>
      <x:c r="J155" s="59"/>
      <x:c r="K155" s="59"/>
      <x:c r="L155" s="59"/>
      <x:c r="M155" s="59"/>
      <x:c r="N155" s="59"/>
      <x:c r="O155" s="59"/>
      <x:c r="P155" s="59"/>
      <x:c r="Q155" s="59"/>
      <x:c r="R155" s="59"/>
      <x:c r="S155" s="59"/>
      <x:c r="T155" s="59"/>
      <x:c r="U155" s="59"/>
      <x:c r="V155" s="59"/>
      <x:c r="W155" s="59"/>
      <x:c r="X155" s="59"/>
      <x:c r="Y155" s="59"/>
      <x:c r="Z155" s="59"/>
      <x:c r="AA155" s="59"/>
      <x:c r="AB155" s="59"/>
      <x:c r="AC155" s="59"/>
      <x:c r="AD155" s="59"/>
      <x:c r="AE155" s="59"/>
      <x:c r="AF155" s="59"/>
      <x:c r="AG155" s="59"/>
      <x:c r="AH155" s="59"/>
      <x:c r="AI155" s="59"/>
      <x:c r="AJ155" s="59"/>
      <x:c r="AK155" s="59"/>
      <x:c r="AL155" s="59"/>
      <x:c r="AM155" s="59"/>
      <x:c r="AN155" s="59"/>
    </x:row>
    <x:row r="156">
      <x:c r="A156" s="59"/>
      <x:c r="B156" s="59"/>
      <x:c r="C156" s="59"/>
      <x:c r="D156" s="59"/>
      <x:c r="E156" s="59"/>
      <x:c r="F156" s="59"/>
      <x:c r="G156" s="59"/>
      <x:c r="H156" s="59"/>
      <x:c r="I156" s="59"/>
      <x:c r="J156" s="59"/>
      <x:c r="K156" s="59"/>
      <x:c r="L156" s="59"/>
      <x:c r="M156" s="59"/>
      <x:c r="N156" s="59"/>
      <x:c r="O156" s="59"/>
      <x:c r="P156" s="59"/>
      <x:c r="Q156" s="59"/>
      <x:c r="R156" s="59"/>
      <x:c r="S156" s="59"/>
      <x:c r="T156" s="59"/>
      <x:c r="U156" s="59"/>
      <x:c r="V156" s="59"/>
      <x:c r="W156" s="59"/>
      <x:c r="X156" s="59"/>
      <x:c r="Y156" s="59"/>
      <x:c r="Z156" s="59"/>
      <x:c r="AA156" s="59"/>
      <x:c r="AB156" s="59"/>
      <x:c r="AC156" s="59"/>
      <x:c r="AD156" s="59"/>
      <x:c r="AE156" s="59"/>
      <x:c r="AF156" s="59"/>
      <x:c r="AG156" s="59"/>
      <x:c r="AH156" s="59"/>
      <x:c r="AI156" s="59"/>
      <x:c r="AJ156" s="59"/>
      <x:c r="AK156" s="59"/>
      <x:c r="AL156" s="59"/>
      <x:c r="AM156" s="59"/>
      <x:c r="AN156" s="59"/>
    </x:row>
    <x:row r="157">
      <x:c r="A157" s="59"/>
      <x:c r="B157" s="59"/>
      <x:c r="C157" s="59"/>
      <x:c r="D157" s="59"/>
      <x:c r="E157" s="59"/>
      <x:c r="F157" s="59"/>
      <x:c r="G157" s="59"/>
      <x:c r="H157" s="59"/>
      <x:c r="I157" s="59"/>
      <x:c r="J157" s="59"/>
      <x:c r="K157" s="59"/>
      <x:c r="L157" s="59"/>
      <x:c r="M157" s="59"/>
      <x:c r="N157" s="59"/>
      <x:c r="O157" s="59"/>
      <x:c r="P157" s="59"/>
      <x:c r="Q157" s="59"/>
      <x:c r="R157" s="59"/>
      <x:c r="S157" s="59"/>
      <x:c r="T157" s="59"/>
      <x:c r="U157" s="59"/>
      <x:c r="V157" s="59"/>
      <x:c r="W157" s="59"/>
      <x:c r="X157" s="59"/>
      <x:c r="Y157" s="59"/>
      <x:c r="Z157" s="59"/>
      <x:c r="AA157" s="59"/>
      <x:c r="AB157" s="59"/>
      <x:c r="AC157" s="59"/>
      <x:c r="AD157" s="59"/>
      <x:c r="AE157" s="59"/>
      <x:c r="AF157" s="59"/>
      <x:c r="AG157" s="59"/>
      <x:c r="AH157" s="59"/>
      <x:c r="AI157" s="59"/>
      <x:c r="AJ157" s="59"/>
      <x:c r="AK157" s="59"/>
      <x:c r="AL157" s="59"/>
      <x:c r="AM157" s="59"/>
      <x:c r="AN157" s="59"/>
    </x:row>
    <x:row r="158">
      <x:c r="A158" s="59"/>
      <x:c r="B158" s="59"/>
      <x:c r="C158" s="59"/>
      <x:c r="D158" s="59"/>
      <x:c r="E158" s="59"/>
      <x:c r="F158" s="59"/>
      <x:c r="G158" s="59"/>
      <x:c r="H158" s="59"/>
      <x:c r="I158" s="59"/>
      <x:c r="J158" s="59"/>
      <x:c r="K158" s="59"/>
      <x:c r="L158" s="59"/>
      <x:c r="M158" s="59"/>
      <x:c r="N158" s="59"/>
      <x:c r="O158" s="59"/>
      <x:c r="P158" s="59"/>
      <x:c r="Q158" s="59"/>
      <x:c r="R158" s="59"/>
      <x:c r="S158" s="59"/>
      <x:c r="T158" s="59"/>
      <x:c r="U158" s="59"/>
      <x:c r="V158" s="59"/>
      <x:c r="W158" s="59"/>
      <x:c r="X158" s="59"/>
      <x:c r="Y158" s="59"/>
      <x:c r="Z158" s="59"/>
      <x:c r="AA158" s="59"/>
      <x:c r="AB158" s="59"/>
      <x:c r="AC158" s="59"/>
      <x:c r="AD158" s="59"/>
      <x:c r="AE158" s="59"/>
      <x:c r="AF158" s="59"/>
      <x:c r="AG158" s="59"/>
      <x:c r="AH158" s="59"/>
      <x:c r="AI158" s="59"/>
      <x:c r="AJ158" s="59"/>
      <x:c r="AK158" s="59"/>
      <x:c r="AL158" s="59"/>
      <x:c r="AM158" s="59"/>
      <x:c r="AN158" s="59"/>
    </x:row>
    <x:row r="159">
      <x:c r="A159" s="59"/>
      <x:c r="B159" s="59"/>
      <x:c r="C159" s="59"/>
      <x:c r="D159" s="59"/>
      <x:c r="E159" s="59"/>
      <x:c r="F159" s="59"/>
      <x:c r="G159" s="59"/>
      <x:c r="H159" s="59"/>
      <x:c r="I159" s="59"/>
      <x:c r="J159" s="59"/>
      <x:c r="K159" s="59"/>
      <x:c r="L159" s="59"/>
      <x:c r="M159" s="59"/>
      <x:c r="N159" s="59"/>
      <x:c r="O159" s="59"/>
      <x:c r="P159" s="59"/>
      <x:c r="Q159" s="59"/>
      <x:c r="R159" s="59"/>
      <x:c r="S159" s="59"/>
      <x:c r="T159" s="59"/>
      <x:c r="U159" s="59"/>
      <x:c r="V159" s="59"/>
      <x:c r="W159" s="59"/>
      <x:c r="X159" s="59"/>
      <x:c r="Y159" s="59"/>
      <x:c r="Z159" s="59"/>
      <x:c r="AA159" s="59"/>
      <x:c r="AB159" s="59"/>
      <x:c r="AC159" s="59"/>
      <x:c r="AD159" s="59"/>
      <x:c r="AE159" s="59"/>
      <x:c r="AF159" s="59"/>
      <x:c r="AG159" s="59"/>
      <x:c r="AH159" s="59"/>
      <x:c r="AI159" s="59"/>
      <x:c r="AJ159" s="59"/>
      <x:c r="AK159" s="59"/>
      <x:c r="AL159" s="59"/>
      <x:c r="AM159" s="59"/>
      <x:c r="AN159" s="59"/>
    </x:row>
    <x:row r="160">
      <x:c r="A160" s="59"/>
      <x:c r="B160" s="59"/>
      <x:c r="C160" s="59"/>
      <x:c r="D160" s="59"/>
      <x:c r="E160" s="59"/>
      <x:c r="F160" s="59"/>
      <x:c r="G160" s="59"/>
      <x:c r="H160" s="59"/>
      <x:c r="I160" s="59"/>
      <x:c r="J160" s="59"/>
      <x:c r="K160" s="59"/>
      <x:c r="L160" s="59"/>
      <x:c r="M160" s="59"/>
      <x:c r="N160" s="59"/>
      <x:c r="O160" s="59"/>
      <x:c r="P160" s="59"/>
      <x:c r="Q160" s="59"/>
      <x:c r="R160" s="59"/>
      <x:c r="S160" s="59"/>
      <x:c r="T160" s="59"/>
      <x:c r="U160" s="59"/>
      <x:c r="V160" s="59"/>
      <x:c r="W160" s="59"/>
      <x:c r="X160" s="59"/>
      <x:c r="Y160" s="59"/>
      <x:c r="Z160" s="59"/>
      <x:c r="AA160" s="59"/>
      <x:c r="AB160" s="59"/>
      <x:c r="AC160" s="59"/>
      <x:c r="AD160" s="59"/>
      <x:c r="AE160" s="59"/>
      <x:c r="AF160" s="59"/>
      <x:c r="AG160" s="59"/>
      <x:c r="AH160" s="59"/>
      <x:c r="AI160" s="59"/>
      <x:c r="AJ160" s="59"/>
      <x:c r="AK160" s="59"/>
      <x:c r="AL160" s="59"/>
      <x:c r="AM160" s="59"/>
      <x:c r="AN160" s="59"/>
    </x:row>
    <x:row r="161">
      <x:c r="A161" s="59"/>
      <x:c r="B161" s="59"/>
      <x:c r="C161" s="59"/>
      <x:c r="D161" s="59"/>
      <x:c r="E161" s="59"/>
      <x:c r="F161" s="59"/>
      <x:c r="G161" s="59"/>
      <x:c r="H161" s="59"/>
      <x:c r="I161" s="59"/>
      <x:c r="J161" s="59"/>
      <x:c r="K161" s="59"/>
      <x:c r="L161" s="59"/>
      <x:c r="M161" s="59"/>
      <x:c r="N161" s="59"/>
      <x:c r="O161" s="59"/>
      <x:c r="P161" s="59"/>
      <x:c r="Q161" s="59"/>
      <x:c r="R161" s="59"/>
      <x:c r="S161" s="59"/>
      <x:c r="T161" s="59"/>
      <x:c r="U161" s="59"/>
      <x:c r="V161" s="59"/>
      <x:c r="W161" s="59"/>
      <x:c r="X161" s="59"/>
      <x:c r="Y161" s="59"/>
      <x:c r="Z161" s="59"/>
      <x:c r="AA161" s="59"/>
      <x:c r="AB161" s="59"/>
      <x:c r="AC161" s="59"/>
      <x:c r="AD161" s="59"/>
      <x:c r="AE161" s="59"/>
      <x:c r="AF161" s="59"/>
      <x:c r="AG161" s="59"/>
      <x:c r="AH161" s="59"/>
      <x:c r="AI161" s="59"/>
      <x:c r="AJ161" s="59"/>
      <x:c r="AK161" s="59"/>
      <x:c r="AL161" s="59"/>
      <x:c r="AM161" s="59"/>
      <x:c r="AN161" s="59"/>
    </x:row>
    <x:row r="162">
      <x:c r="A162" s="59"/>
      <x:c r="B162" s="59"/>
      <x:c r="C162" s="59"/>
      <x:c r="D162" s="59"/>
      <x:c r="E162" s="59"/>
      <x:c r="F162" s="59"/>
      <x:c r="G162" s="59"/>
      <x:c r="H162" s="59"/>
      <x:c r="I162" s="59"/>
      <x:c r="J162" s="59"/>
      <x:c r="K162" s="59"/>
      <x:c r="L162" s="59"/>
      <x:c r="M162" s="59"/>
      <x:c r="N162" s="59"/>
      <x:c r="O162" s="59"/>
      <x:c r="P162" s="59"/>
      <x:c r="Q162" s="59"/>
      <x:c r="R162" s="59"/>
      <x:c r="S162" s="59"/>
      <x:c r="T162" s="59"/>
      <x:c r="U162" s="59"/>
      <x:c r="V162" s="59"/>
      <x:c r="W162" s="59"/>
      <x:c r="X162" s="59"/>
      <x:c r="Y162" s="59"/>
      <x:c r="Z162" s="59"/>
      <x:c r="AA162" s="59"/>
      <x:c r="AB162" s="59"/>
      <x:c r="AC162" s="59"/>
      <x:c r="AD162" s="59"/>
      <x:c r="AE162" s="59"/>
      <x:c r="AF162" s="59"/>
      <x:c r="AG162" s="59"/>
      <x:c r="AH162" s="59"/>
      <x:c r="AI162" s="59"/>
      <x:c r="AJ162" s="59"/>
      <x:c r="AK162" s="59"/>
      <x:c r="AL162" s="59"/>
      <x:c r="AM162" s="59"/>
      <x:c r="AN162" s="59"/>
    </x:row>
    <x:row r="163">
      <x:c r="A163" s="59"/>
      <x:c r="B163" s="59"/>
      <x:c r="C163" s="59"/>
      <x:c r="D163" s="59"/>
      <x:c r="E163" s="59"/>
      <x:c r="F163" s="59"/>
      <x:c r="G163" s="59"/>
      <x:c r="H163" s="59"/>
      <x:c r="I163" s="59"/>
      <x:c r="J163" s="59"/>
      <x:c r="K163" s="59"/>
      <x:c r="L163" s="59"/>
      <x:c r="M163" s="59"/>
      <x:c r="N163" s="59"/>
      <x:c r="O163" s="59"/>
      <x:c r="P163" s="59"/>
      <x:c r="Q163" s="59"/>
      <x:c r="R163" s="59"/>
      <x:c r="S163" s="59"/>
      <x:c r="T163" s="59"/>
      <x:c r="U163" s="59"/>
      <x:c r="V163" s="59"/>
      <x:c r="W163" s="59"/>
      <x:c r="X163" s="59"/>
      <x:c r="Y163" s="59"/>
      <x:c r="Z163" s="59"/>
      <x:c r="AA163" s="59"/>
      <x:c r="AB163" s="59"/>
      <x:c r="AC163" s="59"/>
      <x:c r="AD163" s="59"/>
      <x:c r="AE163" s="59"/>
      <x:c r="AF163" s="59"/>
      <x:c r="AG163" s="59"/>
      <x:c r="AH163" s="59"/>
      <x:c r="AI163" s="59"/>
      <x:c r="AJ163" s="59"/>
      <x:c r="AK163" s="59"/>
      <x:c r="AL163" s="59"/>
      <x:c r="AM163" s="59"/>
      <x:c r="AN163" s="59"/>
    </x:row>
    <x:row r="164">
      <x:c r="A164" s="59"/>
      <x:c r="B164" s="59"/>
      <x:c r="C164" s="59"/>
      <x:c r="D164" s="59"/>
      <x:c r="E164" s="59"/>
      <x:c r="F164" s="59"/>
      <x:c r="G164" s="59"/>
      <x:c r="H164" s="59"/>
      <x:c r="I164" s="59"/>
      <x:c r="J164" s="59"/>
      <x:c r="K164" s="59"/>
      <x:c r="L164" s="59"/>
      <x:c r="M164" s="59"/>
      <x:c r="N164" s="59"/>
      <x:c r="O164" s="59"/>
      <x:c r="P164" s="59"/>
      <x:c r="Q164" s="59"/>
      <x:c r="R164" s="59"/>
      <x:c r="S164" s="59"/>
      <x:c r="T164" s="59"/>
      <x:c r="U164" s="59"/>
      <x:c r="V164" s="59"/>
      <x:c r="W164" s="59"/>
      <x:c r="X164" s="59"/>
      <x:c r="Y164" s="59"/>
      <x:c r="Z164" s="59"/>
      <x:c r="AA164" s="59"/>
      <x:c r="AB164" s="59"/>
      <x:c r="AC164" s="59"/>
      <x:c r="AD164" s="59"/>
      <x:c r="AE164" s="59"/>
      <x:c r="AF164" s="59"/>
      <x:c r="AG164" s="59"/>
      <x:c r="AH164" s="59"/>
      <x:c r="AI164" s="59"/>
      <x:c r="AJ164" s="59"/>
      <x:c r="AK164" s="59"/>
      <x:c r="AL164" s="59"/>
      <x:c r="AM164" s="59"/>
      <x:c r="AN164" s="59"/>
    </x:row>
    <x:row r="165">
      <x:c r="A165" s="59"/>
      <x:c r="B165" s="59"/>
      <x:c r="C165" s="59"/>
      <x:c r="D165" s="59"/>
      <x:c r="E165" s="59"/>
      <x:c r="F165" s="59"/>
      <x:c r="G165" s="59"/>
      <x:c r="H165" s="59"/>
      <x:c r="I165" s="59"/>
      <x:c r="J165" s="59"/>
      <x:c r="K165" s="59"/>
      <x:c r="L165" s="59"/>
      <x:c r="M165" s="59"/>
      <x:c r="N165" s="59"/>
      <x:c r="O165" s="59"/>
      <x:c r="P165" s="59"/>
      <x:c r="Q165" s="59"/>
      <x:c r="R165" s="59"/>
      <x:c r="S165" s="59"/>
      <x:c r="T165" s="59"/>
      <x:c r="U165" s="59"/>
      <x:c r="V165" s="59"/>
      <x:c r="W165" s="59"/>
      <x:c r="X165" s="59"/>
      <x:c r="Y165" s="59"/>
      <x:c r="Z165" s="59"/>
      <x:c r="AA165" s="59"/>
      <x:c r="AB165" s="59"/>
      <x:c r="AC165" s="59"/>
      <x:c r="AD165" s="59"/>
      <x:c r="AE165" s="59"/>
      <x:c r="AF165" s="59"/>
      <x:c r="AG165" s="59"/>
      <x:c r="AH165" s="59"/>
      <x:c r="AI165" s="59"/>
      <x:c r="AJ165" s="59"/>
      <x:c r="AK165" s="59"/>
      <x:c r="AL165" s="59"/>
      <x:c r="AM165" s="59"/>
      <x:c r="AN165" s="59"/>
    </x:row>
    <x:row r="166">
      <x:c r="A166" s="59"/>
      <x:c r="B166" s="59"/>
      <x:c r="C166" s="59"/>
      <x:c r="D166" s="59"/>
      <x:c r="E166" s="59"/>
      <x:c r="F166" s="59"/>
      <x:c r="G166" s="59"/>
      <x:c r="H166" s="59"/>
      <x:c r="I166" s="59"/>
      <x:c r="J166" s="59"/>
      <x:c r="K166" s="59"/>
      <x:c r="L166" s="59"/>
      <x:c r="M166" s="59"/>
      <x:c r="N166" s="59"/>
      <x:c r="O166" s="59"/>
      <x:c r="P166" s="59"/>
      <x:c r="Q166" s="59"/>
      <x:c r="R166" s="59"/>
      <x:c r="S166" s="59"/>
      <x:c r="T166" s="59"/>
      <x:c r="U166" s="59"/>
      <x:c r="V166" s="59"/>
      <x:c r="W166" s="59"/>
      <x:c r="X166" s="59"/>
      <x:c r="Y166" s="59"/>
      <x:c r="Z166" s="59"/>
      <x:c r="AA166" s="59"/>
      <x:c r="AB166" s="59"/>
      <x:c r="AC166" s="59"/>
      <x:c r="AD166" s="59"/>
      <x:c r="AE166" s="59"/>
      <x:c r="AF166" s="59"/>
      <x:c r="AG166" s="59"/>
      <x:c r="AH166" s="59"/>
      <x:c r="AI166" s="59"/>
      <x:c r="AJ166" s="59"/>
      <x:c r="AK166" s="59"/>
      <x:c r="AL166" s="59"/>
      <x:c r="AM166" s="59"/>
      <x:c r="AN166" s="59"/>
    </x:row>
    <x:row r="167">
      <x:c r="A167" s="59"/>
      <x:c r="B167" s="59"/>
      <x:c r="C167" s="59"/>
      <x:c r="D167" s="59"/>
      <x:c r="E167" s="59"/>
      <x:c r="F167" s="59"/>
      <x:c r="G167" s="59"/>
      <x:c r="H167" s="59"/>
      <x:c r="I167" s="59"/>
      <x:c r="J167" s="59"/>
      <x:c r="K167" s="59"/>
      <x:c r="L167" s="59"/>
      <x:c r="M167" s="59"/>
      <x:c r="N167" s="59"/>
      <x:c r="O167" s="59"/>
      <x:c r="P167" s="59"/>
      <x:c r="Q167" s="59"/>
      <x:c r="R167" s="59"/>
      <x:c r="S167" s="59"/>
      <x:c r="T167" s="59"/>
      <x:c r="U167" s="59"/>
      <x:c r="V167" s="59"/>
      <x:c r="W167" s="59"/>
      <x:c r="X167" s="59"/>
      <x:c r="Y167" s="59"/>
      <x:c r="Z167" s="59"/>
      <x:c r="AA167" s="59"/>
      <x:c r="AB167" s="59"/>
      <x:c r="AC167" s="59"/>
      <x:c r="AD167" s="59"/>
      <x:c r="AE167" s="59"/>
      <x:c r="AF167" s="59"/>
      <x:c r="AG167" s="59"/>
      <x:c r="AH167" s="59"/>
      <x:c r="AI167" s="59"/>
      <x:c r="AJ167" s="59"/>
      <x:c r="AK167" s="59"/>
      <x:c r="AL167" s="59"/>
      <x:c r="AM167" s="59"/>
      <x:c r="AN167" s="59"/>
    </x:row>
    <x:row r="168">
      <x:c r="A168" s="59"/>
      <x:c r="B168" s="59"/>
      <x:c r="C168" s="59"/>
      <x:c r="D168" s="59"/>
      <x:c r="E168" s="59"/>
      <x:c r="F168" s="59"/>
      <x:c r="G168" s="59"/>
      <x:c r="H168" s="59"/>
      <x:c r="I168" s="59"/>
      <x:c r="J168" s="59"/>
      <x:c r="K168" s="59"/>
      <x:c r="L168" s="59"/>
      <x:c r="M168" s="59"/>
      <x:c r="N168" s="59"/>
      <x:c r="O168" s="59"/>
      <x:c r="P168" s="59"/>
      <x:c r="Q168" s="59"/>
      <x:c r="R168" s="59"/>
      <x:c r="S168" s="59"/>
      <x:c r="T168" s="59"/>
      <x:c r="U168" s="59"/>
      <x:c r="V168" s="59"/>
      <x:c r="W168" s="59"/>
      <x:c r="X168" s="59"/>
      <x:c r="Y168" s="59"/>
      <x:c r="Z168" s="59"/>
      <x:c r="AA168" s="59"/>
      <x:c r="AB168" s="59"/>
      <x:c r="AC168" s="59"/>
      <x:c r="AD168" s="59"/>
      <x:c r="AE168" s="59"/>
      <x:c r="AF168" s="59"/>
      <x:c r="AG168" s="59"/>
      <x:c r="AH168" s="59"/>
      <x:c r="AI168" s="59"/>
      <x:c r="AJ168" s="59"/>
      <x:c r="AK168" s="59"/>
      <x:c r="AL168" s="59"/>
      <x:c r="AM168" s="59"/>
      <x:c r="AN168" s="59"/>
    </x:row>
    <x:row r="169">
      <x:c r="A169" s="59"/>
      <x:c r="B169" s="59"/>
      <x:c r="C169" s="59"/>
      <x:c r="D169" s="59"/>
      <x:c r="E169" s="59"/>
      <x:c r="F169" s="59"/>
      <x:c r="G169" s="59"/>
      <x:c r="H169" s="59"/>
      <x:c r="I169" s="59"/>
      <x:c r="J169" s="59"/>
      <x:c r="K169" s="59"/>
      <x:c r="L169" s="59"/>
      <x:c r="M169" s="59"/>
      <x:c r="N169" s="59"/>
      <x:c r="O169" s="59"/>
      <x:c r="P169" s="59"/>
      <x:c r="Q169" s="59"/>
      <x:c r="R169" s="59"/>
      <x:c r="S169" s="59"/>
      <x:c r="T169" s="59"/>
      <x:c r="U169" s="59"/>
      <x:c r="V169" s="59"/>
      <x:c r="W169" s="59"/>
      <x:c r="X169" s="59"/>
      <x:c r="Y169" s="59"/>
      <x:c r="Z169" s="59"/>
      <x:c r="AA169" s="59"/>
      <x:c r="AB169" s="59"/>
      <x:c r="AC169" s="59"/>
      <x:c r="AD169" s="59"/>
      <x:c r="AE169" s="59"/>
      <x:c r="AF169" s="59"/>
      <x:c r="AG169" s="59"/>
      <x:c r="AH169" s="59"/>
      <x:c r="AI169" s="59"/>
      <x:c r="AJ169" s="59"/>
      <x:c r="AK169" s="59"/>
      <x:c r="AL169" s="59"/>
      <x:c r="AM169" s="59"/>
      <x:c r="AN169" s="59"/>
    </x:row>
    <x:row r="170">
      <x:c r="A170" s="59"/>
      <x:c r="B170" s="59"/>
      <x:c r="C170" s="59"/>
      <x:c r="D170" s="59"/>
      <x:c r="E170" s="59"/>
      <x:c r="F170" s="59"/>
      <x:c r="G170" s="59"/>
      <x:c r="H170" s="59"/>
      <x:c r="I170" s="59"/>
      <x:c r="J170" s="59"/>
      <x:c r="K170" s="59"/>
      <x:c r="L170" s="59"/>
      <x:c r="M170" s="59"/>
      <x:c r="N170" s="59"/>
      <x:c r="O170" s="59"/>
      <x:c r="P170" s="59"/>
      <x:c r="Q170" s="59"/>
      <x:c r="R170" s="59"/>
      <x:c r="S170" s="59"/>
      <x:c r="T170" s="59"/>
      <x:c r="U170" s="59"/>
      <x:c r="V170" s="59"/>
      <x:c r="W170" s="59"/>
      <x:c r="X170" s="59"/>
      <x:c r="Y170" s="59"/>
      <x:c r="Z170" s="59"/>
      <x:c r="AA170" s="59"/>
      <x:c r="AB170" s="59"/>
      <x:c r="AC170" s="59"/>
      <x:c r="AD170" s="59"/>
      <x:c r="AE170" s="59"/>
      <x:c r="AF170" s="59"/>
      <x:c r="AG170" s="59"/>
      <x:c r="AH170" s="59"/>
      <x:c r="AI170" s="59"/>
      <x:c r="AJ170" s="59"/>
      <x:c r="AK170" s="59"/>
      <x:c r="AL170" s="59"/>
      <x:c r="AM170" s="59"/>
      <x:c r="AN170" s="59"/>
    </x:row>
    <x:row r="171">
      <x:c r="A171" s="59"/>
      <x:c r="B171" s="59"/>
      <x:c r="C171" s="59"/>
      <x:c r="D171" s="59"/>
      <x:c r="E171" s="59"/>
      <x:c r="F171" s="59"/>
      <x:c r="G171" s="59"/>
      <x:c r="H171" s="59"/>
      <x:c r="I171" s="59"/>
      <x:c r="J171" s="59"/>
      <x:c r="K171" s="59"/>
      <x:c r="L171" s="59"/>
      <x:c r="M171" s="59"/>
      <x:c r="N171" s="59"/>
      <x:c r="O171" s="59"/>
      <x:c r="P171" s="59"/>
      <x:c r="Q171" s="59"/>
      <x:c r="R171" s="59"/>
      <x:c r="S171" s="59"/>
      <x:c r="T171" s="59"/>
      <x:c r="U171" s="59"/>
      <x:c r="V171" s="59"/>
      <x:c r="W171" s="59"/>
      <x:c r="X171" s="59"/>
      <x:c r="Y171" s="59"/>
      <x:c r="Z171" s="59"/>
      <x:c r="AA171" s="59"/>
      <x:c r="AB171" s="59"/>
      <x:c r="AC171" s="59"/>
      <x:c r="AD171" s="59"/>
      <x:c r="AE171" s="59"/>
      <x:c r="AF171" s="59"/>
      <x:c r="AG171" s="59"/>
      <x:c r="AH171" s="59"/>
      <x:c r="AI171" s="59"/>
      <x:c r="AJ171" s="59"/>
      <x:c r="AK171" s="59"/>
      <x:c r="AL171" s="59"/>
      <x:c r="AM171" s="59"/>
      <x:c r="AN171" s="59"/>
    </x:row>
    <x:row r="172">
      <x:c r="A172" s="59"/>
      <x:c r="B172" s="59"/>
      <x:c r="C172" s="59"/>
      <x:c r="D172" s="59"/>
      <x:c r="E172" s="59"/>
      <x:c r="F172" s="59"/>
      <x:c r="G172" s="59"/>
      <x:c r="H172" s="59"/>
      <x:c r="I172" s="59"/>
      <x:c r="J172" s="59"/>
      <x:c r="K172" s="59"/>
      <x:c r="L172" s="59"/>
      <x:c r="M172" s="59"/>
      <x:c r="N172" s="59"/>
      <x:c r="O172" s="59"/>
      <x:c r="P172" s="59"/>
      <x:c r="Q172" s="59"/>
      <x:c r="R172" s="59"/>
      <x:c r="S172" s="59"/>
      <x:c r="T172" s="59"/>
      <x:c r="U172" s="59"/>
      <x:c r="V172" s="59"/>
      <x:c r="W172" s="59"/>
      <x:c r="X172" s="59"/>
      <x:c r="Y172" s="59"/>
      <x:c r="Z172" s="59"/>
      <x:c r="AA172" s="59"/>
      <x:c r="AB172" s="59"/>
      <x:c r="AC172" s="59"/>
      <x:c r="AD172" s="59"/>
      <x:c r="AE172" s="59"/>
      <x:c r="AF172" s="59"/>
      <x:c r="AG172" s="59"/>
      <x:c r="AH172" s="59"/>
      <x:c r="AI172" s="59"/>
      <x:c r="AJ172" s="59"/>
      <x:c r="AK172" s="59"/>
      <x:c r="AL172" s="59"/>
      <x:c r="AM172" s="59"/>
      <x:c r="AN172" s="59"/>
    </x:row>
    <x:row r="173">
      <x:c r="A173" s="59"/>
      <x:c r="B173" s="59"/>
      <x:c r="C173" s="59"/>
      <x:c r="D173" s="59"/>
      <x:c r="E173" s="59"/>
      <x:c r="F173" s="59"/>
      <x:c r="G173" s="59"/>
      <x:c r="H173" s="59"/>
      <x:c r="I173" s="59"/>
      <x:c r="J173" s="59"/>
      <x:c r="K173" s="59"/>
      <x:c r="L173" s="59"/>
      <x:c r="M173" s="59"/>
      <x:c r="N173" s="59"/>
      <x:c r="O173" s="59"/>
      <x:c r="P173" s="59"/>
      <x:c r="Q173" s="59"/>
      <x:c r="R173" s="59"/>
      <x:c r="S173" s="59"/>
      <x:c r="T173" s="59"/>
      <x:c r="U173" s="59"/>
      <x:c r="V173" s="59"/>
      <x:c r="W173" s="59"/>
      <x:c r="X173" s="59"/>
      <x:c r="Y173" s="59"/>
      <x:c r="Z173" s="59"/>
      <x:c r="AA173" s="59"/>
      <x:c r="AB173" s="59"/>
      <x:c r="AC173" s="59"/>
      <x:c r="AD173" s="59"/>
      <x:c r="AE173" s="59"/>
      <x:c r="AF173" s="59"/>
      <x:c r="AG173" s="59"/>
      <x:c r="AH173" s="59"/>
      <x:c r="AI173" s="59"/>
      <x:c r="AJ173" s="59"/>
      <x:c r="AK173" s="59"/>
      <x:c r="AL173" s="59"/>
      <x:c r="AM173" s="59"/>
      <x:c r="AN173" s="59"/>
    </x:row>
    <x:row r="174">
      <x:c r="A174" s="59"/>
      <x:c r="B174" s="59"/>
      <x:c r="C174" s="59"/>
      <x:c r="D174" s="59"/>
      <x:c r="E174" s="59"/>
      <x:c r="F174" s="59"/>
      <x:c r="G174" s="59"/>
      <x:c r="H174" s="59"/>
      <x:c r="I174" s="59"/>
      <x:c r="J174" s="59"/>
      <x:c r="K174" s="59"/>
      <x:c r="L174" s="59"/>
      <x:c r="M174" s="59"/>
      <x:c r="N174" s="59"/>
      <x:c r="O174" s="59"/>
      <x:c r="P174" s="59"/>
      <x:c r="Q174" s="59"/>
      <x:c r="R174" s="59"/>
      <x:c r="S174" s="59"/>
      <x:c r="T174" s="59"/>
      <x:c r="U174" s="59"/>
      <x:c r="V174" s="59"/>
      <x:c r="W174" s="59"/>
      <x:c r="X174" s="59"/>
      <x:c r="Y174" s="59"/>
      <x:c r="Z174" s="59"/>
      <x:c r="AA174" s="59"/>
      <x:c r="AB174" s="59"/>
      <x:c r="AC174" s="59"/>
      <x:c r="AD174" s="59"/>
      <x:c r="AE174" s="59"/>
      <x:c r="AF174" s="59"/>
      <x:c r="AG174" s="59"/>
      <x:c r="AH174" s="59"/>
      <x:c r="AI174" s="59"/>
      <x:c r="AJ174" s="59"/>
      <x:c r="AK174" s="59"/>
      <x:c r="AL174" s="59"/>
      <x:c r="AM174" s="59"/>
      <x:c r="AN174" s="59"/>
    </x:row>
    <x:row r="175">
      <x:c r="A175" s="59"/>
      <x:c r="B175" s="59"/>
      <x:c r="C175" s="59"/>
      <x:c r="D175" s="59"/>
      <x:c r="E175" s="59"/>
      <x:c r="F175" s="59"/>
      <x:c r="G175" s="59"/>
      <x:c r="H175" s="59"/>
      <x:c r="I175" s="59"/>
      <x:c r="J175" s="59"/>
      <x:c r="K175" s="59"/>
      <x:c r="L175" s="59"/>
      <x:c r="M175" s="59"/>
      <x:c r="N175" s="59"/>
      <x:c r="O175" s="59"/>
      <x:c r="P175" s="59"/>
      <x:c r="Q175" s="59"/>
      <x:c r="R175" s="59"/>
      <x:c r="S175" s="59"/>
      <x:c r="T175" s="59"/>
      <x:c r="U175" s="59"/>
      <x:c r="V175" s="59"/>
      <x:c r="W175" s="59"/>
      <x:c r="X175" s="59"/>
      <x:c r="Y175" s="59"/>
      <x:c r="Z175" s="59"/>
      <x:c r="AA175" s="59"/>
      <x:c r="AB175" s="59"/>
      <x:c r="AC175" s="59"/>
      <x:c r="AD175" s="59"/>
      <x:c r="AE175" s="59"/>
      <x:c r="AF175" s="59"/>
      <x:c r="AG175" s="59"/>
      <x:c r="AH175" s="59"/>
      <x:c r="AI175" s="59"/>
      <x:c r="AJ175" s="59"/>
      <x:c r="AK175" s="59"/>
      <x:c r="AL175" s="59"/>
      <x:c r="AM175" s="59"/>
      <x:c r="AN175" s="59"/>
    </x:row>
    <x:row r="176">
      <x:c r="A176" s="59"/>
      <x:c r="B176" s="59"/>
      <x:c r="C176" s="59"/>
      <x:c r="D176" s="59"/>
      <x:c r="E176" s="59"/>
      <x:c r="F176" s="59"/>
      <x:c r="G176" s="59"/>
      <x:c r="H176" s="59"/>
      <x:c r="I176" s="59"/>
      <x:c r="J176" s="59"/>
      <x:c r="K176" s="59"/>
      <x:c r="L176" s="59"/>
      <x:c r="M176" s="59"/>
      <x:c r="N176" s="59"/>
      <x:c r="O176" s="59"/>
      <x:c r="P176" s="59"/>
      <x:c r="Q176" s="59"/>
      <x:c r="R176" s="59"/>
      <x:c r="S176" s="59"/>
      <x:c r="T176" s="59"/>
      <x:c r="U176" s="59"/>
      <x:c r="V176" s="59"/>
      <x:c r="W176" s="59"/>
      <x:c r="X176" s="59"/>
      <x:c r="Y176" s="59"/>
      <x:c r="Z176" s="59"/>
      <x:c r="AA176" s="59"/>
      <x:c r="AB176" s="59"/>
      <x:c r="AC176" s="59"/>
      <x:c r="AD176" s="59"/>
      <x:c r="AE176" s="59"/>
      <x:c r="AF176" s="59"/>
      <x:c r="AG176" s="59"/>
      <x:c r="AH176" s="59"/>
      <x:c r="AI176" s="59"/>
      <x:c r="AJ176" s="59"/>
      <x:c r="AK176" s="59"/>
      <x:c r="AL176" s="59"/>
      <x:c r="AM176" s="59"/>
      <x:c r="AN176" s="59"/>
    </x:row>
    <x:row r="177">
      <x:c r="A177" s="59"/>
      <x:c r="B177" s="59"/>
      <x:c r="C177" s="59"/>
      <x:c r="D177" s="59"/>
      <x:c r="E177" s="59"/>
      <x:c r="F177" s="59"/>
      <x:c r="G177" s="59"/>
      <x:c r="H177" s="59"/>
      <x:c r="I177" s="59"/>
      <x:c r="J177" s="59"/>
      <x:c r="K177" s="59"/>
      <x:c r="L177" s="59"/>
      <x:c r="M177" s="59"/>
      <x:c r="N177" s="59"/>
      <x:c r="O177" s="59"/>
      <x:c r="P177" s="59"/>
      <x:c r="Q177" s="59"/>
      <x:c r="R177" s="59"/>
      <x:c r="S177" s="59"/>
      <x:c r="T177" s="59"/>
      <x:c r="U177" s="59"/>
      <x:c r="V177" s="59"/>
      <x:c r="W177" s="59"/>
      <x:c r="X177" s="59"/>
      <x:c r="Y177" s="59"/>
      <x:c r="Z177" s="59"/>
      <x:c r="AA177" s="59"/>
      <x:c r="AB177" s="59"/>
      <x:c r="AC177" s="59"/>
      <x:c r="AD177" s="59"/>
      <x:c r="AE177" s="59"/>
      <x:c r="AF177" s="59"/>
      <x:c r="AG177" s="59"/>
      <x:c r="AH177" s="59"/>
      <x:c r="AI177" s="59"/>
      <x:c r="AJ177" s="59"/>
      <x:c r="AK177" s="59"/>
      <x:c r="AL177" s="59"/>
      <x:c r="AM177" s="59"/>
      <x:c r="AN177" s="59"/>
    </x:row>
    <x:row r="178">
      <x:c r="A178" s="59"/>
      <x:c r="B178" s="59"/>
      <x:c r="C178" s="59"/>
      <x:c r="D178" s="59"/>
      <x:c r="E178" s="59"/>
      <x:c r="F178" s="59"/>
      <x:c r="G178" s="59"/>
      <x:c r="H178" s="59"/>
      <x:c r="I178" s="59"/>
      <x:c r="J178" s="59"/>
      <x:c r="K178" s="59"/>
      <x:c r="L178" s="59"/>
      <x:c r="M178" s="59"/>
      <x:c r="N178" s="59"/>
      <x:c r="O178" s="59"/>
      <x:c r="P178" s="59"/>
      <x:c r="Q178" s="59"/>
      <x:c r="R178" s="59"/>
      <x:c r="S178" s="59"/>
      <x:c r="T178" s="59"/>
      <x:c r="U178" s="59"/>
      <x:c r="V178" s="59"/>
      <x:c r="W178" s="59"/>
      <x:c r="X178" s="59"/>
      <x:c r="Y178" s="59"/>
      <x:c r="Z178" s="59"/>
      <x:c r="AA178" s="59"/>
      <x:c r="AB178" s="59"/>
      <x:c r="AC178" s="59"/>
      <x:c r="AD178" s="59"/>
      <x:c r="AE178" s="59"/>
      <x:c r="AF178" s="59"/>
      <x:c r="AG178" s="59"/>
      <x:c r="AH178" s="59"/>
      <x:c r="AI178" s="59"/>
      <x:c r="AJ178" s="59"/>
      <x:c r="AK178" s="59"/>
      <x:c r="AL178" s="59"/>
      <x:c r="AM178" s="59"/>
      <x:c r="AN178" s="59"/>
    </x:row>
    <x:row r="179">
      <x:c r="A179" s="59"/>
      <x:c r="B179" s="59"/>
      <x:c r="C179" s="59"/>
      <x:c r="D179" s="59"/>
      <x:c r="E179" s="59"/>
      <x:c r="F179" s="59"/>
      <x:c r="G179" s="59"/>
      <x:c r="H179" s="59"/>
      <x:c r="I179" s="59"/>
      <x:c r="J179" s="59"/>
      <x:c r="K179" s="59"/>
      <x:c r="L179" s="59"/>
      <x:c r="M179" s="59"/>
      <x:c r="N179" s="59"/>
      <x:c r="O179" s="59"/>
      <x:c r="P179" s="59"/>
      <x:c r="Q179" s="59"/>
      <x:c r="R179" s="59"/>
      <x:c r="S179" s="59"/>
      <x:c r="T179" s="59"/>
      <x:c r="U179" s="59"/>
      <x:c r="V179" s="59"/>
      <x:c r="W179" s="59"/>
      <x:c r="X179" s="59"/>
      <x:c r="Y179" s="59"/>
      <x:c r="Z179" s="59"/>
      <x:c r="AA179" s="59"/>
      <x:c r="AB179" s="59"/>
      <x:c r="AC179" s="59"/>
      <x:c r="AD179" s="59"/>
      <x:c r="AE179" s="59"/>
      <x:c r="AF179" s="59"/>
      <x:c r="AG179" s="59"/>
      <x:c r="AH179" s="59"/>
      <x:c r="AI179" s="59"/>
      <x:c r="AJ179" s="59"/>
      <x:c r="AK179" s="59"/>
      <x:c r="AL179" s="59"/>
      <x:c r="AM179" s="59"/>
      <x:c r="AN179" s="59"/>
    </x:row>
    <x:row r="180">
      <x:c r="A180" s="59"/>
      <x:c r="B180" s="59"/>
      <x:c r="C180" s="59"/>
      <x:c r="D180" s="59"/>
      <x:c r="E180" s="59"/>
      <x:c r="F180" s="59"/>
      <x:c r="G180" s="59"/>
      <x:c r="H180" s="59"/>
      <x:c r="I180" s="59"/>
      <x:c r="J180" s="59"/>
      <x:c r="K180" s="59"/>
      <x:c r="L180" s="59"/>
      <x:c r="M180" s="59"/>
      <x:c r="N180" s="59"/>
      <x:c r="O180" s="59"/>
      <x:c r="P180" s="59"/>
      <x:c r="Q180" s="59"/>
      <x:c r="R180" s="59"/>
      <x:c r="S180" s="59"/>
      <x:c r="T180" s="59"/>
      <x:c r="U180" s="59"/>
      <x:c r="V180" s="59"/>
      <x:c r="W180" s="59"/>
      <x:c r="X180" s="59"/>
      <x:c r="Y180" s="59"/>
      <x:c r="Z180" s="59"/>
      <x:c r="AA180" s="59"/>
      <x:c r="AB180" s="59"/>
      <x:c r="AC180" s="59"/>
      <x:c r="AD180" s="59"/>
      <x:c r="AE180" s="59"/>
      <x:c r="AF180" s="59"/>
      <x:c r="AG180" s="59"/>
      <x:c r="AH180" s="59"/>
      <x:c r="AI180" s="59"/>
      <x:c r="AJ180" s="59"/>
      <x:c r="AK180" s="59"/>
      <x:c r="AL180" s="59"/>
      <x:c r="AM180" s="59"/>
      <x:c r="AN180" s="59"/>
    </x:row>
    <x:row r="181">
      <x:c r="A181" s="59"/>
      <x:c r="B181" s="59"/>
      <x:c r="C181" s="59"/>
      <x:c r="D181" s="59"/>
      <x:c r="E181" s="59"/>
      <x:c r="F181" s="59"/>
      <x:c r="G181" s="59"/>
      <x:c r="H181" s="59"/>
      <x:c r="I181" s="59"/>
      <x:c r="J181" s="59"/>
      <x:c r="K181" s="59"/>
      <x:c r="L181" s="59"/>
      <x:c r="M181" s="59"/>
      <x:c r="N181" s="59"/>
      <x:c r="O181" s="59"/>
      <x:c r="P181" s="59"/>
      <x:c r="Q181" s="59"/>
      <x:c r="R181" s="59"/>
      <x:c r="S181" s="59"/>
      <x:c r="T181" s="59"/>
      <x:c r="U181" s="59"/>
      <x:c r="V181" s="59"/>
      <x:c r="W181" s="59"/>
      <x:c r="X181" s="59"/>
      <x:c r="Y181" s="59"/>
      <x:c r="Z181" s="59"/>
      <x:c r="AA181" s="59"/>
      <x:c r="AB181" s="59"/>
      <x:c r="AC181" s="59"/>
      <x:c r="AD181" s="59"/>
      <x:c r="AE181" s="59"/>
      <x:c r="AF181" s="59"/>
      <x:c r="AG181" s="59"/>
      <x:c r="AH181" s="59"/>
      <x:c r="AI181" s="59"/>
      <x:c r="AJ181" s="59"/>
      <x:c r="AK181" s="59"/>
      <x:c r="AL181" s="59"/>
      <x:c r="AM181" s="59"/>
      <x:c r="AN181" s="59"/>
    </x:row>
    <x:row r="182">
      <x:c r="A182" s="59"/>
      <x:c r="B182" s="59"/>
      <x:c r="C182" s="59"/>
      <x:c r="D182" s="59"/>
      <x:c r="E182" s="59"/>
      <x:c r="F182" s="59"/>
      <x:c r="G182" s="59"/>
      <x:c r="H182" s="59"/>
      <x:c r="I182" s="59"/>
      <x:c r="J182" s="59"/>
      <x:c r="K182" s="59"/>
      <x:c r="L182" s="59"/>
      <x:c r="M182" s="59"/>
      <x:c r="N182" s="59"/>
      <x:c r="O182" s="59"/>
      <x:c r="P182" s="59"/>
      <x:c r="Q182" s="59"/>
      <x:c r="R182" s="59"/>
      <x:c r="S182" s="59"/>
      <x:c r="T182" s="59"/>
      <x:c r="U182" s="59"/>
      <x:c r="V182" s="59"/>
      <x:c r="W182" s="59"/>
      <x:c r="X182" s="59"/>
      <x:c r="Y182" s="59"/>
      <x:c r="Z182" s="59"/>
      <x:c r="AA182" s="59"/>
      <x:c r="AB182" s="59"/>
      <x:c r="AC182" s="59"/>
      <x:c r="AD182" s="59"/>
      <x:c r="AE182" s="59"/>
      <x:c r="AF182" s="59"/>
      <x:c r="AG182" s="59"/>
      <x:c r="AH182" s="59"/>
      <x:c r="AI182" s="59"/>
      <x:c r="AJ182" s="59"/>
      <x:c r="AK182" s="59"/>
      <x:c r="AL182" s="59"/>
      <x:c r="AM182" s="59"/>
      <x:c r="AN182" s="59"/>
    </x:row>
    <x:row r="183">
      <x:c r="A183" s="59"/>
      <x:c r="B183" s="59"/>
      <x:c r="C183" s="59"/>
      <x:c r="D183" s="59"/>
      <x:c r="E183" s="59"/>
      <x:c r="F183" s="59"/>
      <x:c r="G183" s="59"/>
      <x:c r="H183" s="59"/>
      <x:c r="I183" s="59"/>
      <x:c r="J183" s="59"/>
      <x:c r="K183" s="59"/>
      <x:c r="L183" s="59"/>
      <x:c r="M183" s="59"/>
      <x:c r="N183" s="59"/>
      <x:c r="O183" s="59"/>
      <x:c r="P183" s="59"/>
      <x:c r="Q183" s="59"/>
      <x:c r="R183" s="59"/>
      <x:c r="S183" s="59"/>
      <x:c r="T183" s="59"/>
      <x:c r="U183" s="59"/>
      <x:c r="V183" s="59"/>
      <x:c r="W183" s="59"/>
      <x:c r="X183" s="59"/>
      <x:c r="Y183" s="59"/>
      <x:c r="Z183" s="59"/>
      <x:c r="AA183" s="59"/>
      <x:c r="AB183" s="59"/>
      <x:c r="AC183" s="59"/>
      <x:c r="AD183" s="59"/>
      <x:c r="AE183" s="59"/>
      <x:c r="AF183" s="59"/>
      <x:c r="AG183" s="59"/>
      <x:c r="AH183" s="59"/>
      <x:c r="AI183" s="59"/>
      <x:c r="AJ183" s="59"/>
      <x:c r="AK183" s="59"/>
      <x:c r="AL183" s="59"/>
      <x:c r="AM183" s="59"/>
      <x:c r="AN183" s="59"/>
    </x:row>
    <x:row r="184">
      <x:c r="A184" s="59"/>
      <x:c r="B184" s="59"/>
      <x:c r="C184" s="59"/>
      <x:c r="D184" s="59"/>
      <x:c r="E184" s="59"/>
      <x:c r="F184" s="59"/>
      <x:c r="G184" s="59"/>
      <x:c r="H184" s="59"/>
      <x:c r="I184" s="59"/>
      <x:c r="J184" s="59"/>
      <x:c r="K184" s="59"/>
      <x:c r="L184" s="59"/>
      <x:c r="M184" s="59"/>
      <x:c r="N184" s="59"/>
      <x:c r="O184" s="59"/>
      <x:c r="P184" s="59"/>
      <x:c r="Q184" s="59"/>
      <x:c r="R184" s="59"/>
      <x:c r="S184" s="59"/>
      <x:c r="T184" s="59"/>
      <x:c r="U184" s="59"/>
      <x:c r="V184" s="59"/>
      <x:c r="W184" s="59"/>
      <x:c r="X184" s="59"/>
      <x:c r="Y184" s="59"/>
      <x:c r="Z184" s="59"/>
      <x:c r="AA184" s="59"/>
      <x:c r="AB184" s="59"/>
      <x:c r="AC184" s="59"/>
      <x:c r="AD184" s="59"/>
      <x:c r="AE184" s="59"/>
      <x:c r="AF184" s="59"/>
      <x:c r="AG184" s="59"/>
      <x:c r="AH184" s="59"/>
      <x:c r="AI184" s="59"/>
      <x:c r="AJ184" s="59"/>
      <x:c r="AK184" s="59"/>
      <x:c r="AL184" s="59"/>
      <x:c r="AM184" s="59"/>
      <x:c r="AN184" s="59"/>
    </x:row>
    <x:row r="185">
      <x:c r="A185" s="59"/>
      <x:c r="B185" s="59"/>
      <x:c r="C185" s="59"/>
      <x:c r="D185" s="59"/>
      <x:c r="E185" s="59"/>
      <x:c r="F185" s="59"/>
      <x:c r="G185" s="59"/>
      <x:c r="H185" s="59"/>
      <x:c r="I185" s="59"/>
      <x:c r="J185" s="59"/>
      <x:c r="K185" s="59"/>
      <x:c r="L185" s="59"/>
      <x:c r="M185" s="59"/>
      <x:c r="N185" s="59"/>
      <x:c r="O185" s="59"/>
      <x:c r="P185" s="59"/>
      <x:c r="Q185" s="59"/>
      <x:c r="R185" s="59"/>
      <x:c r="S185" s="59"/>
      <x:c r="T185" s="59"/>
      <x:c r="U185" s="59"/>
      <x:c r="V185" s="59"/>
      <x:c r="W185" s="59"/>
      <x:c r="X185" s="59"/>
      <x:c r="Y185" s="59"/>
      <x:c r="Z185" s="59"/>
      <x:c r="AA185" s="59"/>
      <x:c r="AB185" s="59"/>
      <x:c r="AC185" s="59"/>
      <x:c r="AD185" s="59"/>
      <x:c r="AE185" s="59"/>
      <x:c r="AF185" s="59"/>
      <x:c r="AG185" s="59"/>
      <x:c r="AH185" s="59"/>
      <x:c r="AI185" s="59"/>
      <x:c r="AJ185" s="59"/>
      <x:c r="AK185" s="59"/>
      <x:c r="AL185" s="59"/>
      <x:c r="AM185" s="59"/>
      <x:c r="AN185" s="59"/>
    </x:row>
    <x:row r="186">
      <x:c r="A186" s="59"/>
      <x:c r="B186" s="59"/>
      <x:c r="C186" s="59"/>
      <x:c r="D186" s="59"/>
      <x:c r="E186" s="59"/>
      <x:c r="F186" s="59"/>
      <x:c r="G186" s="59"/>
      <x:c r="H186" s="59"/>
      <x:c r="I186" s="59"/>
      <x:c r="J186" s="59"/>
      <x:c r="K186" s="59"/>
      <x:c r="L186" s="59"/>
      <x:c r="M186" s="59"/>
      <x:c r="N186" s="59"/>
      <x:c r="O186" s="59"/>
      <x:c r="P186" s="59"/>
      <x:c r="Q186" s="59"/>
      <x:c r="R186" s="59"/>
      <x:c r="S186" s="59"/>
      <x:c r="T186" s="59"/>
      <x:c r="U186" s="59"/>
      <x:c r="V186" s="59"/>
      <x:c r="W186" s="59"/>
      <x:c r="X186" s="59"/>
      <x:c r="Y186" s="59"/>
      <x:c r="Z186" s="59"/>
      <x:c r="AA186" s="59"/>
      <x:c r="AB186" s="59"/>
      <x:c r="AC186" s="59"/>
      <x:c r="AD186" s="59"/>
      <x:c r="AE186" s="59"/>
      <x:c r="AF186" s="59"/>
      <x:c r="AG186" s="59"/>
      <x:c r="AH186" s="59"/>
      <x:c r="AI186" s="59"/>
      <x:c r="AJ186" s="59"/>
      <x:c r="AK186" s="59"/>
      <x:c r="AL186" s="59"/>
      <x:c r="AM186" s="59"/>
      <x:c r="AN186" s="59"/>
    </x:row>
    <x:row r="187">
      <x:c r="A187" s="59"/>
      <x:c r="B187" s="59"/>
      <x:c r="C187" s="59"/>
      <x:c r="D187" s="59"/>
      <x:c r="E187" s="59"/>
      <x:c r="F187" s="59"/>
      <x:c r="G187" s="59"/>
      <x:c r="H187" s="59"/>
      <x:c r="I187" s="59"/>
      <x:c r="J187" s="59"/>
      <x:c r="K187" s="59"/>
      <x:c r="L187" s="59"/>
      <x:c r="M187" s="59"/>
      <x:c r="N187" s="59"/>
      <x:c r="O187" s="59"/>
      <x:c r="P187" s="59"/>
      <x:c r="Q187" s="59"/>
      <x:c r="R187" s="59"/>
      <x:c r="S187" s="59"/>
      <x:c r="T187" s="59"/>
      <x:c r="U187" s="59"/>
      <x:c r="V187" s="59"/>
      <x:c r="W187" s="59"/>
      <x:c r="X187" s="59"/>
      <x:c r="Y187" s="59"/>
      <x:c r="Z187" s="59"/>
      <x:c r="AA187" s="59"/>
      <x:c r="AB187" s="59"/>
      <x:c r="AC187" s="59"/>
      <x:c r="AD187" s="59"/>
      <x:c r="AE187" s="59"/>
      <x:c r="AF187" s="59"/>
      <x:c r="AG187" s="59"/>
      <x:c r="AH187" s="59"/>
      <x:c r="AI187" s="59"/>
      <x:c r="AJ187" s="59"/>
      <x:c r="AK187" s="59"/>
      <x:c r="AL187" s="59"/>
      <x:c r="AM187" s="59"/>
      <x:c r="AN187" s="59"/>
    </x:row>
    <x:row r="188">
      <x:c r="A188" s="59"/>
      <x:c r="B188" s="59"/>
      <x:c r="C188" s="59"/>
      <x:c r="D188" s="59"/>
      <x:c r="E188" s="59"/>
      <x:c r="F188" s="59"/>
      <x:c r="G188" s="59"/>
      <x:c r="H188" s="59"/>
      <x:c r="I188" s="59"/>
      <x:c r="J188" s="59"/>
      <x:c r="K188" s="59"/>
      <x:c r="L188" s="59"/>
      <x:c r="M188" s="59"/>
      <x:c r="N188" s="59"/>
      <x:c r="O188" s="59"/>
      <x:c r="P188" s="59"/>
      <x:c r="Q188" s="59"/>
      <x:c r="R188" s="59"/>
      <x:c r="S188" s="59"/>
      <x:c r="T188" s="59"/>
      <x:c r="U188" s="59"/>
      <x:c r="V188" s="59"/>
      <x:c r="W188" s="59"/>
      <x:c r="X188" s="59"/>
      <x:c r="Y188" s="59"/>
      <x:c r="Z188" s="59"/>
      <x:c r="AA188" s="59"/>
      <x:c r="AB188" s="59"/>
      <x:c r="AC188" s="59"/>
      <x:c r="AD188" s="59"/>
      <x:c r="AE188" s="59"/>
      <x:c r="AF188" s="59"/>
      <x:c r="AG188" s="59"/>
      <x:c r="AH188" s="59"/>
      <x:c r="AI188" s="59"/>
      <x:c r="AJ188" s="59"/>
      <x:c r="AK188" s="59"/>
      <x:c r="AL188" s="59"/>
      <x:c r="AM188" s="59"/>
      <x:c r="AN188" s="59"/>
    </x:row>
    <x:row r="189">
      <x:c r="A189" s="59"/>
      <x:c r="B189" s="59"/>
      <x:c r="C189" s="59"/>
      <x:c r="D189" s="59"/>
      <x:c r="E189" s="59"/>
      <x:c r="F189" s="59"/>
      <x:c r="G189" s="59"/>
      <x:c r="H189" s="59"/>
      <x:c r="I189" s="59"/>
      <x:c r="J189" s="59"/>
      <x:c r="K189" s="59"/>
      <x:c r="L189" s="59"/>
      <x:c r="M189" s="59"/>
      <x:c r="N189" s="59"/>
      <x:c r="O189" s="59"/>
      <x:c r="P189" s="59"/>
      <x:c r="Q189" s="59"/>
      <x:c r="R189" s="59"/>
      <x:c r="S189" s="59"/>
      <x:c r="T189" s="59"/>
      <x:c r="U189" s="59"/>
      <x:c r="V189" s="59"/>
      <x:c r="W189" s="59"/>
      <x:c r="X189" s="59"/>
      <x:c r="Y189" s="59"/>
      <x:c r="Z189" s="59"/>
      <x:c r="AA189" s="59"/>
      <x:c r="AB189" s="59"/>
      <x:c r="AC189" s="59"/>
      <x:c r="AD189" s="59"/>
      <x:c r="AE189" s="59"/>
      <x:c r="AF189" s="59"/>
      <x:c r="AG189" s="59"/>
      <x:c r="AH189" s="59"/>
      <x:c r="AI189" s="59"/>
      <x:c r="AJ189" s="59"/>
      <x:c r="AK189" s="59"/>
      <x:c r="AL189" s="59"/>
      <x:c r="AM189" s="59"/>
      <x:c r="AN189" s="59"/>
    </x:row>
    <x:row r="190">
      <x:c r="A190" s="59"/>
      <x:c r="B190" s="59"/>
      <x:c r="C190" s="59"/>
      <x:c r="D190" s="59"/>
      <x:c r="E190" s="59"/>
      <x:c r="F190" s="59"/>
      <x:c r="G190" s="59"/>
      <x:c r="H190" s="59"/>
      <x:c r="I190" s="59"/>
      <x:c r="J190" s="59"/>
      <x:c r="K190" s="59"/>
      <x:c r="L190" s="59"/>
      <x:c r="M190" s="59"/>
      <x:c r="N190" s="59"/>
      <x:c r="O190" s="59"/>
      <x:c r="P190" s="59"/>
      <x:c r="Q190" s="59"/>
      <x:c r="R190" s="59"/>
      <x:c r="S190" s="59"/>
      <x:c r="T190" s="59"/>
      <x:c r="U190" s="59"/>
      <x:c r="V190" s="59"/>
      <x:c r="W190" s="59"/>
      <x:c r="X190" s="59"/>
      <x:c r="Y190" s="59"/>
      <x:c r="Z190" s="59"/>
      <x:c r="AA190" s="59"/>
      <x:c r="AB190" s="59"/>
      <x:c r="AC190" s="59"/>
      <x:c r="AD190" s="59"/>
      <x:c r="AE190" s="59"/>
      <x:c r="AF190" s="59"/>
      <x:c r="AG190" s="59"/>
      <x:c r="AH190" s="59"/>
      <x:c r="AI190" s="59"/>
      <x:c r="AJ190" s="59"/>
      <x:c r="AK190" s="59"/>
      <x:c r="AL190" s="59"/>
      <x:c r="AM190" s="59"/>
      <x:c r="AN190" s="59"/>
    </x:row>
    <x:row r="191">
      <x:c r="A191" s="59"/>
      <x:c r="B191" s="59"/>
      <x:c r="C191" s="59"/>
      <x:c r="D191" s="59"/>
      <x:c r="E191" s="59"/>
      <x:c r="F191" s="59"/>
      <x:c r="G191" s="59"/>
      <x:c r="H191" s="59"/>
      <x:c r="I191" s="59"/>
      <x:c r="J191" s="59"/>
      <x:c r="K191" s="59"/>
      <x:c r="L191" s="59"/>
      <x:c r="M191" s="59"/>
      <x:c r="N191" s="59"/>
      <x:c r="O191" s="59"/>
      <x:c r="P191" s="59"/>
      <x:c r="Q191" s="59"/>
      <x:c r="R191" s="59"/>
      <x:c r="S191" s="59"/>
      <x:c r="T191" s="59"/>
      <x:c r="U191" s="59"/>
      <x:c r="V191" s="59"/>
      <x:c r="W191" s="59"/>
      <x:c r="X191" s="59"/>
      <x:c r="Y191" s="59"/>
      <x:c r="Z191" s="59"/>
      <x:c r="AA191" s="59"/>
      <x:c r="AB191" s="59"/>
      <x:c r="AC191" s="59"/>
      <x:c r="AD191" s="59"/>
      <x:c r="AE191" s="59"/>
      <x:c r="AF191" s="59"/>
      <x:c r="AG191" s="59"/>
      <x:c r="AH191" s="59"/>
      <x:c r="AI191" s="59"/>
      <x:c r="AJ191" s="59"/>
      <x:c r="AK191" s="59"/>
      <x:c r="AL191" s="59"/>
      <x:c r="AM191" s="59"/>
      <x:c r="AN191" s="59"/>
    </x:row>
    <x:row r="192">
      <x:c r="A192" s="59"/>
      <x:c r="B192" s="59"/>
      <x:c r="C192" s="59"/>
      <x:c r="D192" s="59"/>
      <x:c r="E192" s="59"/>
      <x:c r="F192" s="59"/>
      <x:c r="G192" s="59"/>
      <x:c r="H192" s="59"/>
      <x:c r="I192" s="59"/>
      <x:c r="J192" s="59"/>
      <x:c r="K192" s="59"/>
      <x:c r="L192" s="59"/>
      <x:c r="M192" s="59"/>
      <x:c r="N192" s="59"/>
      <x:c r="O192" s="59"/>
      <x:c r="P192" s="59"/>
      <x:c r="Q192" s="59"/>
      <x:c r="R192" s="59"/>
      <x:c r="S192" s="59"/>
      <x:c r="T192" s="59"/>
      <x:c r="U192" s="59"/>
      <x:c r="V192" s="59"/>
      <x:c r="W192" s="59"/>
      <x:c r="X192" s="59"/>
      <x:c r="Y192" s="59"/>
      <x:c r="Z192" s="59"/>
      <x:c r="AA192" s="59"/>
      <x:c r="AB192" s="59"/>
      <x:c r="AC192" s="59"/>
      <x:c r="AD192" s="59"/>
      <x:c r="AE192" s="59"/>
      <x:c r="AF192" s="59"/>
      <x:c r="AG192" s="59"/>
      <x:c r="AH192" s="59"/>
      <x:c r="AI192" s="59"/>
      <x:c r="AJ192" s="59"/>
      <x:c r="AK192" s="59"/>
      <x:c r="AL192" s="59"/>
      <x:c r="AM192" s="59"/>
      <x:c r="AN192" s="59"/>
    </x:row>
    <x:row r="193">
      <x:c r="A193" s="59"/>
      <x:c r="B193" s="59"/>
      <x:c r="C193" s="59"/>
      <x:c r="D193" s="59"/>
      <x:c r="E193" s="59"/>
      <x:c r="F193" s="59"/>
      <x:c r="G193" s="59"/>
      <x:c r="H193" s="59"/>
      <x:c r="I193" s="59"/>
      <x:c r="J193" s="59"/>
      <x:c r="K193" s="59"/>
      <x:c r="L193" s="59"/>
      <x:c r="M193" s="59"/>
      <x:c r="N193" s="59"/>
      <x:c r="O193" s="59"/>
      <x:c r="P193" s="59"/>
      <x:c r="Q193" s="59"/>
      <x:c r="R193" s="59"/>
      <x:c r="S193" s="59"/>
      <x:c r="T193" s="59"/>
      <x:c r="U193" s="59"/>
      <x:c r="V193" s="59"/>
      <x:c r="W193" s="59"/>
      <x:c r="X193" s="59"/>
      <x:c r="Y193" s="59"/>
      <x:c r="Z193" s="59"/>
      <x:c r="AA193" s="59"/>
      <x:c r="AB193" s="59"/>
      <x:c r="AC193" s="59"/>
      <x:c r="AD193" s="59"/>
      <x:c r="AE193" s="59"/>
      <x:c r="AF193" s="59"/>
      <x:c r="AG193" s="59"/>
      <x:c r="AH193" s="59"/>
      <x:c r="AI193" s="59"/>
      <x:c r="AJ193" s="59"/>
      <x:c r="AK193" s="59"/>
      <x:c r="AL193" s="59"/>
      <x:c r="AM193" s="59"/>
      <x:c r="AN193" s="59"/>
    </x:row>
    <x:row r="194">
      <x:c r="A194" s="59"/>
      <x:c r="B194" s="59"/>
      <x:c r="C194" s="59"/>
      <x:c r="D194" s="59"/>
      <x:c r="E194" s="59"/>
      <x:c r="F194" s="59"/>
      <x:c r="G194" s="59"/>
      <x:c r="H194" s="59"/>
      <x:c r="I194" s="59"/>
      <x:c r="J194" s="59"/>
      <x:c r="K194" s="59"/>
      <x:c r="L194" s="59"/>
      <x:c r="M194" s="59"/>
      <x:c r="N194" s="59"/>
      <x:c r="O194" s="59"/>
      <x:c r="P194" s="59"/>
      <x:c r="Q194" s="59"/>
      <x:c r="R194" s="59"/>
      <x:c r="S194" s="59"/>
      <x:c r="T194" s="59"/>
      <x:c r="U194" s="59"/>
      <x:c r="V194" s="59"/>
      <x:c r="W194" s="59"/>
      <x:c r="X194" s="59"/>
      <x:c r="Y194" s="59"/>
      <x:c r="Z194" s="59"/>
      <x:c r="AA194" s="59"/>
      <x:c r="AB194" s="59"/>
      <x:c r="AC194" s="59"/>
      <x:c r="AD194" s="59"/>
      <x:c r="AE194" s="59"/>
      <x:c r="AF194" s="59"/>
      <x:c r="AG194" s="59"/>
      <x:c r="AH194" s="59"/>
      <x:c r="AI194" s="59"/>
      <x:c r="AJ194" s="59"/>
      <x:c r="AK194" s="59"/>
      <x:c r="AL194" s="59"/>
      <x:c r="AM194" s="59"/>
      <x:c r="AN194" s="59"/>
    </x:row>
    <x:row r="195">
      <x:c r="A195" s="59"/>
      <x:c r="B195" s="59"/>
      <x:c r="C195" s="59"/>
      <x:c r="D195" s="59"/>
      <x:c r="E195" s="59"/>
      <x:c r="F195" s="59"/>
      <x:c r="G195" s="59"/>
      <x:c r="H195" s="59"/>
      <x:c r="I195" s="59"/>
      <x:c r="J195" s="59"/>
      <x:c r="K195" s="59"/>
      <x:c r="L195" s="59"/>
      <x:c r="M195" s="59"/>
      <x:c r="N195" s="59"/>
      <x:c r="O195" s="59"/>
      <x:c r="P195" s="59"/>
      <x:c r="Q195" s="59"/>
      <x:c r="R195" s="59"/>
      <x:c r="S195" s="59"/>
      <x:c r="T195" s="59"/>
      <x:c r="U195" s="59"/>
      <x:c r="V195" s="59"/>
      <x:c r="W195" s="59"/>
      <x:c r="X195" s="59"/>
      <x:c r="Y195" s="59"/>
      <x:c r="Z195" s="59"/>
      <x:c r="AA195" s="59"/>
      <x:c r="AB195" s="59"/>
      <x:c r="AC195" s="59"/>
      <x:c r="AD195" s="59"/>
      <x:c r="AE195" s="59"/>
      <x:c r="AF195" s="59"/>
      <x:c r="AG195" s="59"/>
      <x:c r="AH195" s="59"/>
      <x:c r="AI195" s="59"/>
      <x:c r="AJ195" s="59"/>
      <x:c r="AK195" s="59"/>
      <x:c r="AL195" s="59"/>
      <x:c r="AM195" s="59"/>
      <x:c r="AN195" s="59"/>
    </x:row>
    <x:row r="196">
      <x:c r="A196" s="59"/>
      <x:c r="B196" s="59"/>
      <x:c r="C196" s="59"/>
      <x:c r="D196" s="59"/>
      <x:c r="E196" s="59"/>
      <x:c r="F196" s="59"/>
      <x:c r="G196" s="59"/>
      <x:c r="H196" s="59"/>
      <x:c r="I196" s="59"/>
      <x:c r="J196" s="59"/>
      <x:c r="K196" s="59"/>
      <x:c r="L196" s="59"/>
      <x:c r="M196" s="59"/>
      <x:c r="N196" s="59"/>
      <x:c r="O196" s="59"/>
      <x:c r="P196" s="59"/>
      <x:c r="Q196" s="59"/>
      <x:c r="R196" s="59"/>
      <x:c r="S196" s="59"/>
      <x:c r="T196" s="59"/>
      <x:c r="U196" s="59"/>
      <x:c r="V196" s="59"/>
      <x:c r="W196" s="59"/>
      <x:c r="X196" s="59"/>
      <x:c r="Y196" s="59"/>
      <x:c r="Z196" s="59"/>
      <x:c r="AA196" s="59"/>
      <x:c r="AB196" s="59"/>
      <x:c r="AC196" s="59"/>
      <x:c r="AD196" s="59"/>
      <x:c r="AE196" s="59"/>
      <x:c r="AF196" s="59"/>
      <x:c r="AG196" s="59"/>
      <x:c r="AH196" s="59"/>
      <x:c r="AI196" s="59"/>
      <x:c r="AJ196" s="59"/>
      <x:c r="AK196" s="59"/>
      <x:c r="AL196" s="59"/>
      <x:c r="AM196" s="59"/>
      <x:c r="AN196" s="59"/>
    </x:row>
    <x:row r="197">
      <x:c r="A197" s="59"/>
      <x:c r="B197" s="59"/>
      <x:c r="C197" s="59"/>
      <x:c r="D197" s="59"/>
      <x:c r="E197" s="59"/>
      <x:c r="F197" s="59"/>
      <x:c r="G197" s="59"/>
      <x:c r="H197" s="59"/>
      <x:c r="I197" s="59"/>
      <x:c r="J197" s="59"/>
      <x:c r="K197" s="59"/>
      <x:c r="L197" s="59"/>
      <x:c r="M197" s="59"/>
      <x:c r="N197" s="59"/>
      <x:c r="O197" s="59"/>
      <x:c r="P197" s="59"/>
      <x:c r="Q197" s="59"/>
      <x:c r="R197" s="59"/>
      <x:c r="S197" s="59"/>
      <x:c r="T197" s="59"/>
      <x:c r="U197" s="59"/>
      <x:c r="V197" s="59"/>
      <x:c r="W197" s="59"/>
      <x:c r="X197" s="59"/>
      <x:c r="Y197" s="59"/>
      <x:c r="Z197" s="59"/>
      <x:c r="AA197" s="59"/>
      <x:c r="AB197" s="59"/>
      <x:c r="AC197" s="59"/>
      <x:c r="AD197" s="59"/>
      <x:c r="AE197" s="59"/>
      <x:c r="AF197" s="59"/>
      <x:c r="AG197" s="59"/>
      <x:c r="AH197" s="59"/>
      <x:c r="AI197" s="59"/>
      <x:c r="AJ197" s="59"/>
      <x:c r="AK197" s="59"/>
      <x:c r="AL197" s="59"/>
      <x:c r="AM197" s="59"/>
      <x:c r="AN197" s="59"/>
    </x:row>
    <x:row r="198">
      <x:c r="A198" s="59"/>
      <x:c r="B198" s="59"/>
      <x:c r="C198" s="59"/>
      <x:c r="D198" s="59"/>
      <x:c r="E198" s="59"/>
      <x:c r="F198" s="59"/>
      <x:c r="G198" s="59"/>
      <x:c r="H198" s="59"/>
      <x:c r="I198" s="59"/>
      <x:c r="J198" s="59"/>
      <x:c r="K198" s="59"/>
      <x:c r="L198" s="59"/>
      <x:c r="M198" s="59"/>
      <x:c r="N198" s="59"/>
      <x:c r="O198" s="59"/>
      <x:c r="P198" s="59"/>
      <x:c r="Q198" s="59"/>
      <x:c r="R198" s="59"/>
      <x:c r="S198" s="59"/>
      <x:c r="T198" s="59"/>
      <x:c r="U198" s="59"/>
      <x:c r="V198" s="59"/>
      <x:c r="W198" s="59"/>
      <x:c r="X198" s="59"/>
      <x:c r="Y198" s="59"/>
      <x:c r="Z198" s="59"/>
      <x:c r="AA198" s="59"/>
      <x:c r="AB198" s="59"/>
      <x:c r="AC198" s="59"/>
      <x:c r="AD198" s="59"/>
      <x:c r="AE198" s="59"/>
      <x:c r="AF198" s="59"/>
      <x:c r="AG198" s="59"/>
      <x:c r="AH198" s="59"/>
      <x:c r="AI198" s="59"/>
      <x:c r="AJ198" s="59"/>
      <x:c r="AK198" s="59"/>
      <x:c r="AL198" s="59"/>
      <x:c r="AM198" s="59"/>
      <x:c r="AN198" s="59"/>
    </x:row>
    <x:row r="199">
      <x:c r="A199" s="59"/>
      <x:c r="B199" s="59"/>
      <x:c r="C199" s="59"/>
      <x:c r="D199" s="59"/>
      <x:c r="E199" s="59"/>
      <x:c r="F199" s="59"/>
      <x:c r="G199" s="59"/>
      <x:c r="H199" s="59"/>
      <x:c r="I199" s="59"/>
      <x:c r="J199" s="59"/>
      <x:c r="K199" s="59"/>
      <x:c r="L199" s="59"/>
      <x:c r="M199" s="59"/>
      <x:c r="N199" s="59"/>
      <x:c r="O199" s="59"/>
      <x:c r="P199" s="59"/>
      <x:c r="Q199" s="59"/>
      <x:c r="R199" s="59"/>
      <x:c r="S199" s="59"/>
      <x:c r="T199" s="59"/>
      <x:c r="U199" s="59"/>
      <x:c r="V199" s="59"/>
      <x:c r="W199" s="59"/>
      <x:c r="X199" s="59"/>
      <x:c r="Y199" s="59"/>
      <x:c r="Z199" s="59"/>
      <x:c r="AA199" s="59"/>
      <x:c r="AB199" s="59"/>
      <x:c r="AC199" s="59"/>
      <x:c r="AD199" s="59"/>
      <x:c r="AE199" s="59"/>
      <x:c r="AF199" s="59"/>
      <x:c r="AG199" s="59"/>
      <x:c r="AH199" s="59"/>
      <x:c r="AI199" s="59"/>
      <x:c r="AJ199" s="59"/>
      <x:c r="AK199" s="59"/>
      <x:c r="AL199" s="59"/>
      <x:c r="AM199" s="59"/>
      <x:c r="AN199" s="59"/>
    </x:row>
    <x:row r="200">
      <x:c r="A200" s="59"/>
      <x:c r="B200" s="59"/>
      <x:c r="C200" s="59"/>
      <x:c r="D200" s="59"/>
      <x:c r="E200" s="59"/>
      <x:c r="F200" s="59"/>
      <x:c r="G200" s="59"/>
      <x:c r="H200" s="59"/>
      <x:c r="I200" s="59"/>
      <x:c r="J200" s="59"/>
      <x:c r="K200" s="59"/>
      <x:c r="L200" s="59"/>
      <x:c r="M200" s="59"/>
      <x:c r="N200" s="59"/>
      <x:c r="O200" s="59"/>
      <x:c r="P200" s="59"/>
      <x:c r="Q200" s="59"/>
      <x:c r="R200" s="59"/>
      <x:c r="S200" s="59"/>
      <x:c r="T200" s="59"/>
      <x:c r="U200" s="59"/>
      <x:c r="V200" s="59"/>
      <x:c r="W200" s="59"/>
      <x:c r="X200" s="59"/>
      <x:c r="Y200" s="59"/>
      <x:c r="Z200" s="59"/>
      <x:c r="AA200" s="59"/>
      <x:c r="AB200" s="59"/>
      <x:c r="AC200" s="59"/>
      <x:c r="AD200" s="59"/>
      <x:c r="AE200" s="59"/>
      <x:c r="AF200" s="59"/>
      <x:c r="AG200" s="59"/>
      <x:c r="AH200" s="59"/>
      <x:c r="AI200" s="59"/>
      <x:c r="AJ200" s="59"/>
      <x:c r="AK200" s="59"/>
      <x:c r="AL200" s="59"/>
      <x:c r="AM200" s="59"/>
      <x:c r="AN200" s="59"/>
    </x:row>
  </x:sheetData>
  <x:pageMargins left="0.7" right="0.7" top="0.75" bottom="0.75" header="0.3" footer="0.3"/>
  <x:tableParts count="1">
    <x:tablePart xmlns:r="http://schemas.openxmlformats.org/officeDocument/2006/relationships" r:id="Rd0720acc014a4e72"/>
  </x:tableParts>
</x:worksheet>
</file>

<file path=xl/worksheets/sheet9.xml><?xml version="1.0" encoding="utf-8"?>
<x:worksheet xmlns:x="http://schemas.openxmlformats.org/spreadsheetml/2006/main">
  <x:sheetFormatPr defaultRowHeight="15"/>
  <x:cols>
    <x:col min="1" max="1" width="22" hidden="0" customWidth="1"/>
    <x:col min="2" max="2" width="55" hidden="0" customWidth="1"/>
    <x:col min="3" max="3" width="72" hidden="0" customWidth="1"/>
    <x:col min="4" max="4" width="60" hidden="0" customWidth="1"/>
  </x:cols>
  <x:sheetData>
    <x:row r="1">
      <x:c r="A1" s="56" t="str">
        <x:v>Source Type</x:v>
      </x:c>
      <x:c r="B1" s="56" t="str">
        <x:v>Source Name</x:v>
      </x:c>
      <x:c r="C1" s="56" t="str">
        <x:v>URL / File</x:v>
      </x:c>
      <x:c r="D1" s="56" t="str">
        <x:v>How Used</x:v>
      </x:c>
      <x:c r="E1" s="59"/>
      <x:c r="F1" s="59"/>
      <x:c r="G1" s="59"/>
      <x:c r="H1" s="59"/>
      <x:c r="I1" s="59"/>
      <x:c r="J1" s="59"/>
      <x:c r="K1" s="59"/>
      <x:c r="L1" s="59"/>
      <x:c r="M1" s="59"/>
      <x:c r="N1" s="59"/>
      <x:c r="O1" s="59"/>
      <x:c r="P1" s="59"/>
      <x:c r="Q1" s="59"/>
      <x:c r="R1" s="59"/>
      <x:c r="S1" s="59"/>
      <x:c r="T1" s="59"/>
      <x:c r="U1" s="59"/>
      <x:c r="V1" s="59"/>
      <x:c r="W1" s="59"/>
      <x:c r="X1" s="59"/>
      <x:c r="Y1" s="59"/>
      <x:c r="Z1" s="59"/>
      <x:c r="AA1" s="59"/>
      <x:c r="AB1" s="59"/>
      <x:c r="AC1" s="59"/>
      <x:c r="AD1" s="59"/>
      <x:c r="AE1" s="59"/>
      <x:c r="AF1" s="59"/>
      <x:c r="AG1" s="59"/>
      <x:c r="AH1" s="59"/>
      <x:c r="AI1" s="59"/>
      <x:c r="AJ1" s="59"/>
      <x:c r="AK1" s="59"/>
      <x:c r="AL1" s="59"/>
      <x:c r="AM1" s="59"/>
      <x:c r="AN1" s="59"/>
    </x:row>
    <x:row r="2">
      <x:c r="A2" s="21" t="str">
        <x:v>Official web source</x:v>
      </x:c>
      <x:c r="B2" s="21" t="str">
        <x:v>Cloud Security Alliance — AI Security Maturity Model (AISMM)</x:v>
      </x:c>
      <x:c r="C2" s="21" t="str">
        <x:v>https://cloudsecurityalliance.org/artifacts/ai-security-maturity-model</x:v>
      </x:c>
      <x:c r="D2" s="21" t="str">
        <x:v>CSA AISMM positioning, scope, and source artifact context.</x:v>
      </x:c>
      <x:c r="E2" s="59"/>
      <x:c r="F2" s="59"/>
      <x:c r="G2" s="59"/>
      <x:c r="H2" s="59"/>
      <x:c r="I2" s="59"/>
      <x:c r="J2" s="59"/>
      <x:c r="K2" s="59"/>
      <x:c r="L2" s="59"/>
      <x:c r="M2" s="59"/>
      <x:c r="N2" s="59"/>
      <x:c r="O2" s="59"/>
      <x:c r="P2" s="59"/>
      <x:c r="Q2" s="59"/>
      <x:c r="R2" s="59"/>
      <x:c r="S2" s="59"/>
      <x:c r="T2" s="59"/>
      <x:c r="U2" s="59"/>
      <x:c r="V2" s="59"/>
      <x:c r="W2" s="59"/>
      <x:c r="X2" s="59"/>
      <x:c r="Y2" s="59"/>
      <x:c r="Z2" s="59"/>
      <x:c r="AA2" s="59"/>
      <x:c r="AB2" s="59"/>
      <x:c r="AC2" s="59"/>
      <x:c r="AD2" s="59"/>
      <x:c r="AE2" s="59"/>
      <x:c r="AF2" s="59"/>
      <x:c r="AG2" s="59"/>
      <x:c r="AH2" s="59"/>
      <x:c r="AI2" s="59"/>
      <x:c r="AJ2" s="59"/>
      <x:c r="AK2" s="59"/>
      <x:c r="AL2" s="59"/>
      <x:c r="AM2" s="59"/>
      <x:c r="AN2" s="59"/>
    </x:row>
    <x:row r="3">
      <x:c r="A3" s="21" t="str">
        <x:v>Official web source</x:v>
      </x:c>
      <x:c r="B3" s="21" t="str">
        <x:v>NIST — AI Risk Management Framework</x:v>
      </x:c>
      <x:c r="C3" s="21" t="str">
        <x:v>https://www.nist.gov/itl/ai-risk-management-framework</x:v>
      </x:c>
      <x:c r="D3" s="21" t="str">
        <x:v>NIST AI RMF framework context.</x:v>
      </x:c>
      <x:c r="E3" s="59"/>
      <x:c r="F3" s="59"/>
      <x:c r="G3" s="59"/>
      <x:c r="H3" s="59"/>
      <x:c r="I3" s="59"/>
      <x:c r="J3" s="59"/>
      <x:c r="K3" s="59"/>
      <x:c r="L3" s="59"/>
      <x:c r="M3" s="59"/>
      <x:c r="N3" s="59"/>
      <x:c r="O3" s="59"/>
      <x:c r="P3" s="59"/>
      <x:c r="Q3" s="59"/>
      <x:c r="R3" s="59"/>
      <x:c r="S3" s="59"/>
      <x:c r="T3" s="59"/>
      <x:c r="U3" s="59"/>
      <x:c r="V3" s="59"/>
      <x:c r="W3" s="59"/>
      <x:c r="X3" s="59"/>
      <x:c r="Y3" s="59"/>
      <x:c r="Z3" s="59"/>
      <x:c r="AA3" s="59"/>
      <x:c r="AB3" s="59"/>
      <x:c r="AC3" s="59"/>
      <x:c r="AD3" s="59"/>
      <x:c r="AE3" s="59"/>
      <x:c r="AF3" s="59"/>
      <x:c r="AG3" s="59"/>
      <x:c r="AH3" s="59"/>
      <x:c r="AI3" s="59"/>
      <x:c r="AJ3" s="59"/>
      <x:c r="AK3" s="59"/>
      <x:c r="AL3" s="59"/>
      <x:c r="AM3" s="59"/>
      <x:c r="AN3" s="59"/>
    </x:row>
    <x:row r="4">
      <x:c r="A4" s="21" t="str">
        <x:v>Official web source</x:v>
      </x:c>
      <x:c r="B4" s="21" t="str">
        <x:v>NIST AIRC — AI RMF Core</x:v>
      </x:c>
      <x:c r="C4" s="21" t="str">
        <x:v>https://airc.nist.gov/airmf-resources/airmf/5-sec-core/</x:v>
      </x:c>
      <x:c r="D4" s="21" t="str">
        <x:v>NIST Govern/Map/Measure/Manage structure and RMF Core context.</x:v>
      </x:c>
      <x:c r="E4" s="59"/>
      <x:c r="F4" s="59"/>
      <x:c r="G4" s="59"/>
      <x:c r="H4" s="59"/>
      <x:c r="I4" s="59"/>
      <x:c r="J4" s="59"/>
      <x:c r="K4" s="59"/>
      <x:c r="L4" s="59"/>
      <x:c r="M4" s="59"/>
      <x:c r="N4" s="59"/>
      <x:c r="O4" s="59"/>
      <x:c r="P4" s="59"/>
      <x:c r="Q4" s="59"/>
      <x:c r="R4" s="59"/>
      <x:c r="S4" s="59"/>
      <x:c r="T4" s="59"/>
      <x:c r="U4" s="59"/>
      <x:c r="V4" s="59"/>
      <x:c r="W4" s="59"/>
      <x:c r="X4" s="59"/>
      <x:c r="Y4" s="59"/>
      <x:c r="Z4" s="59"/>
      <x:c r="AA4" s="59"/>
      <x:c r="AB4" s="59"/>
      <x:c r="AC4" s="59"/>
      <x:c r="AD4" s="59"/>
      <x:c r="AE4" s="59"/>
      <x:c r="AF4" s="59"/>
      <x:c r="AG4" s="59"/>
      <x:c r="AH4" s="59"/>
      <x:c r="AI4" s="59"/>
      <x:c r="AJ4" s="59"/>
      <x:c r="AK4" s="59"/>
      <x:c r="AL4" s="59"/>
      <x:c r="AM4" s="59"/>
      <x:c r="AN4" s="59"/>
    </x:row>
    <x:row r="5">
      <x:c r="A5" s="21" t="str">
        <x:v>Official web source</x:v>
      </x:c>
      <x:c r="B5" s="21" t="str">
        <x:v>NIST AIRC — AI RMF Playbook</x:v>
      </x:c>
      <x:c r="C5" s="21" t="str">
        <x:v>https://airc.nist.gov/airmf-resources/playbook/</x:v>
      </x:c>
      <x:c r="D5" s="21" t="str">
        <x:v>Playbook alignment to AI RMF subcategories and suggested actions.</x:v>
      </x:c>
      <x:c r="E5" s="59"/>
      <x:c r="F5" s="59"/>
      <x:c r="G5" s="59"/>
      <x:c r="H5" s="59"/>
      <x:c r="I5" s="59"/>
      <x:c r="J5" s="59"/>
      <x:c r="K5" s="59"/>
      <x:c r="L5" s="59"/>
      <x:c r="M5" s="59"/>
      <x:c r="N5" s="59"/>
      <x:c r="O5" s="59"/>
      <x:c r="P5" s="59"/>
      <x:c r="Q5" s="59"/>
      <x:c r="R5" s="59"/>
      <x:c r="S5" s="59"/>
      <x:c r="T5" s="59"/>
      <x:c r="U5" s="59"/>
      <x:c r="V5" s="59"/>
      <x:c r="W5" s="59"/>
      <x:c r="X5" s="59"/>
      <x:c r="Y5" s="59"/>
      <x:c r="Z5" s="59"/>
      <x:c r="AA5" s="59"/>
      <x:c r="AB5" s="59"/>
      <x:c r="AC5" s="59"/>
      <x:c r="AD5" s="59"/>
      <x:c r="AE5" s="59"/>
      <x:c r="AF5" s="59"/>
      <x:c r="AG5" s="59"/>
      <x:c r="AH5" s="59"/>
      <x:c r="AI5" s="59"/>
      <x:c r="AJ5" s="59"/>
      <x:c r="AK5" s="59"/>
      <x:c r="AL5" s="59"/>
      <x:c r="AM5" s="59"/>
      <x:c r="AN5" s="59"/>
    </x:row>
    <x:row r="6">
      <x:c r="A6" s="21" t="str">
        <x:v>Official web source</x:v>
      </x:c>
      <x:c r="B6" s="21" t="str">
        <x:v>ISO — ISO/IEC 42001:2023 Artificial Intelligence Management System</x:v>
      </x:c>
      <x:c r="C6" s="21" t="str">
        <x:v>https://www.iso.org/standard/42001</x:v>
      </x:c>
      <x:c r="D6" s="21" t="str">
        <x:v>ISO 42001 public standard description and management-system context.</x:v>
      </x:c>
      <x:c r="E6" s="59"/>
      <x:c r="F6" s="59"/>
      <x:c r="G6" s="59"/>
      <x:c r="H6" s="59"/>
      <x:c r="I6" s="59"/>
      <x:c r="J6" s="59"/>
      <x:c r="K6" s="59"/>
      <x:c r="L6" s="59"/>
      <x:c r="M6" s="59"/>
      <x:c r="N6" s="59"/>
      <x:c r="O6" s="59"/>
      <x:c r="P6" s="59"/>
      <x:c r="Q6" s="59"/>
      <x:c r="R6" s="59"/>
      <x:c r="S6" s="59"/>
      <x:c r="T6" s="59"/>
      <x:c r="U6" s="59"/>
      <x:c r="V6" s="59"/>
      <x:c r="W6" s="59"/>
      <x:c r="X6" s="59"/>
      <x:c r="Y6" s="59"/>
      <x:c r="Z6" s="59"/>
      <x:c r="AA6" s="59"/>
      <x:c r="AB6" s="59"/>
      <x:c r="AC6" s="59"/>
      <x:c r="AD6" s="59"/>
      <x:c r="AE6" s="59"/>
      <x:c r="AF6" s="59"/>
      <x:c r="AG6" s="59"/>
      <x:c r="AH6" s="59"/>
      <x:c r="AI6" s="59"/>
      <x:c r="AJ6" s="59"/>
      <x:c r="AK6" s="59"/>
      <x:c r="AL6" s="59"/>
      <x:c r="AM6" s="59"/>
      <x:c r="AN6" s="59"/>
    </x:row>
    <x:row r="7">
      <x:c r="A7" s="21" t="str">
        <x:v>Uploaded file</x:v>
      </x:c>
      <x:c r="B7" s="21" t="str">
        <x:v>AISMM_v3.7_20260507 (2).xlsx</x:v>
      </x:c>
      <x:c r="C7" s="21" t="str">
        <x:v>/mnt/data/AISMM_v3.7_20260507 (2).xlsx</x:v>
      </x:c>
      <x:c r="D7" s="21" t="str">
        <x:v>Primary CSA AISMM control objectives, domains, and maturity-level definitions.</x:v>
      </x:c>
      <x:c r="E7" s="59"/>
      <x:c r="F7" s="59"/>
      <x:c r="G7" s="59"/>
      <x:c r="H7" s="59"/>
      <x:c r="I7" s="59"/>
      <x:c r="J7" s="59"/>
      <x:c r="K7" s="59"/>
      <x:c r="L7" s="59"/>
      <x:c r="M7" s="59"/>
      <x:c r="N7" s="59"/>
      <x:c r="O7" s="59"/>
      <x:c r="P7" s="59"/>
      <x:c r="Q7" s="59"/>
      <x:c r="R7" s="59"/>
      <x:c r="S7" s="59"/>
      <x:c r="T7" s="59"/>
      <x:c r="U7" s="59"/>
      <x:c r="V7" s="59"/>
      <x:c r="W7" s="59"/>
      <x:c r="X7" s="59"/>
      <x:c r="Y7" s="59"/>
      <x:c r="Z7" s="59"/>
      <x:c r="AA7" s="59"/>
      <x:c r="AB7" s="59"/>
      <x:c r="AC7" s="59"/>
      <x:c r="AD7" s="59"/>
      <x:c r="AE7" s="59"/>
      <x:c r="AF7" s="59"/>
      <x:c r="AG7" s="59"/>
      <x:c r="AH7" s="59"/>
      <x:c r="AI7" s="59"/>
      <x:c r="AJ7" s="59"/>
      <x:c r="AK7" s="59"/>
      <x:c r="AL7" s="59"/>
      <x:c r="AM7" s="59"/>
      <x:c r="AN7" s="59"/>
    </x:row>
    <x:row r="8">
      <x:c r="A8" s="21" t="str">
        <x:v>Uploaded file</x:v>
      </x:c>
      <x:c r="B8" s="21" t="str">
        <x:v>nist_ai_rmf_playbook.xlsx</x:v>
      </x:c>
      <x:c r="C8" s="21" t="str">
        <x:v>/mnt/data/nist_ai_rmf_playbook.xlsx</x:v>
      </x:c>
      <x:c r="D8" s="21" t="str">
        <x:v>NIST AI RMF Playbook suggested actions and control-language support.</x:v>
      </x:c>
      <x:c r="E8" s="59"/>
      <x:c r="F8" s="59"/>
      <x:c r="G8" s="59"/>
      <x:c r="H8" s="59"/>
      <x:c r="I8" s="59"/>
      <x:c r="J8" s="59"/>
      <x:c r="K8" s="59"/>
      <x:c r="L8" s="59"/>
      <x:c r="M8" s="59"/>
      <x:c r="N8" s="59"/>
      <x:c r="O8" s="59"/>
      <x:c r="P8" s="59"/>
      <x:c r="Q8" s="59"/>
      <x:c r="R8" s="59"/>
      <x:c r="S8" s="59"/>
      <x:c r="T8" s="59"/>
      <x:c r="U8" s="59"/>
      <x:c r="V8" s="59"/>
      <x:c r="W8" s="59"/>
      <x:c r="X8" s="59"/>
      <x:c r="Y8" s="59"/>
      <x:c r="Z8" s="59"/>
      <x:c r="AA8" s="59"/>
      <x:c r="AB8" s="59"/>
      <x:c r="AC8" s="59"/>
      <x:c r="AD8" s="59"/>
      <x:c r="AE8" s="59"/>
      <x:c r="AF8" s="59"/>
      <x:c r="AG8" s="59"/>
      <x:c r="AH8" s="59"/>
      <x:c r="AI8" s="59"/>
      <x:c r="AJ8" s="59"/>
      <x:c r="AK8" s="59"/>
      <x:c r="AL8" s="59"/>
      <x:c r="AM8" s="59"/>
      <x:c r="AN8" s="59"/>
    </x:row>
    <x:row r="9">
      <x:c r="A9" s="21" t="str">
        <x:v>Uploaded file</x:v>
      </x:c>
      <x:c r="B9" s="21" t="str">
        <x:v>ISO 42001 Checklist US ENG.pdf</x:v>
      </x:c>
      <x:c r="C9" s="21" t="str">
        <x:v>/mnt/data/ISO 42001 Checklist US ENG.pdf</x:v>
      </x:c>
      <x:c r="D9" s="21" t="str">
        <x:v>ISO/IEC 42001 clause and Annex A checklist criteria summaries.</x:v>
      </x:c>
      <x:c r="E9" s="59"/>
      <x:c r="F9" s="59"/>
      <x:c r="G9" s="59"/>
      <x:c r="H9" s="59"/>
      <x:c r="I9" s="59"/>
      <x:c r="J9" s="59"/>
      <x:c r="K9" s="59"/>
      <x:c r="L9" s="59"/>
      <x:c r="M9" s="59"/>
      <x:c r="N9" s="59"/>
      <x:c r="O9" s="59"/>
      <x:c r="P9" s="59"/>
      <x:c r="Q9" s="59"/>
      <x:c r="R9" s="59"/>
      <x:c r="S9" s="59"/>
      <x:c r="T9" s="59"/>
      <x:c r="U9" s="59"/>
      <x:c r="V9" s="59"/>
      <x:c r="W9" s="59"/>
      <x:c r="X9" s="59"/>
      <x:c r="Y9" s="59"/>
      <x:c r="Z9" s="59"/>
      <x:c r="AA9" s="59"/>
      <x:c r="AB9" s="59"/>
      <x:c r="AC9" s="59"/>
      <x:c r="AD9" s="59"/>
      <x:c r="AE9" s="59"/>
      <x:c r="AF9" s="59"/>
      <x:c r="AG9" s="59"/>
      <x:c r="AH9" s="59"/>
      <x:c r="AI9" s="59"/>
      <x:c r="AJ9" s="59"/>
      <x:c r="AK9" s="59"/>
      <x:c r="AL9" s="59"/>
      <x:c r="AM9" s="59"/>
      <x:c r="AN9" s="59"/>
    </x:row>
    <x:row r="10">
      <x:c r="A10" s="21" t="str">
        <x:v>Uploaded file</x:v>
      </x:c>
      <x:c r="B10" s="21" t="str">
        <x:v>iso-iec-42001-lead implementer-4p.pdf</x:v>
      </x:c>
      <x:c r="C10" s="21" t="str">
        <x:v>/mnt/data/iso-iec-42001-lead implementer-4p.pdf</x:v>
      </x:c>
      <x:c r="D10" s="21" t="str">
        <x:v>Additional ISO/IEC 42001 implementation context.</x:v>
      </x:c>
      <x:c r="E10" s="59"/>
      <x:c r="F10" s="59"/>
      <x:c r="G10" s="59"/>
      <x:c r="H10" s="59"/>
      <x:c r="I10" s="59"/>
      <x:c r="J10" s="59"/>
      <x:c r="K10" s="59"/>
      <x:c r="L10" s="59"/>
      <x:c r="M10" s="59"/>
      <x:c r="N10" s="59"/>
      <x:c r="O10" s="59"/>
      <x:c r="P10" s="59"/>
      <x:c r="Q10" s="59"/>
      <x:c r="R10" s="59"/>
      <x:c r="S10" s="59"/>
      <x:c r="T10" s="59"/>
      <x:c r="U10" s="59"/>
      <x:c r="V10" s="59"/>
      <x:c r="W10" s="59"/>
      <x:c r="X10" s="59"/>
      <x:c r="Y10" s="59"/>
      <x:c r="Z10" s="59"/>
      <x:c r="AA10" s="59"/>
      <x:c r="AB10" s="59"/>
      <x:c r="AC10" s="59"/>
      <x:c r="AD10" s="59"/>
      <x:c r="AE10" s="59"/>
      <x:c r="AF10" s="59"/>
      <x:c r="AG10" s="59"/>
      <x:c r="AH10" s="59"/>
      <x:c r="AI10" s="59"/>
      <x:c r="AJ10" s="59"/>
      <x:c r="AK10" s="59"/>
      <x:c r="AL10" s="59"/>
      <x:c r="AM10" s="59"/>
      <x:c r="AN10" s="59"/>
    </x:row>
    <x:row r="11">
      <x:c r="A11" s="21" t="str">
        <x:v>Assessor note</x:v>
      </x:c>
      <x:c r="B11" s="21" t="str">
        <x:v>Mapping basis</x:v>
      </x:c>
      <x:c r="C11" s="21" t="str">
        <x:v>N/A</x:v>
      </x:c>
      <x:c r="D11" s="21" t="str">
        <x:v>Crosswalk mappings are implementation-oriented and should be validated by control owners, legal/compliance, and auditors.</x:v>
      </x:c>
      <x:c r="E11" s="59"/>
      <x:c r="F11" s="59"/>
      <x:c r="G11" s="59"/>
      <x:c r="H11" s="59"/>
      <x:c r="I11" s="59"/>
      <x:c r="J11" s="59"/>
      <x:c r="K11" s="59"/>
      <x:c r="L11" s="59"/>
      <x:c r="M11" s="59"/>
      <x:c r="N11" s="59"/>
      <x:c r="O11" s="59"/>
      <x:c r="P11" s="59"/>
      <x:c r="Q11" s="59"/>
      <x:c r="R11" s="59"/>
      <x:c r="S11" s="59"/>
      <x:c r="T11" s="59"/>
      <x:c r="U11" s="59"/>
      <x:c r="V11" s="59"/>
      <x:c r="W11" s="59"/>
      <x:c r="X11" s="59"/>
      <x:c r="Y11" s="59"/>
      <x:c r="Z11" s="59"/>
      <x:c r="AA11" s="59"/>
      <x:c r="AB11" s="59"/>
      <x:c r="AC11" s="59"/>
      <x:c r="AD11" s="59"/>
      <x:c r="AE11" s="59"/>
      <x:c r="AF11" s="59"/>
      <x:c r="AG11" s="59"/>
      <x:c r="AH11" s="59"/>
      <x:c r="AI11" s="59"/>
      <x:c r="AJ11" s="59"/>
      <x:c r="AK11" s="59"/>
      <x:c r="AL11" s="59"/>
      <x:c r="AM11" s="59"/>
      <x:c r="AN11" s="59"/>
    </x:row>
    <x:row r="12">
      <x:c r="A12" s="59"/>
      <x:c r="B12" s="59"/>
      <x:c r="C12" s="59"/>
      <x:c r="D12" s="59"/>
      <x:c r="E12" s="59"/>
      <x:c r="F12" s="59"/>
      <x:c r="G12" s="59"/>
      <x:c r="H12" s="59"/>
      <x:c r="I12" s="59"/>
      <x:c r="J12" s="59"/>
      <x:c r="K12" s="59"/>
      <x:c r="L12" s="59"/>
      <x:c r="M12" s="59"/>
      <x:c r="N12" s="59"/>
      <x:c r="O12" s="59"/>
      <x:c r="P12" s="59"/>
      <x:c r="Q12" s="59"/>
      <x:c r="R12" s="59"/>
      <x:c r="S12" s="59"/>
      <x:c r="T12" s="59"/>
      <x:c r="U12" s="59"/>
      <x:c r="V12" s="59"/>
      <x:c r="W12" s="59"/>
      <x:c r="X12" s="59"/>
      <x:c r="Y12" s="59"/>
      <x:c r="Z12" s="59"/>
      <x:c r="AA12" s="59"/>
      <x:c r="AB12" s="59"/>
      <x:c r="AC12" s="59"/>
      <x:c r="AD12" s="59"/>
      <x:c r="AE12" s="59"/>
      <x:c r="AF12" s="59"/>
      <x:c r="AG12" s="59"/>
      <x:c r="AH12" s="59"/>
      <x:c r="AI12" s="59"/>
      <x:c r="AJ12" s="59"/>
      <x:c r="AK12" s="59"/>
      <x:c r="AL12" s="59"/>
      <x:c r="AM12" s="59"/>
      <x:c r="AN12" s="59"/>
    </x:row>
    <x:row r="13">
      <x:c r="A13" s="59"/>
      <x:c r="B13" s="59"/>
      <x:c r="C13" s="59"/>
      <x:c r="D13" s="59"/>
      <x:c r="E13" s="59"/>
      <x:c r="F13" s="59"/>
      <x:c r="G13" s="59"/>
      <x:c r="H13" s="59"/>
      <x:c r="I13" s="59"/>
      <x:c r="J13" s="59"/>
      <x:c r="K13" s="59"/>
      <x:c r="L13" s="59"/>
      <x:c r="M13" s="59"/>
      <x:c r="N13" s="59"/>
      <x:c r="O13" s="59"/>
      <x:c r="P13" s="59"/>
      <x:c r="Q13" s="59"/>
      <x:c r="R13" s="59"/>
      <x:c r="S13" s="59"/>
      <x:c r="T13" s="59"/>
      <x:c r="U13" s="59"/>
      <x:c r="V13" s="59"/>
      <x:c r="W13" s="59"/>
      <x:c r="X13" s="59"/>
      <x:c r="Y13" s="59"/>
      <x:c r="Z13" s="59"/>
      <x:c r="AA13" s="59"/>
      <x:c r="AB13" s="59"/>
      <x:c r="AC13" s="59"/>
      <x:c r="AD13" s="59"/>
      <x:c r="AE13" s="59"/>
      <x:c r="AF13" s="59"/>
      <x:c r="AG13" s="59"/>
      <x:c r="AH13" s="59"/>
      <x:c r="AI13" s="59"/>
      <x:c r="AJ13" s="59"/>
      <x:c r="AK13" s="59"/>
      <x:c r="AL13" s="59"/>
      <x:c r="AM13" s="59"/>
      <x:c r="AN13" s="59"/>
    </x:row>
    <x:row r="14">
      <x:c r="A14" s="59"/>
      <x:c r="B14" s="59"/>
      <x:c r="C14" s="59"/>
      <x:c r="D14" s="59"/>
      <x:c r="E14" s="59"/>
      <x:c r="F14" s="59"/>
      <x:c r="G14" s="59"/>
      <x:c r="H14" s="59"/>
      <x:c r="I14" s="59"/>
      <x:c r="J14" s="59"/>
      <x:c r="K14" s="59"/>
      <x:c r="L14" s="59"/>
      <x:c r="M14" s="59"/>
      <x:c r="N14" s="59"/>
      <x:c r="O14" s="59"/>
      <x:c r="P14" s="59"/>
      <x:c r="Q14" s="59"/>
      <x:c r="R14" s="59"/>
      <x:c r="S14" s="59"/>
      <x:c r="T14" s="59"/>
      <x:c r="U14" s="59"/>
      <x:c r="V14" s="59"/>
      <x:c r="W14" s="59"/>
      <x:c r="X14" s="59"/>
      <x:c r="Y14" s="59"/>
      <x:c r="Z14" s="59"/>
      <x:c r="AA14" s="59"/>
      <x:c r="AB14" s="59"/>
      <x:c r="AC14" s="59"/>
      <x:c r="AD14" s="59"/>
      <x:c r="AE14" s="59"/>
      <x:c r="AF14" s="59"/>
      <x:c r="AG14" s="59"/>
      <x:c r="AH14" s="59"/>
      <x:c r="AI14" s="59"/>
      <x:c r="AJ14" s="59"/>
      <x:c r="AK14" s="59"/>
      <x:c r="AL14" s="59"/>
      <x:c r="AM14" s="59"/>
      <x:c r="AN14" s="59"/>
    </x:row>
    <x:row r="15">
      <x:c r="A15" s="59"/>
      <x:c r="B15" s="59"/>
      <x:c r="C15" s="59"/>
      <x:c r="D15" s="59"/>
      <x:c r="E15" s="59"/>
      <x:c r="F15" s="59"/>
      <x:c r="G15" s="59"/>
      <x:c r="H15" s="59"/>
      <x:c r="I15" s="59"/>
      <x:c r="J15" s="59"/>
      <x:c r="K15" s="59"/>
      <x:c r="L15" s="59"/>
      <x:c r="M15" s="59"/>
      <x:c r="N15" s="59"/>
      <x:c r="O15" s="59"/>
      <x:c r="P15" s="59"/>
      <x:c r="Q15" s="59"/>
      <x:c r="R15" s="59"/>
      <x:c r="S15" s="59"/>
      <x:c r="T15" s="59"/>
      <x:c r="U15" s="59"/>
      <x:c r="V15" s="59"/>
      <x:c r="W15" s="59"/>
      <x:c r="X15" s="59"/>
      <x:c r="Y15" s="59"/>
      <x:c r="Z15" s="59"/>
      <x:c r="AA15" s="59"/>
      <x:c r="AB15" s="59"/>
      <x:c r="AC15" s="59"/>
      <x:c r="AD15" s="59"/>
      <x:c r="AE15" s="59"/>
      <x:c r="AF15" s="59"/>
      <x:c r="AG15" s="59"/>
      <x:c r="AH15" s="59"/>
      <x:c r="AI15" s="59"/>
      <x:c r="AJ15" s="59"/>
      <x:c r="AK15" s="59"/>
      <x:c r="AL15" s="59"/>
      <x:c r="AM15" s="59"/>
      <x:c r="AN15" s="59"/>
    </x:row>
    <x:row r="16">
      <x:c r="A16" s="59"/>
      <x:c r="B16" s="59"/>
      <x:c r="C16" s="59"/>
      <x:c r="D16" s="59"/>
      <x:c r="E16" s="59"/>
      <x:c r="F16" s="59"/>
      <x:c r="G16" s="59"/>
      <x:c r="H16" s="59"/>
      <x:c r="I16" s="59"/>
      <x:c r="J16" s="59"/>
      <x:c r="K16" s="59"/>
      <x:c r="L16" s="59"/>
      <x:c r="M16" s="59"/>
      <x:c r="N16" s="59"/>
      <x:c r="O16" s="59"/>
      <x:c r="P16" s="59"/>
      <x:c r="Q16" s="59"/>
      <x:c r="R16" s="59"/>
      <x:c r="S16" s="59"/>
      <x:c r="T16" s="59"/>
      <x:c r="U16" s="59"/>
      <x:c r="V16" s="59"/>
      <x:c r="W16" s="59"/>
      <x:c r="X16" s="59"/>
      <x:c r="Y16" s="59"/>
      <x:c r="Z16" s="59"/>
      <x:c r="AA16" s="59"/>
      <x:c r="AB16" s="59"/>
      <x:c r="AC16" s="59"/>
      <x:c r="AD16" s="59"/>
      <x:c r="AE16" s="59"/>
      <x:c r="AF16" s="59"/>
      <x:c r="AG16" s="59"/>
      <x:c r="AH16" s="59"/>
      <x:c r="AI16" s="59"/>
      <x:c r="AJ16" s="59"/>
      <x:c r="AK16" s="59"/>
      <x:c r="AL16" s="59"/>
      <x:c r="AM16" s="59"/>
      <x:c r="AN16" s="59"/>
    </x:row>
    <x:row r="17">
      <x:c r="A17" s="59"/>
      <x:c r="B17" s="59"/>
      <x:c r="C17" s="59"/>
      <x:c r="D17" s="59"/>
      <x:c r="E17" s="59"/>
      <x:c r="F17" s="59"/>
      <x:c r="G17" s="59"/>
      <x:c r="H17" s="59"/>
      <x:c r="I17" s="59"/>
      <x:c r="J17" s="59"/>
      <x:c r="K17" s="59"/>
      <x:c r="L17" s="59"/>
      <x:c r="M17" s="59"/>
      <x:c r="N17" s="59"/>
      <x:c r="O17" s="59"/>
      <x:c r="P17" s="59"/>
      <x:c r="Q17" s="59"/>
      <x:c r="R17" s="59"/>
      <x:c r="S17" s="59"/>
      <x:c r="T17" s="59"/>
      <x:c r="U17" s="59"/>
      <x:c r="V17" s="59"/>
      <x:c r="W17" s="59"/>
      <x:c r="X17" s="59"/>
      <x:c r="Y17" s="59"/>
      <x:c r="Z17" s="59"/>
      <x:c r="AA17" s="59"/>
      <x:c r="AB17" s="59"/>
      <x:c r="AC17" s="59"/>
      <x:c r="AD17" s="59"/>
      <x:c r="AE17" s="59"/>
      <x:c r="AF17" s="59"/>
      <x:c r="AG17" s="59"/>
      <x:c r="AH17" s="59"/>
      <x:c r="AI17" s="59"/>
      <x:c r="AJ17" s="59"/>
      <x:c r="AK17" s="59"/>
      <x:c r="AL17" s="59"/>
      <x:c r="AM17" s="59"/>
      <x:c r="AN17" s="59"/>
    </x:row>
    <x:row r="18">
      <x:c r="A18" s="59"/>
      <x:c r="B18" s="59"/>
      <x:c r="C18" s="59"/>
      <x:c r="D18" s="59"/>
      <x:c r="E18" s="59"/>
      <x:c r="F18" s="59"/>
      <x:c r="G18" s="59"/>
      <x:c r="H18" s="59"/>
      <x:c r="I18" s="59"/>
      <x:c r="J18" s="59"/>
      <x:c r="K18" s="59"/>
      <x:c r="L18" s="59"/>
      <x:c r="M18" s="59"/>
      <x:c r="N18" s="59"/>
      <x:c r="O18" s="59"/>
      <x:c r="P18" s="59"/>
      <x:c r="Q18" s="59"/>
      <x:c r="R18" s="59"/>
      <x:c r="S18" s="59"/>
      <x:c r="T18" s="59"/>
      <x:c r="U18" s="59"/>
      <x:c r="V18" s="59"/>
      <x:c r="W18" s="59"/>
      <x:c r="X18" s="59"/>
      <x:c r="Y18" s="59"/>
      <x:c r="Z18" s="59"/>
      <x:c r="AA18" s="59"/>
      <x:c r="AB18" s="59"/>
      <x:c r="AC18" s="59"/>
      <x:c r="AD18" s="59"/>
      <x:c r="AE18" s="59"/>
      <x:c r="AF18" s="59"/>
      <x:c r="AG18" s="59"/>
      <x:c r="AH18" s="59"/>
      <x:c r="AI18" s="59"/>
      <x:c r="AJ18" s="59"/>
      <x:c r="AK18" s="59"/>
      <x:c r="AL18" s="59"/>
      <x:c r="AM18" s="59"/>
      <x:c r="AN18" s="59"/>
    </x:row>
    <x:row r="19">
      <x:c r="A19" s="59"/>
      <x:c r="B19" s="59"/>
      <x:c r="C19" s="59"/>
      <x:c r="D19" s="59"/>
      <x:c r="E19" s="59"/>
      <x:c r="F19" s="59"/>
      <x:c r="G19" s="59"/>
      <x:c r="H19" s="59"/>
      <x:c r="I19" s="59"/>
      <x:c r="J19" s="59"/>
      <x:c r="K19" s="59"/>
      <x:c r="L19" s="59"/>
      <x:c r="M19" s="59"/>
      <x:c r="N19" s="59"/>
      <x:c r="O19" s="59"/>
      <x:c r="P19" s="59"/>
      <x:c r="Q19" s="59"/>
      <x:c r="R19" s="59"/>
      <x:c r="S19" s="59"/>
      <x:c r="T19" s="59"/>
      <x:c r="U19" s="59"/>
      <x:c r="V19" s="59"/>
      <x:c r="W19" s="59"/>
      <x:c r="X19" s="59"/>
      <x:c r="Y19" s="59"/>
      <x:c r="Z19" s="59"/>
      <x:c r="AA19" s="59"/>
      <x:c r="AB19" s="59"/>
      <x:c r="AC19" s="59"/>
      <x:c r="AD19" s="59"/>
      <x:c r="AE19" s="59"/>
      <x:c r="AF19" s="59"/>
      <x:c r="AG19" s="59"/>
      <x:c r="AH19" s="59"/>
      <x:c r="AI19" s="59"/>
      <x:c r="AJ19" s="59"/>
      <x:c r="AK19" s="59"/>
      <x:c r="AL19" s="59"/>
      <x:c r="AM19" s="59"/>
      <x:c r="AN19" s="59"/>
    </x:row>
    <x:row r="20">
      <x:c r="A20" s="59"/>
      <x:c r="B20" s="59"/>
      <x:c r="C20" s="59"/>
      <x:c r="D20" s="59"/>
      <x:c r="E20" s="59"/>
      <x:c r="F20" s="59"/>
      <x:c r="G20" s="59"/>
      <x:c r="H20" s="59"/>
      <x:c r="I20" s="59"/>
      <x:c r="J20" s="59"/>
      <x:c r="K20" s="59"/>
      <x:c r="L20" s="59"/>
      <x:c r="M20" s="59"/>
      <x:c r="N20" s="59"/>
      <x:c r="O20" s="59"/>
      <x:c r="P20" s="59"/>
      <x:c r="Q20" s="59"/>
      <x:c r="R20" s="59"/>
      <x:c r="S20" s="59"/>
      <x:c r="T20" s="59"/>
      <x:c r="U20" s="59"/>
      <x:c r="V20" s="59"/>
      <x:c r="W20" s="59"/>
      <x:c r="X20" s="59"/>
      <x:c r="Y20" s="59"/>
      <x:c r="Z20" s="59"/>
      <x:c r="AA20" s="59"/>
      <x:c r="AB20" s="59"/>
      <x:c r="AC20" s="59"/>
      <x:c r="AD20" s="59"/>
      <x:c r="AE20" s="59"/>
      <x:c r="AF20" s="59"/>
      <x:c r="AG20" s="59"/>
      <x:c r="AH20" s="59"/>
      <x:c r="AI20" s="59"/>
      <x:c r="AJ20" s="59"/>
      <x:c r="AK20" s="59"/>
      <x:c r="AL20" s="59"/>
      <x:c r="AM20" s="59"/>
      <x:c r="AN20" s="59"/>
    </x:row>
    <x:row r="21">
      <x:c r="A21" s="59"/>
      <x:c r="B21" s="59"/>
      <x:c r="C21" s="59"/>
      <x:c r="D21" s="59"/>
      <x:c r="E21" s="59"/>
      <x:c r="F21" s="59"/>
      <x:c r="G21" s="59"/>
      <x:c r="H21" s="59"/>
      <x:c r="I21" s="59"/>
      <x:c r="J21" s="59"/>
      <x:c r="K21" s="59"/>
      <x:c r="L21" s="59"/>
      <x:c r="M21" s="59"/>
      <x:c r="N21" s="59"/>
      <x:c r="O21" s="59"/>
      <x:c r="P21" s="59"/>
      <x:c r="Q21" s="59"/>
      <x:c r="R21" s="59"/>
      <x:c r="S21" s="59"/>
      <x:c r="T21" s="59"/>
      <x:c r="U21" s="59"/>
      <x:c r="V21" s="59"/>
      <x:c r="W21" s="59"/>
      <x:c r="X21" s="59"/>
      <x:c r="Y21" s="59"/>
      <x:c r="Z21" s="59"/>
      <x:c r="AA21" s="59"/>
      <x:c r="AB21" s="59"/>
      <x:c r="AC21" s="59"/>
      <x:c r="AD21" s="59"/>
      <x:c r="AE21" s="59"/>
      <x:c r="AF21" s="59"/>
      <x:c r="AG21" s="59"/>
      <x:c r="AH21" s="59"/>
      <x:c r="AI21" s="59"/>
      <x:c r="AJ21" s="59"/>
      <x:c r="AK21" s="59"/>
      <x:c r="AL21" s="59"/>
      <x:c r="AM21" s="59"/>
      <x:c r="AN21" s="59"/>
    </x:row>
    <x:row r="22">
      <x:c r="A22" s="59"/>
      <x:c r="B22" s="59"/>
      <x:c r="C22" s="59"/>
      <x:c r="D22" s="59"/>
      <x:c r="E22" s="59"/>
      <x:c r="F22" s="59"/>
      <x:c r="G22" s="59"/>
      <x:c r="H22" s="59"/>
      <x:c r="I22" s="59"/>
      <x:c r="J22" s="59"/>
      <x:c r="K22" s="59"/>
      <x:c r="L22" s="59"/>
      <x:c r="M22" s="59"/>
      <x:c r="N22" s="59"/>
      <x:c r="O22" s="59"/>
      <x:c r="P22" s="59"/>
      <x:c r="Q22" s="59"/>
      <x:c r="R22" s="59"/>
      <x:c r="S22" s="59"/>
      <x:c r="T22" s="59"/>
      <x:c r="U22" s="59"/>
      <x:c r="V22" s="59"/>
      <x:c r="W22" s="59"/>
      <x:c r="X22" s="59"/>
      <x:c r="Y22" s="59"/>
      <x:c r="Z22" s="59"/>
      <x:c r="AA22" s="59"/>
      <x:c r="AB22" s="59"/>
      <x:c r="AC22" s="59"/>
      <x:c r="AD22" s="59"/>
      <x:c r="AE22" s="59"/>
      <x:c r="AF22" s="59"/>
      <x:c r="AG22" s="59"/>
      <x:c r="AH22" s="59"/>
      <x:c r="AI22" s="59"/>
      <x:c r="AJ22" s="59"/>
      <x:c r="AK22" s="59"/>
      <x:c r="AL22" s="59"/>
      <x:c r="AM22" s="59"/>
      <x:c r="AN22" s="59"/>
    </x:row>
    <x:row r="23">
      <x:c r="A23" s="59"/>
      <x:c r="B23" s="59"/>
      <x:c r="C23" s="59"/>
      <x:c r="D23" s="59"/>
      <x:c r="E23" s="59"/>
      <x:c r="F23" s="59"/>
      <x:c r="G23" s="59"/>
      <x:c r="H23" s="59"/>
      <x:c r="I23" s="59"/>
      <x:c r="J23" s="59"/>
      <x:c r="K23" s="59"/>
      <x:c r="L23" s="59"/>
      <x:c r="M23" s="59"/>
      <x:c r="N23" s="59"/>
      <x:c r="O23" s="59"/>
      <x:c r="P23" s="59"/>
      <x:c r="Q23" s="59"/>
      <x:c r="R23" s="59"/>
      <x:c r="S23" s="59"/>
      <x:c r="T23" s="59"/>
      <x:c r="U23" s="59"/>
      <x:c r="V23" s="59"/>
      <x:c r="W23" s="59"/>
      <x:c r="X23" s="59"/>
      <x:c r="Y23" s="59"/>
      <x:c r="Z23" s="59"/>
      <x:c r="AA23" s="59"/>
      <x:c r="AB23" s="59"/>
      <x:c r="AC23" s="59"/>
      <x:c r="AD23" s="59"/>
      <x:c r="AE23" s="59"/>
      <x:c r="AF23" s="59"/>
      <x:c r="AG23" s="59"/>
      <x:c r="AH23" s="59"/>
      <x:c r="AI23" s="59"/>
      <x:c r="AJ23" s="59"/>
      <x:c r="AK23" s="59"/>
      <x:c r="AL23" s="59"/>
      <x:c r="AM23" s="59"/>
      <x:c r="AN23" s="59"/>
    </x:row>
    <x:row r="24">
      <x:c r="A24" s="59"/>
      <x:c r="B24" s="59"/>
      <x:c r="C24" s="59"/>
      <x:c r="D24" s="59"/>
      <x:c r="E24" s="59"/>
      <x:c r="F24" s="59"/>
      <x:c r="G24" s="59"/>
      <x:c r="H24" s="59"/>
      <x:c r="I24" s="59"/>
      <x:c r="J24" s="59"/>
      <x:c r="K24" s="59"/>
      <x:c r="L24" s="59"/>
      <x:c r="M24" s="59"/>
      <x:c r="N24" s="59"/>
      <x:c r="O24" s="59"/>
      <x:c r="P24" s="59"/>
      <x:c r="Q24" s="59"/>
      <x:c r="R24" s="59"/>
      <x:c r="S24" s="59"/>
      <x:c r="T24" s="59"/>
      <x:c r="U24" s="59"/>
      <x:c r="V24" s="59"/>
      <x:c r="W24" s="59"/>
      <x:c r="X24" s="59"/>
      <x:c r="Y24" s="59"/>
      <x:c r="Z24" s="59"/>
      <x:c r="AA24" s="59"/>
      <x:c r="AB24" s="59"/>
      <x:c r="AC24" s="59"/>
      <x:c r="AD24" s="59"/>
      <x:c r="AE24" s="59"/>
      <x:c r="AF24" s="59"/>
      <x:c r="AG24" s="59"/>
      <x:c r="AH24" s="59"/>
      <x:c r="AI24" s="59"/>
      <x:c r="AJ24" s="59"/>
      <x:c r="AK24" s="59"/>
      <x:c r="AL24" s="59"/>
      <x:c r="AM24" s="59"/>
      <x:c r="AN24" s="59"/>
    </x:row>
    <x:row r="25">
      <x:c r="A25" s="59"/>
      <x:c r="B25" s="59"/>
      <x:c r="C25" s="59"/>
      <x:c r="D25" s="59"/>
      <x:c r="E25" s="59"/>
      <x:c r="F25" s="59"/>
      <x:c r="G25" s="59"/>
      <x:c r="H25" s="59"/>
      <x:c r="I25" s="59"/>
      <x:c r="J25" s="59"/>
      <x:c r="K25" s="59"/>
      <x:c r="L25" s="59"/>
      <x:c r="M25" s="59"/>
      <x:c r="N25" s="59"/>
      <x:c r="O25" s="59"/>
      <x:c r="P25" s="59"/>
      <x:c r="Q25" s="59"/>
      <x:c r="R25" s="59"/>
      <x:c r="S25" s="59"/>
      <x:c r="T25" s="59"/>
      <x:c r="U25" s="59"/>
      <x:c r="V25" s="59"/>
      <x:c r="W25" s="59"/>
      <x:c r="X25" s="59"/>
      <x:c r="Y25" s="59"/>
      <x:c r="Z25" s="59"/>
      <x:c r="AA25" s="59"/>
      <x:c r="AB25" s="59"/>
      <x:c r="AC25" s="59"/>
      <x:c r="AD25" s="59"/>
      <x:c r="AE25" s="59"/>
      <x:c r="AF25" s="59"/>
      <x:c r="AG25" s="59"/>
      <x:c r="AH25" s="59"/>
      <x:c r="AI25" s="59"/>
      <x:c r="AJ25" s="59"/>
      <x:c r="AK25" s="59"/>
      <x:c r="AL25" s="59"/>
      <x:c r="AM25" s="59"/>
      <x:c r="AN25" s="59"/>
    </x:row>
    <x:row r="26">
      <x:c r="A26" s="59"/>
      <x:c r="B26" s="59"/>
      <x:c r="C26" s="59"/>
      <x:c r="D26" s="59"/>
      <x:c r="E26" s="59"/>
      <x:c r="F26" s="59"/>
      <x:c r="G26" s="59"/>
      <x:c r="H26" s="59"/>
      <x:c r="I26" s="59"/>
      <x:c r="J26" s="59"/>
      <x:c r="K26" s="59"/>
      <x:c r="L26" s="59"/>
      <x:c r="M26" s="59"/>
      <x:c r="N26" s="59"/>
      <x:c r="O26" s="59"/>
      <x:c r="P26" s="59"/>
      <x:c r="Q26" s="59"/>
      <x:c r="R26" s="59"/>
      <x:c r="S26" s="59"/>
      <x:c r="T26" s="59"/>
      <x:c r="U26" s="59"/>
      <x:c r="V26" s="59"/>
      <x:c r="W26" s="59"/>
      <x:c r="X26" s="59"/>
      <x:c r="Y26" s="59"/>
      <x:c r="Z26" s="59"/>
      <x:c r="AA26" s="59"/>
      <x:c r="AB26" s="59"/>
      <x:c r="AC26" s="59"/>
      <x:c r="AD26" s="59"/>
      <x:c r="AE26" s="59"/>
      <x:c r="AF26" s="59"/>
      <x:c r="AG26" s="59"/>
      <x:c r="AH26" s="59"/>
      <x:c r="AI26" s="59"/>
      <x:c r="AJ26" s="59"/>
      <x:c r="AK26" s="59"/>
      <x:c r="AL26" s="59"/>
      <x:c r="AM26" s="59"/>
      <x:c r="AN26" s="59"/>
    </x:row>
    <x:row r="27">
      <x:c r="A27" s="59"/>
      <x:c r="B27" s="59"/>
      <x:c r="C27" s="59"/>
      <x:c r="D27" s="59"/>
      <x:c r="E27" s="59"/>
      <x:c r="F27" s="59"/>
      <x:c r="G27" s="59"/>
      <x:c r="H27" s="59"/>
      <x:c r="I27" s="59"/>
      <x:c r="J27" s="59"/>
      <x:c r="K27" s="59"/>
      <x:c r="L27" s="59"/>
      <x:c r="M27" s="59"/>
      <x:c r="N27" s="59"/>
      <x:c r="O27" s="59"/>
      <x:c r="P27" s="59"/>
      <x:c r="Q27" s="59"/>
      <x:c r="R27" s="59"/>
      <x:c r="S27" s="59"/>
      <x:c r="T27" s="59"/>
      <x:c r="U27" s="59"/>
      <x:c r="V27" s="59"/>
      <x:c r="W27" s="59"/>
      <x:c r="X27" s="59"/>
      <x:c r="Y27" s="59"/>
      <x:c r="Z27" s="59"/>
      <x:c r="AA27" s="59"/>
      <x:c r="AB27" s="59"/>
      <x:c r="AC27" s="59"/>
      <x:c r="AD27" s="59"/>
      <x:c r="AE27" s="59"/>
      <x:c r="AF27" s="59"/>
      <x:c r="AG27" s="59"/>
      <x:c r="AH27" s="59"/>
      <x:c r="AI27" s="59"/>
      <x:c r="AJ27" s="59"/>
      <x:c r="AK27" s="59"/>
      <x:c r="AL27" s="59"/>
      <x:c r="AM27" s="59"/>
      <x:c r="AN27" s="59"/>
    </x:row>
    <x:row r="28">
      <x:c r="A28" s="59"/>
      <x:c r="B28" s="59"/>
      <x:c r="C28" s="59"/>
      <x:c r="D28" s="59"/>
      <x:c r="E28" s="59"/>
      <x:c r="F28" s="59"/>
      <x:c r="G28" s="59"/>
      <x:c r="H28" s="59"/>
      <x:c r="I28" s="59"/>
      <x:c r="J28" s="59"/>
      <x:c r="K28" s="59"/>
      <x:c r="L28" s="59"/>
      <x:c r="M28" s="59"/>
      <x:c r="N28" s="59"/>
      <x:c r="O28" s="59"/>
      <x:c r="P28" s="59"/>
      <x:c r="Q28" s="59"/>
      <x:c r="R28" s="59"/>
      <x:c r="S28" s="59"/>
      <x:c r="T28" s="59"/>
      <x:c r="U28" s="59"/>
      <x:c r="V28" s="59"/>
      <x:c r="W28" s="59"/>
      <x:c r="X28" s="59"/>
      <x:c r="Y28" s="59"/>
      <x:c r="Z28" s="59"/>
      <x:c r="AA28" s="59"/>
      <x:c r="AB28" s="59"/>
      <x:c r="AC28" s="59"/>
      <x:c r="AD28" s="59"/>
      <x:c r="AE28" s="59"/>
      <x:c r="AF28" s="59"/>
      <x:c r="AG28" s="59"/>
      <x:c r="AH28" s="59"/>
      <x:c r="AI28" s="59"/>
      <x:c r="AJ28" s="59"/>
      <x:c r="AK28" s="59"/>
      <x:c r="AL28" s="59"/>
      <x:c r="AM28" s="59"/>
      <x:c r="AN28" s="59"/>
    </x:row>
    <x:row r="29">
      <x:c r="A29" s="59"/>
      <x:c r="B29" s="59"/>
      <x:c r="C29" s="59"/>
      <x:c r="D29" s="59"/>
      <x:c r="E29" s="59"/>
      <x:c r="F29" s="59"/>
      <x:c r="G29" s="59"/>
      <x:c r="H29" s="59"/>
      <x:c r="I29" s="59"/>
      <x:c r="J29" s="59"/>
      <x:c r="K29" s="59"/>
      <x:c r="L29" s="59"/>
      <x:c r="M29" s="59"/>
      <x:c r="N29" s="59"/>
      <x:c r="O29" s="59"/>
      <x:c r="P29" s="59"/>
      <x:c r="Q29" s="59"/>
      <x:c r="R29" s="59"/>
      <x:c r="S29" s="59"/>
      <x:c r="T29" s="59"/>
      <x:c r="U29" s="59"/>
      <x:c r="V29" s="59"/>
      <x:c r="W29" s="59"/>
      <x:c r="X29" s="59"/>
      <x:c r="Y29" s="59"/>
      <x:c r="Z29" s="59"/>
      <x:c r="AA29" s="59"/>
      <x:c r="AB29" s="59"/>
      <x:c r="AC29" s="59"/>
      <x:c r="AD29" s="59"/>
      <x:c r="AE29" s="59"/>
      <x:c r="AF29" s="59"/>
      <x:c r="AG29" s="59"/>
      <x:c r="AH29" s="59"/>
      <x:c r="AI29" s="59"/>
      <x:c r="AJ29" s="59"/>
      <x:c r="AK29" s="59"/>
      <x:c r="AL29" s="59"/>
      <x:c r="AM29" s="59"/>
      <x:c r="AN29" s="59"/>
    </x:row>
    <x:row r="30">
      <x:c r="A30" s="59"/>
      <x:c r="B30" s="59"/>
      <x:c r="C30" s="59"/>
      <x:c r="D30" s="59"/>
      <x:c r="E30" s="59"/>
      <x:c r="F30" s="59"/>
      <x:c r="G30" s="59"/>
      <x:c r="H30" s="59"/>
      <x:c r="I30" s="59"/>
      <x:c r="J30" s="59"/>
      <x:c r="K30" s="59"/>
      <x:c r="L30" s="59"/>
      <x:c r="M30" s="59"/>
      <x:c r="N30" s="59"/>
      <x:c r="O30" s="59"/>
      <x:c r="P30" s="59"/>
      <x:c r="Q30" s="59"/>
      <x:c r="R30" s="59"/>
      <x:c r="S30" s="59"/>
      <x:c r="T30" s="59"/>
      <x:c r="U30" s="59"/>
      <x:c r="V30" s="59"/>
      <x:c r="W30" s="59"/>
      <x:c r="X30" s="59"/>
      <x:c r="Y30" s="59"/>
      <x:c r="Z30" s="59"/>
      <x:c r="AA30" s="59"/>
      <x:c r="AB30" s="59"/>
      <x:c r="AC30" s="59"/>
      <x:c r="AD30" s="59"/>
      <x:c r="AE30" s="59"/>
      <x:c r="AF30" s="59"/>
      <x:c r="AG30" s="59"/>
      <x:c r="AH30" s="59"/>
      <x:c r="AI30" s="59"/>
      <x:c r="AJ30" s="59"/>
      <x:c r="AK30" s="59"/>
      <x:c r="AL30" s="59"/>
      <x:c r="AM30" s="59"/>
      <x:c r="AN30" s="59"/>
    </x:row>
    <x:row r="31">
      <x:c r="A31" s="59"/>
      <x:c r="B31" s="59"/>
      <x:c r="C31" s="59"/>
      <x:c r="D31" s="59"/>
      <x:c r="E31" s="59"/>
      <x:c r="F31" s="59"/>
      <x:c r="G31" s="59"/>
      <x:c r="H31" s="59"/>
      <x:c r="I31" s="59"/>
      <x:c r="J31" s="59"/>
      <x:c r="K31" s="59"/>
      <x:c r="L31" s="59"/>
      <x:c r="M31" s="59"/>
      <x:c r="N31" s="59"/>
      <x:c r="O31" s="59"/>
      <x:c r="P31" s="59"/>
      <x:c r="Q31" s="59"/>
      <x:c r="R31" s="59"/>
      <x:c r="S31" s="59"/>
      <x:c r="T31" s="59"/>
      <x:c r="U31" s="59"/>
      <x:c r="V31" s="59"/>
      <x:c r="W31" s="59"/>
      <x:c r="X31" s="59"/>
      <x:c r="Y31" s="59"/>
      <x:c r="Z31" s="59"/>
      <x:c r="AA31" s="59"/>
      <x:c r="AB31" s="59"/>
      <x:c r="AC31" s="59"/>
      <x:c r="AD31" s="59"/>
      <x:c r="AE31" s="59"/>
      <x:c r="AF31" s="59"/>
      <x:c r="AG31" s="59"/>
      <x:c r="AH31" s="59"/>
      <x:c r="AI31" s="59"/>
      <x:c r="AJ31" s="59"/>
      <x:c r="AK31" s="59"/>
      <x:c r="AL31" s="59"/>
      <x:c r="AM31" s="59"/>
      <x:c r="AN31" s="59"/>
    </x:row>
    <x:row r="32">
      <x:c r="A32" s="59"/>
      <x:c r="B32" s="59"/>
      <x:c r="C32" s="59"/>
      <x:c r="D32" s="59"/>
      <x:c r="E32" s="59"/>
      <x:c r="F32" s="59"/>
      <x:c r="G32" s="59"/>
      <x:c r="H32" s="59"/>
      <x:c r="I32" s="59"/>
      <x:c r="J32" s="59"/>
      <x:c r="K32" s="59"/>
      <x:c r="L32" s="59"/>
      <x:c r="M32" s="59"/>
      <x:c r="N32" s="59"/>
      <x:c r="O32" s="59"/>
      <x:c r="P32" s="59"/>
      <x:c r="Q32" s="59"/>
      <x:c r="R32" s="59"/>
      <x:c r="S32" s="59"/>
      <x:c r="T32" s="59"/>
      <x:c r="U32" s="59"/>
      <x:c r="V32" s="59"/>
      <x:c r="W32" s="59"/>
      <x:c r="X32" s="59"/>
      <x:c r="Y32" s="59"/>
      <x:c r="Z32" s="59"/>
      <x:c r="AA32" s="59"/>
      <x:c r="AB32" s="59"/>
      <x:c r="AC32" s="59"/>
      <x:c r="AD32" s="59"/>
      <x:c r="AE32" s="59"/>
      <x:c r="AF32" s="59"/>
      <x:c r="AG32" s="59"/>
      <x:c r="AH32" s="59"/>
      <x:c r="AI32" s="59"/>
      <x:c r="AJ32" s="59"/>
      <x:c r="AK32" s="59"/>
      <x:c r="AL32" s="59"/>
      <x:c r="AM32" s="59"/>
      <x:c r="AN32" s="59"/>
    </x:row>
    <x:row r="33">
      <x:c r="A33" s="59"/>
      <x:c r="B33" s="59"/>
      <x:c r="C33" s="59"/>
      <x:c r="D33" s="59"/>
      <x:c r="E33" s="59"/>
      <x:c r="F33" s="59"/>
      <x:c r="G33" s="59"/>
      <x:c r="H33" s="59"/>
      <x:c r="I33" s="59"/>
      <x:c r="J33" s="59"/>
      <x:c r="K33" s="59"/>
      <x:c r="L33" s="59"/>
      <x:c r="M33" s="59"/>
      <x:c r="N33" s="59"/>
      <x:c r="O33" s="59"/>
      <x:c r="P33" s="59"/>
      <x:c r="Q33" s="59"/>
      <x:c r="R33" s="59"/>
      <x:c r="S33" s="59"/>
      <x:c r="T33" s="59"/>
      <x:c r="U33" s="59"/>
      <x:c r="V33" s="59"/>
      <x:c r="W33" s="59"/>
      <x:c r="X33" s="59"/>
      <x:c r="Y33" s="59"/>
      <x:c r="Z33" s="59"/>
      <x:c r="AA33" s="59"/>
      <x:c r="AB33" s="59"/>
      <x:c r="AC33" s="59"/>
      <x:c r="AD33" s="59"/>
      <x:c r="AE33" s="59"/>
      <x:c r="AF33" s="59"/>
      <x:c r="AG33" s="59"/>
      <x:c r="AH33" s="59"/>
      <x:c r="AI33" s="59"/>
      <x:c r="AJ33" s="59"/>
      <x:c r="AK33" s="59"/>
      <x:c r="AL33" s="59"/>
      <x:c r="AM33" s="59"/>
      <x:c r="AN33" s="59"/>
    </x:row>
    <x:row r="34">
      <x:c r="A34" s="59"/>
      <x:c r="B34" s="59"/>
      <x:c r="C34" s="59"/>
      <x:c r="D34" s="59"/>
      <x:c r="E34" s="59"/>
      <x:c r="F34" s="59"/>
      <x:c r="G34" s="59"/>
      <x:c r="H34" s="59"/>
      <x:c r="I34" s="59"/>
      <x:c r="J34" s="59"/>
      <x:c r="K34" s="59"/>
      <x:c r="L34" s="59"/>
      <x:c r="M34" s="59"/>
      <x:c r="N34" s="59"/>
      <x:c r="O34" s="59"/>
      <x:c r="P34" s="59"/>
      <x:c r="Q34" s="59"/>
      <x:c r="R34" s="59"/>
      <x:c r="S34" s="59"/>
      <x:c r="T34" s="59"/>
      <x:c r="U34" s="59"/>
      <x:c r="V34" s="59"/>
      <x:c r="W34" s="59"/>
      <x:c r="X34" s="59"/>
      <x:c r="Y34" s="59"/>
      <x:c r="Z34" s="59"/>
      <x:c r="AA34" s="59"/>
      <x:c r="AB34" s="59"/>
      <x:c r="AC34" s="59"/>
      <x:c r="AD34" s="59"/>
      <x:c r="AE34" s="59"/>
      <x:c r="AF34" s="59"/>
      <x:c r="AG34" s="59"/>
      <x:c r="AH34" s="59"/>
      <x:c r="AI34" s="59"/>
      <x:c r="AJ34" s="59"/>
      <x:c r="AK34" s="59"/>
      <x:c r="AL34" s="59"/>
      <x:c r="AM34" s="59"/>
      <x:c r="AN34" s="59"/>
    </x:row>
    <x:row r="35">
      <x:c r="A35" s="59"/>
      <x:c r="B35" s="59"/>
      <x:c r="C35" s="59"/>
      <x:c r="D35" s="59"/>
      <x:c r="E35" s="59"/>
      <x:c r="F35" s="59"/>
      <x:c r="G35" s="59"/>
      <x:c r="H35" s="59"/>
      <x:c r="I35" s="59"/>
      <x:c r="J35" s="59"/>
      <x:c r="K35" s="59"/>
      <x:c r="L35" s="59"/>
      <x:c r="M35" s="59"/>
      <x:c r="N35" s="59"/>
      <x:c r="O35" s="59"/>
      <x:c r="P35" s="59"/>
      <x:c r="Q35" s="59"/>
      <x:c r="R35" s="59"/>
      <x:c r="S35" s="59"/>
      <x:c r="T35" s="59"/>
      <x:c r="U35" s="59"/>
      <x:c r="V35" s="59"/>
      <x:c r="W35" s="59"/>
      <x:c r="X35" s="59"/>
      <x:c r="Y35" s="59"/>
      <x:c r="Z35" s="59"/>
      <x:c r="AA35" s="59"/>
      <x:c r="AB35" s="59"/>
      <x:c r="AC35" s="59"/>
      <x:c r="AD35" s="59"/>
      <x:c r="AE35" s="59"/>
      <x:c r="AF35" s="59"/>
      <x:c r="AG35" s="59"/>
      <x:c r="AH35" s="59"/>
      <x:c r="AI35" s="59"/>
      <x:c r="AJ35" s="59"/>
      <x:c r="AK35" s="59"/>
      <x:c r="AL35" s="59"/>
      <x:c r="AM35" s="59"/>
      <x:c r="AN35" s="59"/>
    </x:row>
    <x:row r="36">
      <x:c r="A36" s="59"/>
      <x:c r="B36" s="59"/>
      <x:c r="C36" s="59"/>
      <x:c r="D36" s="59"/>
      <x:c r="E36" s="59"/>
      <x:c r="F36" s="59"/>
      <x:c r="G36" s="59"/>
      <x:c r="H36" s="59"/>
      <x:c r="I36" s="59"/>
      <x:c r="J36" s="59"/>
      <x:c r="K36" s="59"/>
      <x:c r="L36" s="59"/>
      <x:c r="M36" s="59"/>
      <x:c r="N36" s="59"/>
      <x:c r="O36" s="59"/>
      <x:c r="P36" s="59"/>
      <x:c r="Q36" s="59"/>
      <x:c r="R36" s="59"/>
      <x:c r="S36" s="59"/>
      <x:c r="T36" s="59"/>
      <x:c r="U36" s="59"/>
      <x:c r="V36" s="59"/>
      <x:c r="W36" s="59"/>
      <x:c r="X36" s="59"/>
      <x:c r="Y36" s="59"/>
      <x:c r="Z36" s="59"/>
      <x:c r="AA36" s="59"/>
      <x:c r="AB36" s="59"/>
      <x:c r="AC36" s="59"/>
      <x:c r="AD36" s="59"/>
      <x:c r="AE36" s="59"/>
      <x:c r="AF36" s="59"/>
      <x:c r="AG36" s="59"/>
      <x:c r="AH36" s="59"/>
      <x:c r="AI36" s="59"/>
      <x:c r="AJ36" s="59"/>
      <x:c r="AK36" s="59"/>
      <x:c r="AL36" s="59"/>
      <x:c r="AM36" s="59"/>
      <x:c r="AN36" s="59"/>
    </x:row>
    <x:row r="37">
      <x:c r="A37" s="59"/>
      <x:c r="B37" s="59"/>
      <x:c r="C37" s="59"/>
      <x:c r="D37" s="59"/>
      <x:c r="E37" s="59"/>
      <x:c r="F37" s="59"/>
      <x:c r="G37" s="59"/>
      <x:c r="H37" s="59"/>
      <x:c r="I37" s="59"/>
      <x:c r="J37" s="59"/>
      <x:c r="K37" s="59"/>
      <x:c r="L37" s="59"/>
      <x:c r="M37" s="59"/>
      <x:c r="N37" s="59"/>
      <x:c r="O37" s="59"/>
      <x:c r="P37" s="59"/>
      <x:c r="Q37" s="59"/>
      <x:c r="R37" s="59"/>
      <x:c r="S37" s="59"/>
      <x:c r="T37" s="59"/>
      <x:c r="U37" s="59"/>
      <x:c r="V37" s="59"/>
      <x:c r="W37" s="59"/>
      <x:c r="X37" s="59"/>
      <x:c r="Y37" s="59"/>
      <x:c r="Z37" s="59"/>
      <x:c r="AA37" s="59"/>
      <x:c r="AB37" s="59"/>
      <x:c r="AC37" s="59"/>
      <x:c r="AD37" s="59"/>
      <x:c r="AE37" s="59"/>
      <x:c r="AF37" s="59"/>
      <x:c r="AG37" s="59"/>
      <x:c r="AH37" s="59"/>
      <x:c r="AI37" s="59"/>
      <x:c r="AJ37" s="59"/>
      <x:c r="AK37" s="59"/>
      <x:c r="AL37" s="59"/>
      <x:c r="AM37" s="59"/>
      <x:c r="AN37" s="59"/>
    </x:row>
    <x:row r="38">
      <x:c r="A38" s="59"/>
      <x:c r="B38" s="59"/>
      <x:c r="C38" s="59"/>
      <x:c r="D38" s="59"/>
      <x:c r="E38" s="59"/>
      <x:c r="F38" s="59"/>
      <x:c r="G38" s="59"/>
      <x:c r="H38" s="59"/>
      <x:c r="I38" s="59"/>
      <x:c r="J38" s="59"/>
      <x:c r="K38" s="59"/>
      <x:c r="L38" s="59"/>
      <x:c r="M38" s="59"/>
      <x:c r="N38" s="59"/>
      <x:c r="O38" s="59"/>
      <x:c r="P38" s="59"/>
      <x:c r="Q38" s="59"/>
      <x:c r="R38" s="59"/>
      <x:c r="S38" s="59"/>
      <x:c r="T38" s="59"/>
      <x:c r="U38" s="59"/>
      <x:c r="V38" s="59"/>
      <x:c r="W38" s="59"/>
      <x:c r="X38" s="59"/>
      <x:c r="Y38" s="59"/>
      <x:c r="Z38" s="59"/>
      <x:c r="AA38" s="59"/>
      <x:c r="AB38" s="59"/>
      <x:c r="AC38" s="59"/>
      <x:c r="AD38" s="59"/>
      <x:c r="AE38" s="59"/>
      <x:c r="AF38" s="59"/>
      <x:c r="AG38" s="59"/>
      <x:c r="AH38" s="59"/>
      <x:c r="AI38" s="59"/>
      <x:c r="AJ38" s="59"/>
      <x:c r="AK38" s="59"/>
      <x:c r="AL38" s="59"/>
      <x:c r="AM38" s="59"/>
      <x:c r="AN38" s="59"/>
    </x:row>
    <x:row r="39">
      <x:c r="A39" s="59"/>
      <x:c r="B39" s="59"/>
      <x:c r="C39" s="59"/>
      <x:c r="D39" s="59"/>
      <x:c r="E39" s="59"/>
      <x:c r="F39" s="59"/>
      <x:c r="G39" s="59"/>
      <x:c r="H39" s="59"/>
      <x:c r="I39" s="59"/>
      <x:c r="J39" s="59"/>
      <x:c r="K39" s="59"/>
      <x:c r="L39" s="59"/>
      <x:c r="M39" s="59"/>
      <x:c r="N39" s="59"/>
      <x:c r="O39" s="59"/>
      <x:c r="P39" s="59"/>
      <x:c r="Q39" s="59"/>
      <x:c r="R39" s="59"/>
      <x:c r="S39" s="59"/>
      <x:c r="T39" s="59"/>
      <x:c r="U39" s="59"/>
      <x:c r="V39" s="59"/>
      <x:c r="W39" s="59"/>
      <x:c r="X39" s="59"/>
      <x:c r="Y39" s="59"/>
      <x:c r="Z39" s="59"/>
      <x:c r="AA39" s="59"/>
      <x:c r="AB39" s="59"/>
      <x:c r="AC39" s="59"/>
      <x:c r="AD39" s="59"/>
      <x:c r="AE39" s="59"/>
      <x:c r="AF39" s="59"/>
      <x:c r="AG39" s="59"/>
      <x:c r="AH39" s="59"/>
      <x:c r="AI39" s="59"/>
      <x:c r="AJ39" s="59"/>
      <x:c r="AK39" s="59"/>
      <x:c r="AL39" s="59"/>
      <x:c r="AM39" s="59"/>
      <x:c r="AN39" s="59"/>
    </x:row>
    <x:row r="40">
      <x:c r="A40" s="59"/>
      <x:c r="B40" s="59"/>
      <x:c r="C40" s="59"/>
      <x:c r="D40" s="59"/>
      <x:c r="E40" s="59"/>
      <x:c r="F40" s="59"/>
      <x:c r="G40" s="59"/>
      <x:c r="H40" s="59"/>
      <x:c r="I40" s="59"/>
      <x:c r="J40" s="59"/>
      <x:c r="K40" s="59"/>
      <x:c r="L40" s="59"/>
      <x:c r="M40" s="59"/>
      <x:c r="N40" s="59"/>
      <x:c r="O40" s="59"/>
      <x:c r="P40" s="59"/>
      <x:c r="Q40" s="59"/>
      <x:c r="R40" s="59"/>
      <x:c r="S40" s="59"/>
      <x:c r="T40" s="59"/>
      <x:c r="U40" s="59"/>
      <x:c r="V40" s="59"/>
      <x:c r="W40" s="59"/>
      <x:c r="X40" s="59"/>
      <x:c r="Y40" s="59"/>
      <x:c r="Z40" s="59"/>
      <x:c r="AA40" s="59"/>
      <x:c r="AB40" s="59"/>
      <x:c r="AC40" s="59"/>
      <x:c r="AD40" s="59"/>
      <x:c r="AE40" s="59"/>
      <x:c r="AF40" s="59"/>
      <x:c r="AG40" s="59"/>
      <x:c r="AH40" s="59"/>
      <x:c r="AI40" s="59"/>
      <x:c r="AJ40" s="59"/>
      <x:c r="AK40" s="59"/>
      <x:c r="AL40" s="59"/>
      <x:c r="AM40" s="59"/>
      <x:c r="AN40" s="59"/>
    </x:row>
    <x:row r="41">
      <x:c r="A41" s="59"/>
      <x:c r="B41" s="59"/>
      <x:c r="C41" s="59"/>
      <x:c r="D41" s="59"/>
      <x:c r="E41" s="59"/>
      <x:c r="F41" s="59"/>
      <x:c r="G41" s="59"/>
      <x:c r="H41" s="59"/>
      <x:c r="I41" s="59"/>
      <x:c r="J41" s="59"/>
      <x:c r="K41" s="59"/>
      <x:c r="L41" s="59"/>
      <x:c r="M41" s="59"/>
      <x:c r="N41" s="59"/>
      <x:c r="O41" s="59"/>
      <x:c r="P41" s="59"/>
      <x:c r="Q41" s="59"/>
      <x:c r="R41" s="59"/>
      <x:c r="S41" s="59"/>
      <x:c r="T41" s="59"/>
      <x:c r="U41" s="59"/>
      <x:c r="V41" s="59"/>
      <x:c r="W41" s="59"/>
      <x:c r="X41" s="59"/>
      <x:c r="Y41" s="59"/>
      <x:c r="Z41" s="59"/>
      <x:c r="AA41" s="59"/>
      <x:c r="AB41" s="59"/>
      <x:c r="AC41" s="59"/>
      <x:c r="AD41" s="59"/>
      <x:c r="AE41" s="59"/>
      <x:c r="AF41" s="59"/>
      <x:c r="AG41" s="59"/>
      <x:c r="AH41" s="59"/>
      <x:c r="AI41" s="59"/>
      <x:c r="AJ41" s="59"/>
      <x:c r="AK41" s="59"/>
      <x:c r="AL41" s="59"/>
      <x:c r="AM41" s="59"/>
      <x:c r="AN41" s="59"/>
    </x:row>
    <x:row r="42">
      <x:c r="A42" s="59"/>
      <x:c r="B42" s="59"/>
      <x:c r="C42" s="59"/>
      <x:c r="D42" s="59"/>
      <x:c r="E42" s="59"/>
      <x:c r="F42" s="59"/>
      <x:c r="G42" s="59"/>
      <x:c r="H42" s="59"/>
      <x:c r="I42" s="59"/>
      <x:c r="J42" s="59"/>
      <x:c r="K42" s="59"/>
      <x:c r="L42" s="59"/>
      <x:c r="M42" s="59"/>
      <x:c r="N42" s="59"/>
      <x:c r="O42" s="59"/>
      <x:c r="P42" s="59"/>
      <x:c r="Q42" s="59"/>
      <x:c r="R42" s="59"/>
      <x:c r="S42" s="59"/>
      <x:c r="T42" s="59"/>
      <x:c r="U42" s="59"/>
      <x:c r="V42" s="59"/>
      <x:c r="W42" s="59"/>
      <x:c r="X42" s="59"/>
      <x:c r="Y42" s="59"/>
      <x:c r="Z42" s="59"/>
      <x:c r="AA42" s="59"/>
      <x:c r="AB42" s="59"/>
      <x:c r="AC42" s="59"/>
      <x:c r="AD42" s="59"/>
      <x:c r="AE42" s="59"/>
      <x:c r="AF42" s="59"/>
      <x:c r="AG42" s="59"/>
      <x:c r="AH42" s="59"/>
      <x:c r="AI42" s="59"/>
      <x:c r="AJ42" s="59"/>
      <x:c r="AK42" s="59"/>
      <x:c r="AL42" s="59"/>
      <x:c r="AM42" s="59"/>
      <x:c r="AN42" s="59"/>
    </x:row>
    <x:row r="43">
      <x:c r="A43" s="59"/>
      <x:c r="B43" s="59"/>
      <x:c r="C43" s="59"/>
      <x:c r="D43" s="59"/>
      <x:c r="E43" s="59"/>
      <x:c r="F43" s="59"/>
      <x:c r="G43" s="59"/>
      <x:c r="H43" s="59"/>
      <x:c r="I43" s="59"/>
      <x:c r="J43" s="59"/>
      <x:c r="K43" s="59"/>
      <x:c r="L43" s="59"/>
      <x:c r="M43" s="59"/>
      <x:c r="N43" s="59"/>
      <x:c r="O43" s="59"/>
      <x:c r="P43" s="59"/>
      <x:c r="Q43" s="59"/>
      <x:c r="R43" s="59"/>
      <x:c r="S43" s="59"/>
      <x:c r="T43" s="59"/>
      <x:c r="U43" s="59"/>
      <x:c r="V43" s="59"/>
      <x:c r="W43" s="59"/>
      <x:c r="X43" s="59"/>
      <x:c r="Y43" s="59"/>
      <x:c r="Z43" s="59"/>
      <x:c r="AA43" s="59"/>
      <x:c r="AB43" s="59"/>
      <x:c r="AC43" s="59"/>
      <x:c r="AD43" s="59"/>
      <x:c r="AE43" s="59"/>
      <x:c r="AF43" s="59"/>
      <x:c r="AG43" s="59"/>
      <x:c r="AH43" s="59"/>
      <x:c r="AI43" s="59"/>
      <x:c r="AJ43" s="59"/>
      <x:c r="AK43" s="59"/>
      <x:c r="AL43" s="59"/>
      <x:c r="AM43" s="59"/>
      <x:c r="AN43" s="59"/>
    </x:row>
    <x:row r="44">
      <x:c r="A44" s="59"/>
      <x:c r="B44" s="59"/>
      <x:c r="C44" s="59"/>
      <x:c r="D44" s="59"/>
      <x:c r="E44" s="59"/>
      <x:c r="F44" s="59"/>
      <x:c r="G44" s="59"/>
      <x:c r="H44" s="59"/>
      <x:c r="I44" s="59"/>
      <x:c r="J44" s="59"/>
      <x:c r="K44" s="59"/>
      <x:c r="L44" s="59"/>
      <x:c r="M44" s="59"/>
      <x:c r="N44" s="59"/>
      <x:c r="O44" s="59"/>
      <x:c r="P44" s="59"/>
      <x:c r="Q44" s="59"/>
      <x:c r="R44" s="59"/>
      <x:c r="S44" s="59"/>
      <x:c r="T44" s="59"/>
      <x:c r="U44" s="59"/>
      <x:c r="V44" s="59"/>
      <x:c r="W44" s="59"/>
      <x:c r="X44" s="59"/>
      <x:c r="Y44" s="59"/>
      <x:c r="Z44" s="59"/>
      <x:c r="AA44" s="59"/>
      <x:c r="AB44" s="59"/>
      <x:c r="AC44" s="59"/>
      <x:c r="AD44" s="59"/>
      <x:c r="AE44" s="59"/>
      <x:c r="AF44" s="59"/>
      <x:c r="AG44" s="59"/>
      <x:c r="AH44" s="59"/>
      <x:c r="AI44" s="59"/>
      <x:c r="AJ44" s="59"/>
      <x:c r="AK44" s="59"/>
      <x:c r="AL44" s="59"/>
      <x:c r="AM44" s="59"/>
      <x:c r="AN44" s="59"/>
    </x:row>
    <x:row r="45">
      <x:c r="A45" s="59"/>
      <x:c r="B45" s="59"/>
      <x:c r="C45" s="59"/>
      <x:c r="D45" s="59"/>
      <x:c r="E45" s="59"/>
      <x:c r="F45" s="59"/>
      <x:c r="G45" s="59"/>
      <x:c r="H45" s="59"/>
      <x:c r="I45" s="59"/>
      <x:c r="J45" s="59"/>
      <x:c r="K45" s="59"/>
      <x:c r="L45" s="59"/>
      <x:c r="M45" s="59"/>
      <x:c r="N45" s="59"/>
      <x:c r="O45" s="59"/>
      <x:c r="P45" s="59"/>
      <x:c r="Q45" s="59"/>
      <x:c r="R45" s="59"/>
      <x:c r="S45" s="59"/>
      <x:c r="T45" s="59"/>
      <x:c r="U45" s="59"/>
      <x:c r="V45" s="59"/>
      <x:c r="W45" s="59"/>
      <x:c r="X45" s="59"/>
      <x:c r="Y45" s="59"/>
      <x:c r="Z45" s="59"/>
      <x:c r="AA45" s="59"/>
      <x:c r="AB45" s="59"/>
      <x:c r="AC45" s="59"/>
      <x:c r="AD45" s="59"/>
      <x:c r="AE45" s="59"/>
      <x:c r="AF45" s="59"/>
      <x:c r="AG45" s="59"/>
      <x:c r="AH45" s="59"/>
      <x:c r="AI45" s="59"/>
      <x:c r="AJ45" s="59"/>
      <x:c r="AK45" s="59"/>
      <x:c r="AL45" s="59"/>
      <x:c r="AM45" s="59"/>
      <x:c r="AN45" s="59"/>
    </x:row>
    <x:row r="46">
      <x:c r="A46" s="59"/>
      <x:c r="B46" s="59"/>
      <x:c r="C46" s="59"/>
      <x:c r="D46" s="59"/>
      <x:c r="E46" s="59"/>
      <x:c r="F46" s="59"/>
      <x:c r="G46" s="59"/>
      <x:c r="H46" s="59"/>
      <x:c r="I46" s="59"/>
      <x:c r="J46" s="59"/>
      <x:c r="K46" s="59"/>
      <x:c r="L46" s="59"/>
      <x:c r="M46" s="59"/>
      <x:c r="N46" s="59"/>
      <x:c r="O46" s="59"/>
      <x:c r="P46" s="59"/>
      <x:c r="Q46" s="59"/>
      <x:c r="R46" s="59"/>
      <x:c r="S46" s="59"/>
      <x:c r="T46" s="59"/>
      <x:c r="U46" s="59"/>
      <x:c r="V46" s="59"/>
      <x:c r="W46" s="59"/>
      <x:c r="X46" s="59"/>
      <x:c r="Y46" s="59"/>
      <x:c r="Z46" s="59"/>
      <x:c r="AA46" s="59"/>
      <x:c r="AB46" s="59"/>
      <x:c r="AC46" s="59"/>
      <x:c r="AD46" s="59"/>
      <x:c r="AE46" s="59"/>
      <x:c r="AF46" s="59"/>
      <x:c r="AG46" s="59"/>
      <x:c r="AH46" s="59"/>
      <x:c r="AI46" s="59"/>
      <x:c r="AJ46" s="59"/>
      <x:c r="AK46" s="59"/>
      <x:c r="AL46" s="59"/>
      <x:c r="AM46" s="59"/>
      <x:c r="AN46" s="59"/>
    </x:row>
    <x:row r="47">
      <x:c r="A47" s="59"/>
      <x:c r="B47" s="59"/>
      <x:c r="C47" s="59"/>
      <x:c r="D47" s="59"/>
      <x:c r="E47" s="59"/>
      <x:c r="F47" s="59"/>
      <x:c r="G47" s="59"/>
      <x:c r="H47" s="59"/>
      <x:c r="I47" s="59"/>
      <x:c r="J47" s="59"/>
      <x:c r="K47" s="59"/>
      <x:c r="L47" s="59"/>
      <x:c r="M47" s="59"/>
      <x:c r="N47" s="59"/>
      <x:c r="O47" s="59"/>
      <x:c r="P47" s="59"/>
      <x:c r="Q47" s="59"/>
      <x:c r="R47" s="59"/>
      <x:c r="S47" s="59"/>
      <x:c r="T47" s="59"/>
      <x:c r="U47" s="59"/>
      <x:c r="V47" s="59"/>
      <x:c r="W47" s="59"/>
      <x:c r="X47" s="59"/>
      <x:c r="Y47" s="59"/>
      <x:c r="Z47" s="59"/>
      <x:c r="AA47" s="59"/>
      <x:c r="AB47" s="59"/>
      <x:c r="AC47" s="59"/>
      <x:c r="AD47" s="59"/>
      <x:c r="AE47" s="59"/>
      <x:c r="AF47" s="59"/>
      <x:c r="AG47" s="59"/>
      <x:c r="AH47" s="59"/>
      <x:c r="AI47" s="59"/>
      <x:c r="AJ47" s="59"/>
      <x:c r="AK47" s="59"/>
      <x:c r="AL47" s="59"/>
      <x:c r="AM47" s="59"/>
      <x:c r="AN47" s="59"/>
    </x:row>
    <x:row r="48">
      <x:c r="A48" s="59"/>
      <x:c r="B48" s="59"/>
      <x:c r="C48" s="59"/>
      <x:c r="D48" s="59"/>
      <x:c r="E48" s="59"/>
      <x:c r="F48" s="59"/>
      <x:c r="G48" s="59"/>
      <x:c r="H48" s="59"/>
      <x:c r="I48" s="59"/>
      <x:c r="J48" s="59"/>
      <x:c r="K48" s="59"/>
      <x:c r="L48" s="59"/>
      <x:c r="M48" s="59"/>
      <x:c r="N48" s="59"/>
      <x:c r="O48" s="59"/>
      <x:c r="P48" s="59"/>
      <x:c r="Q48" s="59"/>
      <x:c r="R48" s="59"/>
      <x:c r="S48" s="59"/>
      <x:c r="T48" s="59"/>
      <x:c r="U48" s="59"/>
      <x:c r="V48" s="59"/>
      <x:c r="W48" s="59"/>
      <x:c r="X48" s="59"/>
      <x:c r="Y48" s="59"/>
      <x:c r="Z48" s="59"/>
      <x:c r="AA48" s="59"/>
      <x:c r="AB48" s="59"/>
      <x:c r="AC48" s="59"/>
      <x:c r="AD48" s="59"/>
      <x:c r="AE48" s="59"/>
      <x:c r="AF48" s="59"/>
      <x:c r="AG48" s="59"/>
      <x:c r="AH48" s="59"/>
      <x:c r="AI48" s="59"/>
      <x:c r="AJ48" s="59"/>
      <x:c r="AK48" s="59"/>
      <x:c r="AL48" s="59"/>
      <x:c r="AM48" s="59"/>
      <x:c r="AN48" s="59"/>
    </x:row>
    <x:row r="49">
      <x:c r="A49" s="59"/>
      <x:c r="B49" s="59"/>
      <x:c r="C49" s="59"/>
      <x:c r="D49" s="59"/>
      <x:c r="E49" s="59"/>
      <x:c r="F49" s="59"/>
      <x:c r="G49" s="59"/>
      <x:c r="H49" s="59"/>
      <x:c r="I49" s="59"/>
      <x:c r="J49" s="59"/>
      <x:c r="K49" s="59"/>
      <x:c r="L49" s="59"/>
      <x:c r="M49" s="59"/>
      <x:c r="N49" s="59"/>
      <x:c r="O49" s="59"/>
      <x:c r="P49" s="59"/>
      <x:c r="Q49" s="59"/>
      <x:c r="R49" s="59"/>
      <x:c r="S49" s="59"/>
      <x:c r="T49" s="59"/>
      <x:c r="U49" s="59"/>
      <x:c r="V49" s="59"/>
      <x:c r="W49" s="59"/>
      <x:c r="X49" s="59"/>
      <x:c r="Y49" s="59"/>
      <x:c r="Z49" s="59"/>
      <x:c r="AA49" s="59"/>
      <x:c r="AB49" s="59"/>
      <x:c r="AC49" s="59"/>
      <x:c r="AD49" s="59"/>
      <x:c r="AE49" s="59"/>
      <x:c r="AF49" s="59"/>
      <x:c r="AG49" s="59"/>
      <x:c r="AH49" s="59"/>
      <x:c r="AI49" s="59"/>
      <x:c r="AJ49" s="59"/>
      <x:c r="AK49" s="59"/>
      <x:c r="AL49" s="59"/>
      <x:c r="AM49" s="59"/>
      <x:c r="AN49" s="59"/>
    </x:row>
    <x:row r="50">
      <x:c r="A50" s="59"/>
      <x:c r="B50" s="59"/>
      <x:c r="C50" s="59"/>
      <x:c r="D50" s="59"/>
      <x:c r="E50" s="59"/>
      <x:c r="F50" s="59"/>
      <x:c r="G50" s="59"/>
      <x:c r="H50" s="59"/>
      <x:c r="I50" s="59"/>
      <x:c r="J50" s="59"/>
      <x:c r="K50" s="59"/>
      <x:c r="L50" s="59"/>
      <x:c r="M50" s="59"/>
      <x:c r="N50" s="59"/>
      <x:c r="O50" s="59"/>
      <x:c r="P50" s="59"/>
      <x:c r="Q50" s="59"/>
      <x:c r="R50" s="59"/>
      <x:c r="S50" s="59"/>
      <x:c r="T50" s="59"/>
      <x:c r="U50" s="59"/>
      <x:c r="V50" s="59"/>
      <x:c r="W50" s="59"/>
      <x:c r="X50" s="59"/>
      <x:c r="Y50" s="59"/>
      <x:c r="Z50" s="59"/>
      <x:c r="AA50" s="59"/>
      <x:c r="AB50" s="59"/>
      <x:c r="AC50" s="59"/>
      <x:c r="AD50" s="59"/>
      <x:c r="AE50" s="59"/>
      <x:c r="AF50" s="59"/>
      <x:c r="AG50" s="59"/>
      <x:c r="AH50" s="59"/>
      <x:c r="AI50" s="59"/>
      <x:c r="AJ50" s="59"/>
      <x:c r="AK50" s="59"/>
      <x:c r="AL50" s="59"/>
      <x:c r="AM50" s="59"/>
      <x:c r="AN50" s="59"/>
    </x:row>
    <x:row r="51">
      <x:c r="A51" s="59"/>
      <x:c r="B51" s="59"/>
      <x:c r="C51" s="59"/>
      <x:c r="D51" s="59"/>
      <x:c r="E51" s="59"/>
      <x:c r="F51" s="59"/>
      <x:c r="G51" s="59"/>
      <x:c r="H51" s="59"/>
      <x:c r="I51" s="59"/>
      <x:c r="J51" s="59"/>
      <x:c r="K51" s="59"/>
      <x:c r="L51" s="59"/>
      <x:c r="M51" s="59"/>
      <x:c r="N51" s="59"/>
      <x:c r="O51" s="59"/>
      <x:c r="P51" s="59"/>
      <x:c r="Q51" s="59"/>
      <x:c r="R51" s="59"/>
      <x:c r="S51" s="59"/>
      <x:c r="T51" s="59"/>
      <x:c r="U51" s="59"/>
      <x:c r="V51" s="59"/>
      <x:c r="W51" s="59"/>
      <x:c r="X51" s="59"/>
      <x:c r="Y51" s="59"/>
      <x:c r="Z51" s="59"/>
      <x:c r="AA51" s="59"/>
      <x:c r="AB51" s="59"/>
      <x:c r="AC51" s="59"/>
      <x:c r="AD51" s="59"/>
      <x:c r="AE51" s="59"/>
      <x:c r="AF51" s="59"/>
      <x:c r="AG51" s="59"/>
      <x:c r="AH51" s="59"/>
      <x:c r="AI51" s="59"/>
      <x:c r="AJ51" s="59"/>
      <x:c r="AK51" s="59"/>
      <x:c r="AL51" s="59"/>
      <x:c r="AM51" s="59"/>
      <x:c r="AN51" s="59"/>
    </x:row>
    <x:row r="52">
      <x:c r="A52" s="59"/>
      <x:c r="B52" s="59"/>
      <x:c r="C52" s="59"/>
      <x:c r="D52" s="59"/>
      <x:c r="E52" s="59"/>
      <x:c r="F52" s="59"/>
      <x:c r="G52" s="59"/>
      <x:c r="H52" s="59"/>
      <x:c r="I52" s="59"/>
      <x:c r="J52" s="59"/>
      <x:c r="K52" s="59"/>
      <x:c r="L52" s="59"/>
      <x:c r="M52" s="59"/>
      <x:c r="N52" s="59"/>
      <x:c r="O52" s="59"/>
      <x:c r="P52" s="59"/>
      <x:c r="Q52" s="59"/>
      <x:c r="R52" s="59"/>
      <x:c r="S52" s="59"/>
      <x:c r="T52" s="59"/>
      <x:c r="U52" s="59"/>
      <x:c r="V52" s="59"/>
      <x:c r="W52" s="59"/>
      <x:c r="X52" s="59"/>
      <x:c r="Y52" s="59"/>
      <x:c r="Z52" s="59"/>
      <x:c r="AA52" s="59"/>
      <x:c r="AB52" s="59"/>
      <x:c r="AC52" s="59"/>
      <x:c r="AD52" s="59"/>
      <x:c r="AE52" s="59"/>
      <x:c r="AF52" s="59"/>
      <x:c r="AG52" s="59"/>
      <x:c r="AH52" s="59"/>
      <x:c r="AI52" s="59"/>
      <x:c r="AJ52" s="59"/>
      <x:c r="AK52" s="59"/>
      <x:c r="AL52" s="59"/>
      <x:c r="AM52" s="59"/>
      <x:c r="AN52" s="59"/>
    </x:row>
    <x:row r="53">
      <x:c r="A53" s="59"/>
      <x:c r="B53" s="59"/>
      <x:c r="C53" s="59"/>
      <x:c r="D53" s="59"/>
      <x:c r="E53" s="59"/>
      <x:c r="F53" s="59"/>
      <x:c r="G53" s="59"/>
      <x:c r="H53" s="59"/>
      <x:c r="I53" s="59"/>
      <x:c r="J53" s="59"/>
      <x:c r="K53" s="59"/>
      <x:c r="L53" s="59"/>
      <x:c r="M53" s="59"/>
      <x:c r="N53" s="59"/>
      <x:c r="O53" s="59"/>
      <x:c r="P53" s="59"/>
      <x:c r="Q53" s="59"/>
      <x:c r="R53" s="59"/>
      <x:c r="S53" s="59"/>
      <x:c r="T53" s="59"/>
      <x:c r="U53" s="59"/>
      <x:c r="V53" s="59"/>
      <x:c r="W53" s="59"/>
      <x:c r="X53" s="59"/>
      <x:c r="Y53" s="59"/>
      <x:c r="Z53" s="59"/>
      <x:c r="AA53" s="59"/>
      <x:c r="AB53" s="59"/>
      <x:c r="AC53" s="59"/>
      <x:c r="AD53" s="59"/>
      <x:c r="AE53" s="59"/>
      <x:c r="AF53" s="59"/>
      <x:c r="AG53" s="59"/>
      <x:c r="AH53" s="59"/>
      <x:c r="AI53" s="59"/>
      <x:c r="AJ53" s="59"/>
      <x:c r="AK53" s="59"/>
      <x:c r="AL53" s="59"/>
      <x:c r="AM53" s="59"/>
      <x:c r="AN53" s="59"/>
    </x:row>
    <x:row r="54">
      <x:c r="A54" s="59"/>
      <x:c r="B54" s="59"/>
      <x:c r="C54" s="59"/>
      <x:c r="D54" s="59"/>
      <x:c r="E54" s="59"/>
      <x:c r="F54" s="59"/>
      <x:c r="G54" s="59"/>
      <x:c r="H54" s="59"/>
      <x:c r="I54" s="59"/>
      <x:c r="J54" s="59"/>
      <x:c r="K54" s="59"/>
      <x:c r="L54" s="59"/>
      <x:c r="M54" s="59"/>
      <x:c r="N54" s="59"/>
      <x:c r="O54" s="59"/>
      <x:c r="P54" s="59"/>
      <x:c r="Q54" s="59"/>
      <x:c r="R54" s="59"/>
      <x:c r="S54" s="59"/>
      <x:c r="T54" s="59"/>
      <x:c r="U54" s="59"/>
      <x:c r="V54" s="59"/>
      <x:c r="W54" s="59"/>
      <x:c r="X54" s="59"/>
      <x:c r="Y54" s="59"/>
      <x:c r="Z54" s="59"/>
      <x:c r="AA54" s="59"/>
      <x:c r="AB54" s="59"/>
      <x:c r="AC54" s="59"/>
      <x:c r="AD54" s="59"/>
      <x:c r="AE54" s="59"/>
      <x:c r="AF54" s="59"/>
      <x:c r="AG54" s="59"/>
      <x:c r="AH54" s="59"/>
      <x:c r="AI54" s="59"/>
      <x:c r="AJ54" s="59"/>
      <x:c r="AK54" s="59"/>
      <x:c r="AL54" s="59"/>
      <x:c r="AM54" s="59"/>
      <x:c r="AN54" s="59"/>
    </x:row>
    <x:row r="55">
      <x:c r="A55" s="59"/>
      <x:c r="B55" s="59"/>
      <x:c r="C55" s="59"/>
      <x:c r="D55" s="59"/>
      <x:c r="E55" s="59"/>
      <x:c r="F55" s="59"/>
      <x:c r="G55" s="59"/>
      <x:c r="H55" s="59"/>
      <x:c r="I55" s="59"/>
      <x:c r="J55" s="59"/>
      <x:c r="K55" s="59"/>
      <x:c r="L55" s="59"/>
      <x:c r="M55" s="59"/>
      <x:c r="N55" s="59"/>
      <x:c r="O55" s="59"/>
      <x:c r="P55" s="59"/>
      <x:c r="Q55" s="59"/>
      <x:c r="R55" s="59"/>
      <x:c r="S55" s="59"/>
      <x:c r="T55" s="59"/>
      <x:c r="U55" s="59"/>
      <x:c r="V55" s="59"/>
      <x:c r="W55" s="59"/>
      <x:c r="X55" s="59"/>
      <x:c r="Y55" s="59"/>
      <x:c r="Z55" s="59"/>
      <x:c r="AA55" s="59"/>
      <x:c r="AB55" s="59"/>
      <x:c r="AC55" s="59"/>
      <x:c r="AD55" s="59"/>
      <x:c r="AE55" s="59"/>
      <x:c r="AF55" s="59"/>
      <x:c r="AG55" s="59"/>
      <x:c r="AH55" s="59"/>
      <x:c r="AI55" s="59"/>
      <x:c r="AJ55" s="59"/>
      <x:c r="AK55" s="59"/>
      <x:c r="AL55" s="59"/>
      <x:c r="AM55" s="59"/>
      <x:c r="AN55" s="59"/>
    </x:row>
    <x:row r="56">
      <x:c r="A56" s="59"/>
      <x:c r="B56" s="59"/>
      <x:c r="C56" s="59"/>
      <x:c r="D56" s="59"/>
      <x:c r="E56" s="59"/>
      <x:c r="F56" s="59"/>
      <x:c r="G56" s="59"/>
      <x:c r="H56" s="59"/>
      <x:c r="I56" s="59"/>
      <x:c r="J56" s="59"/>
      <x:c r="K56" s="59"/>
      <x:c r="L56" s="59"/>
      <x:c r="M56" s="59"/>
      <x:c r="N56" s="59"/>
      <x:c r="O56" s="59"/>
      <x:c r="P56" s="59"/>
      <x:c r="Q56" s="59"/>
      <x:c r="R56" s="59"/>
      <x:c r="S56" s="59"/>
      <x:c r="T56" s="59"/>
      <x:c r="U56" s="59"/>
      <x:c r="V56" s="59"/>
      <x:c r="W56" s="59"/>
      <x:c r="X56" s="59"/>
      <x:c r="Y56" s="59"/>
      <x:c r="Z56" s="59"/>
      <x:c r="AA56" s="59"/>
      <x:c r="AB56" s="59"/>
      <x:c r="AC56" s="59"/>
      <x:c r="AD56" s="59"/>
      <x:c r="AE56" s="59"/>
      <x:c r="AF56" s="59"/>
      <x:c r="AG56" s="59"/>
      <x:c r="AH56" s="59"/>
      <x:c r="AI56" s="59"/>
      <x:c r="AJ56" s="59"/>
      <x:c r="AK56" s="59"/>
      <x:c r="AL56" s="59"/>
      <x:c r="AM56" s="59"/>
      <x:c r="AN56" s="59"/>
    </x:row>
    <x:row r="57">
      <x:c r="A57" s="59"/>
      <x:c r="B57" s="59"/>
      <x:c r="C57" s="59"/>
      <x:c r="D57" s="59"/>
      <x:c r="E57" s="59"/>
      <x:c r="F57" s="59"/>
      <x:c r="G57" s="59"/>
      <x:c r="H57" s="59"/>
      <x:c r="I57" s="59"/>
      <x:c r="J57" s="59"/>
      <x:c r="K57" s="59"/>
      <x:c r="L57" s="59"/>
      <x:c r="M57" s="59"/>
      <x:c r="N57" s="59"/>
      <x:c r="O57" s="59"/>
      <x:c r="P57" s="59"/>
      <x:c r="Q57" s="59"/>
      <x:c r="R57" s="59"/>
      <x:c r="S57" s="59"/>
      <x:c r="T57" s="59"/>
      <x:c r="U57" s="59"/>
      <x:c r="V57" s="59"/>
      <x:c r="W57" s="59"/>
      <x:c r="X57" s="59"/>
      <x:c r="Y57" s="59"/>
      <x:c r="Z57" s="59"/>
      <x:c r="AA57" s="59"/>
      <x:c r="AB57" s="59"/>
      <x:c r="AC57" s="59"/>
      <x:c r="AD57" s="59"/>
      <x:c r="AE57" s="59"/>
      <x:c r="AF57" s="59"/>
      <x:c r="AG57" s="59"/>
      <x:c r="AH57" s="59"/>
      <x:c r="AI57" s="59"/>
      <x:c r="AJ57" s="59"/>
      <x:c r="AK57" s="59"/>
      <x:c r="AL57" s="59"/>
      <x:c r="AM57" s="59"/>
      <x:c r="AN57" s="59"/>
    </x:row>
    <x:row r="58">
      <x:c r="A58" s="59"/>
      <x:c r="B58" s="59"/>
      <x:c r="C58" s="59"/>
      <x:c r="D58" s="59"/>
      <x:c r="E58" s="59"/>
      <x:c r="F58" s="59"/>
      <x:c r="G58" s="59"/>
      <x:c r="H58" s="59"/>
      <x:c r="I58" s="59"/>
      <x:c r="J58" s="59"/>
      <x:c r="K58" s="59"/>
      <x:c r="L58" s="59"/>
      <x:c r="M58" s="59"/>
      <x:c r="N58" s="59"/>
      <x:c r="O58" s="59"/>
      <x:c r="P58" s="59"/>
      <x:c r="Q58" s="59"/>
      <x:c r="R58" s="59"/>
      <x:c r="S58" s="59"/>
      <x:c r="T58" s="59"/>
      <x:c r="U58" s="59"/>
      <x:c r="V58" s="59"/>
      <x:c r="W58" s="59"/>
      <x:c r="X58" s="59"/>
      <x:c r="Y58" s="59"/>
      <x:c r="Z58" s="59"/>
      <x:c r="AA58" s="59"/>
      <x:c r="AB58" s="59"/>
      <x:c r="AC58" s="59"/>
      <x:c r="AD58" s="59"/>
      <x:c r="AE58" s="59"/>
      <x:c r="AF58" s="59"/>
      <x:c r="AG58" s="59"/>
      <x:c r="AH58" s="59"/>
      <x:c r="AI58" s="59"/>
      <x:c r="AJ58" s="59"/>
      <x:c r="AK58" s="59"/>
      <x:c r="AL58" s="59"/>
      <x:c r="AM58" s="59"/>
      <x:c r="AN58" s="59"/>
    </x:row>
    <x:row r="59">
      <x:c r="A59" s="59"/>
      <x:c r="B59" s="59"/>
      <x:c r="C59" s="59"/>
      <x:c r="D59" s="59"/>
      <x:c r="E59" s="59"/>
      <x:c r="F59" s="59"/>
      <x:c r="G59" s="59"/>
      <x:c r="H59" s="59"/>
      <x:c r="I59" s="59"/>
      <x:c r="J59" s="59"/>
      <x:c r="K59" s="59"/>
      <x:c r="L59" s="59"/>
      <x:c r="M59" s="59"/>
      <x:c r="N59" s="59"/>
      <x:c r="O59" s="59"/>
      <x:c r="P59" s="59"/>
      <x:c r="Q59" s="59"/>
      <x:c r="R59" s="59"/>
      <x:c r="S59" s="59"/>
      <x:c r="T59" s="59"/>
      <x:c r="U59" s="59"/>
      <x:c r="V59" s="59"/>
      <x:c r="W59" s="59"/>
      <x:c r="X59" s="59"/>
      <x:c r="Y59" s="59"/>
      <x:c r="Z59" s="59"/>
      <x:c r="AA59" s="59"/>
      <x:c r="AB59" s="59"/>
      <x:c r="AC59" s="59"/>
      <x:c r="AD59" s="59"/>
      <x:c r="AE59" s="59"/>
      <x:c r="AF59" s="59"/>
      <x:c r="AG59" s="59"/>
      <x:c r="AH59" s="59"/>
      <x:c r="AI59" s="59"/>
      <x:c r="AJ59" s="59"/>
      <x:c r="AK59" s="59"/>
      <x:c r="AL59" s="59"/>
      <x:c r="AM59" s="59"/>
      <x:c r="AN59" s="59"/>
    </x:row>
    <x:row r="60">
      <x:c r="A60" s="59"/>
      <x:c r="B60" s="59"/>
      <x:c r="C60" s="59"/>
      <x:c r="D60" s="59"/>
      <x:c r="E60" s="59"/>
      <x:c r="F60" s="59"/>
      <x:c r="G60" s="59"/>
      <x:c r="H60" s="59"/>
      <x:c r="I60" s="59"/>
      <x:c r="J60" s="59"/>
      <x:c r="K60" s="59"/>
      <x:c r="L60" s="59"/>
      <x:c r="M60" s="59"/>
      <x:c r="N60" s="59"/>
      <x:c r="O60" s="59"/>
      <x:c r="P60" s="59"/>
      <x:c r="Q60" s="59"/>
      <x:c r="R60" s="59"/>
      <x:c r="S60" s="59"/>
      <x:c r="T60" s="59"/>
      <x:c r="U60" s="59"/>
      <x:c r="V60" s="59"/>
      <x:c r="W60" s="59"/>
      <x:c r="X60" s="59"/>
      <x:c r="Y60" s="59"/>
      <x:c r="Z60" s="59"/>
      <x:c r="AA60" s="59"/>
      <x:c r="AB60" s="59"/>
      <x:c r="AC60" s="59"/>
      <x:c r="AD60" s="59"/>
      <x:c r="AE60" s="59"/>
      <x:c r="AF60" s="59"/>
      <x:c r="AG60" s="59"/>
      <x:c r="AH60" s="59"/>
      <x:c r="AI60" s="59"/>
      <x:c r="AJ60" s="59"/>
      <x:c r="AK60" s="59"/>
      <x:c r="AL60" s="59"/>
      <x:c r="AM60" s="59"/>
      <x:c r="AN60" s="59"/>
    </x:row>
    <x:row r="61">
      <x:c r="A61" s="59"/>
      <x:c r="B61" s="59"/>
      <x:c r="C61" s="59"/>
      <x:c r="D61" s="59"/>
      <x:c r="E61" s="59"/>
      <x:c r="F61" s="59"/>
      <x:c r="G61" s="59"/>
      <x:c r="H61" s="59"/>
      <x:c r="I61" s="59"/>
      <x:c r="J61" s="59"/>
      <x:c r="K61" s="59"/>
      <x:c r="L61" s="59"/>
      <x:c r="M61" s="59"/>
      <x:c r="N61" s="59"/>
      <x:c r="O61" s="59"/>
      <x:c r="P61" s="59"/>
      <x:c r="Q61" s="59"/>
      <x:c r="R61" s="59"/>
      <x:c r="S61" s="59"/>
      <x:c r="T61" s="59"/>
      <x:c r="U61" s="59"/>
      <x:c r="V61" s="59"/>
      <x:c r="W61" s="59"/>
      <x:c r="X61" s="59"/>
      <x:c r="Y61" s="59"/>
      <x:c r="Z61" s="59"/>
      <x:c r="AA61" s="59"/>
      <x:c r="AB61" s="59"/>
      <x:c r="AC61" s="59"/>
      <x:c r="AD61" s="59"/>
      <x:c r="AE61" s="59"/>
      <x:c r="AF61" s="59"/>
      <x:c r="AG61" s="59"/>
      <x:c r="AH61" s="59"/>
      <x:c r="AI61" s="59"/>
      <x:c r="AJ61" s="59"/>
      <x:c r="AK61" s="59"/>
      <x:c r="AL61" s="59"/>
      <x:c r="AM61" s="59"/>
      <x:c r="AN61" s="59"/>
    </x:row>
    <x:row r="62">
      <x:c r="A62" s="59"/>
      <x:c r="B62" s="59"/>
      <x:c r="C62" s="59"/>
      <x:c r="D62" s="59"/>
      <x:c r="E62" s="59"/>
      <x:c r="F62" s="59"/>
      <x:c r="G62" s="59"/>
      <x:c r="H62" s="59"/>
      <x:c r="I62" s="59"/>
      <x:c r="J62" s="59"/>
      <x:c r="K62" s="59"/>
      <x:c r="L62" s="59"/>
      <x:c r="M62" s="59"/>
      <x:c r="N62" s="59"/>
      <x:c r="O62" s="59"/>
      <x:c r="P62" s="59"/>
      <x:c r="Q62" s="59"/>
      <x:c r="R62" s="59"/>
      <x:c r="S62" s="59"/>
      <x:c r="T62" s="59"/>
      <x:c r="U62" s="59"/>
      <x:c r="V62" s="59"/>
      <x:c r="W62" s="59"/>
      <x:c r="X62" s="59"/>
      <x:c r="Y62" s="59"/>
      <x:c r="Z62" s="59"/>
      <x:c r="AA62" s="59"/>
      <x:c r="AB62" s="59"/>
      <x:c r="AC62" s="59"/>
      <x:c r="AD62" s="59"/>
      <x:c r="AE62" s="59"/>
      <x:c r="AF62" s="59"/>
      <x:c r="AG62" s="59"/>
      <x:c r="AH62" s="59"/>
      <x:c r="AI62" s="59"/>
      <x:c r="AJ62" s="59"/>
      <x:c r="AK62" s="59"/>
      <x:c r="AL62" s="59"/>
      <x:c r="AM62" s="59"/>
      <x:c r="AN62" s="59"/>
    </x:row>
    <x:row r="63">
      <x:c r="A63" s="59"/>
      <x:c r="B63" s="59"/>
      <x:c r="C63" s="59"/>
      <x:c r="D63" s="59"/>
      <x:c r="E63" s="59"/>
      <x:c r="F63" s="59"/>
      <x:c r="G63" s="59"/>
      <x:c r="H63" s="59"/>
      <x:c r="I63" s="59"/>
      <x:c r="J63" s="59"/>
      <x:c r="K63" s="59"/>
      <x:c r="L63" s="59"/>
      <x:c r="M63" s="59"/>
      <x:c r="N63" s="59"/>
      <x:c r="O63" s="59"/>
      <x:c r="P63" s="59"/>
      <x:c r="Q63" s="59"/>
      <x:c r="R63" s="59"/>
      <x:c r="S63" s="59"/>
      <x:c r="T63" s="59"/>
      <x:c r="U63" s="59"/>
      <x:c r="V63" s="59"/>
      <x:c r="W63" s="59"/>
      <x:c r="X63" s="59"/>
      <x:c r="Y63" s="59"/>
      <x:c r="Z63" s="59"/>
      <x:c r="AA63" s="59"/>
      <x:c r="AB63" s="59"/>
      <x:c r="AC63" s="59"/>
      <x:c r="AD63" s="59"/>
      <x:c r="AE63" s="59"/>
      <x:c r="AF63" s="59"/>
      <x:c r="AG63" s="59"/>
      <x:c r="AH63" s="59"/>
      <x:c r="AI63" s="59"/>
      <x:c r="AJ63" s="59"/>
      <x:c r="AK63" s="59"/>
      <x:c r="AL63" s="59"/>
      <x:c r="AM63" s="59"/>
      <x:c r="AN63" s="59"/>
    </x:row>
    <x:row r="64">
      <x:c r="A64" s="59"/>
      <x:c r="B64" s="59"/>
      <x:c r="C64" s="59"/>
      <x:c r="D64" s="59"/>
      <x:c r="E64" s="59"/>
      <x:c r="F64" s="59"/>
      <x:c r="G64" s="59"/>
      <x:c r="H64" s="59"/>
      <x:c r="I64" s="59"/>
      <x:c r="J64" s="59"/>
      <x:c r="K64" s="59"/>
      <x:c r="L64" s="59"/>
      <x:c r="M64" s="59"/>
      <x:c r="N64" s="59"/>
      <x:c r="O64" s="59"/>
      <x:c r="P64" s="59"/>
      <x:c r="Q64" s="59"/>
      <x:c r="R64" s="59"/>
      <x:c r="S64" s="59"/>
      <x:c r="T64" s="59"/>
      <x:c r="U64" s="59"/>
      <x:c r="V64" s="59"/>
      <x:c r="W64" s="59"/>
      <x:c r="X64" s="59"/>
      <x:c r="Y64" s="59"/>
      <x:c r="Z64" s="59"/>
      <x:c r="AA64" s="59"/>
      <x:c r="AB64" s="59"/>
      <x:c r="AC64" s="59"/>
      <x:c r="AD64" s="59"/>
      <x:c r="AE64" s="59"/>
      <x:c r="AF64" s="59"/>
      <x:c r="AG64" s="59"/>
      <x:c r="AH64" s="59"/>
      <x:c r="AI64" s="59"/>
      <x:c r="AJ64" s="59"/>
      <x:c r="AK64" s="59"/>
      <x:c r="AL64" s="59"/>
      <x:c r="AM64" s="59"/>
      <x:c r="AN64" s="59"/>
    </x:row>
    <x:row r="65">
      <x:c r="A65" s="59"/>
      <x:c r="B65" s="59"/>
      <x:c r="C65" s="59"/>
      <x:c r="D65" s="59"/>
      <x:c r="E65" s="59"/>
      <x:c r="F65" s="59"/>
      <x:c r="G65" s="59"/>
      <x:c r="H65" s="59"/>
      <x:c r="I65" s="59"/>
      <x:c r="J65" s="59"/>
      <x:c r="K65" s="59"/>
      <x:c r="L65" s="59"/>
      <x:c r="M65" s="59"/>
      <x:c r="N65" s="59"/>
      <x:c r="O65" s="59"/>
      <x:c r="P65" s="59"/>
      <x:c r="Q65" s="59"/>
      <x:c r="R65" s="59"/>
      <x:c r="S65" s="59"/>
      <x:c r="T65" s="59"/>
      <x:c r="U65" s="59"/>
      <x:c r="V65" s="59"/>
      <x:c r="W65" s="59"/>
      <x:c r="X65" s="59"/>
      <x:c r="Y65" s="59"/>
      <x:c r="Z65" s="59"/>
      <x:c r="AA65" s="59"/>
      <x:c r="AB65" s="59"/>
      <x:c r="AC65" s="59"/>
      <x:c r="AD65" s="59"/>
      <x:c r="AE65" s="59"/>
      <x:c r="AF65" s="59"/>
      <x:c r="AG65" s="59"/>
      <x:c r="AH65" s="59"/>
      <x:c r="AI65" s="59"/>
      <x:c r="AJ65" s="59"/>
      <x:c r="AK65" s="59"/>
      <x:c r="AL65" s="59"/>
      <x:c r="AM65" s="59"/>
      <x:c r="AN65" s="59"/>
    </x:row>
    <x:row r="66">
      <x:c r="A66" s="59"/>
      <x:c r="B66" s="59"/>
      <x:c r="C66" s="59"/>
      <x:c r="D66" s="59"/>
      <x:c r="E66" s="59"/>
      <x:c r="F66" s="59"/>
      <x:c r="G66" s="59"/>
      <x:c r="H66" s="59"/>
      <x:c r="I66" s="59"/>
      <x:c r="J66" s="59"/>
      <x:c r="K66" s="59"/>
      <x:c r="L66" s="59"/>
      <x:c r="M66" s="59"/>
      <x:c r="N66" s="59"/>
      <x:c r="O66" s="59"/>
      <x:c r="P66" s="59"/>
      <x:c r="Q66" s="59"/>
      <x:c r="R66" s="59"/>
      <x:c r="S66" s="59"/>
      <x:c r="T66" s="59"/>
      <x:c r="U66" s="59"/>
      <x:c r="V66" s="59"/>
      <x:c r="W66" s="59"/>
      <x:c r="X66" s="59"/>
      <x:c r="Y66" s="59"/>
      <x:c r="Z66" s="59"/>
      <x:c r="AA66" s="59"/>
      <x:c r="AB66" s="59"/>
      <x:c r="AC66" s="59"/>
      <x:c r="AD66" s="59"/>
      <x:c r="AE66" s="59"/>
      <x:c r="AF66" s="59"/>
      <x:c r="AG66" s="59"/>
      <x:c r="AH66" s="59"/>
      <x:c r="AI66" s="59"/>
      <x:c r="AJ66" s="59"/>
      <x:c r="AK66" s="59"/>
      <x:c r="AL66" s="59"/>
      <x:c r="AM66" s="59"/>
      <x:c r="AN66" s="59"/>
    </x:row>
    <x:row r="67">
      <x:c r="A67" s="59"/>
      <x:c r="B67" s="59"/>
      <x:c r="C67" s="59"/>
      <x:c r="D67" s="59"/>
      <x:c r="E67" s="59"/>
      <x:c r="F67" s="59"/>
      <x:c r="G67" s="59"/>
      <x:c r="H67" s="59"/>
      <x:c r="I67" s="59"/>
      <x:c r="J67" s="59"/>
      <x:c r="K67" s="59"/>
      <x:c r="L67" s="59"/>
      <x:c r="M67" s="59"/>
      <x:c r="N67" s="59"/>
      <x:c r="O67" s="59"/>
      <x:c r="P67" s="59"/>
      <x:c r="Q67" s="59"/>
      <x:c r="R67" s="59"/>
      <x:c r="S67" s="59"/>
      <x:c r="T67" s="59"/>
      <x:c r="U67" s="59"/>
      <x:c r="V67" s="59"/>
      <x:c r="W67" s="59"/>
      <x:c r="X67" s="59"/>
      <x:c r="Y67" s="59"/>
      <x:c r="Z67" s="59"/>
      <x:c r="AA67" s="59"/>
      <x:c r="AB67" s="59"/>
      <x:c r="AC67" s="59"/>
      <x:c r="AD67" s="59"/>
      <x:c r="AE67" s="59"/>
      <x:c r="AF67" s="59"/>
      <x:c r="AG67" s="59"/>
      <x:c r="AH67" s="59"/>
      <x:c r="AI67" s="59"/>
      <x:c r="AJ67" s="59"/>
      <x:c r="AK67" s="59"/>
      <x:c r="AL67" s="59"/>
      <x:c r="AM67" s="59"/>
      <x:c r="AN67" s="59"/>
    </x:row>
    <x:row r="68">
      <x:c r="A68" s="59"/>
      <x:c r="B68" s="59"/>
      <x:c r="C68" s="59"/>
      <x:c r="D68" s="59"/>
      <x:c r="E68" s="59"/>
      <x:c r="F68" s="59"/>
      <x:c r="G68" s="59"/>
      <x:c r="H68" s="59"/>
      <x:c r="I68" s="59"/>
      <x:c r="J68" s="59"/>
      <x:c r="K68" s="59"/>
      <x:c r="L68" s="59"/>
      <x:c r="M68" s="59"/>
      <x:c r="N68" s="59"/>
      <x:c r="O68" s="59"/>
      <x:c r="P68" s="59"/>
      <x:c r="Q68" s="59"/>
      <x:c r="R68" s="59"/>
      <x:c r="S68" s="59"/>
      <x:c r="T68" s="59"/>
      <x:c r="U68" s="59"/>
      <x:c r="V68" s="59"/>
      <x:c r="W68" s="59"/>
      <x:c r="X68" s="59"/>
      <x:c r="Y68" s="59"/>
      <x:c r="Z68" s="59"/>
      <x:c r="AA68" s="59"/>
      <x:c r="AB68" s="59"/>
      <x:c r="AC68" s="59"/>
      <x:c r="AD68" s="59"/>
      <x:c r="AE68" s="59"/>
      <x:c r="AF68" s="59"/>
      <x:c r="AG68" s="59"/>
      <x:c r="AH68" s="59"/>
      <x:c r="AI68" s="59"/>
      <x:c r="AJ68" s="59"/>
      <x:c r="AK68" s="59"/>
      <x:c r="AL68" s="59"/>
      <x:c r="AM68" s="59"/>
      <x:c r="AN68" s="59"/>
    </x:row>
    <x:row r="69">
      <x:c r="A69" s="59"/>
      <x:c r="B69" s="59"/>
      <x:c r="C69" s="59"/>
      <x:c r="D69" s="59"/>
      <x:c r="E69" s="59"/>
      <x:c r="F69" s="59"/>
      <x:c r="G69" s="59"/>
      <x:c r="H69" s="59"/>
      <x:c r="I69" s="59"/>
      <x:c r="J69" s="59"/>
      <x:c r="K69" s="59"/>
      <x:c r="L69" s="59"/>
      <x:c r="M69" s="59"/>
      <x:c r="N69" s="59"/>
      <x:c r="O69" s="59"/>
      <x:c r="P69" s="59"/>
      <x:c r="Q69" s="59"/>
      <x:c r="R69" s="59"/>
      <x:c r="S69" s="59"/>
      <x:c r="T69" s="59"/>
      <x:c r="U69" s="59"/>
      <x:c r="V69" s="59"/>
      <x:c r="W69" s="59"/>
      <x:c r="X69" s="59"/>
      <x:c r="Y69" s="59"/>
      <x:c r="Z69" s="59"/>
      <x:c r="AA69" s="59"/>
      <x:c r="AB69" s="59"/>
      <x:c r="AC69" s="59"/>
      <x:c r="AD69" s="59"/>
      <x:c r="AE69" s="59"/>
      <x:c r="AF69" s="59"/>
      <x:c r="AG69" s="59"/>
      <x:c r="AH69" s="59"/>
      <x:c r="AI69" s="59"/>
      <x:c r="AJ69" s="59"/>
      <x:c r="AK69" s="59"/>
      <x:c r="AL69" s="59"/>
      <x:c r="AM69" s="59"/>
      <x:c r="AN69" s="59"/>
    </x:row>
    <x:row r="70">
      <x:c r="A70" s="59"/>
      <x:c r="B70" s="59"/>
      <x:c r="C70" s="59"/>
      <x:c r="D70" s="59"/>
      <x:c r="E70" s="59"/>
      <x:c r="F70" s="59"/>
      <x:c r="G70" s="59"/>
      <x:c r="H70" s="59"/>
      <x:c r="I70" s="59"/>
      <x:c r="J70" s="59"/>
      <x:c r="K70" s="59"/>
      <x:c r="L70" s="59"/>
      <x:c r="M70" s="59"/>
      <x:c r="N70" s="59"/>
      <x:c r="O70" s="59"/>
      <x:c r="P70" s="59"/>
      <x:c r="Q70" s="59"/>
      <x:c r="R70" s="59"/>
      <x:c r="S70" s="59"/>
      <x:c r="T70" s="59"/>
      <x:c r="U70" s="59"/>
      <x:c r="V70" s="59"/>
      <x:c r="W70" s="59"/>
      <x:c r="X70" s="59"/>
      <x:c r="Y70" s="59"/>
      <x:c r="Z70" s="59"/>
      <x:c r="AA70" s="59"/>
      <x:c r="AB70" s="59"/>
      <x:c r="AC70" s="59"/>
      <x:c r="AD70" s="59"/>
      <x:c r="AE70" s="59"/>
      <x:c r="AF70" s="59"/>
      <x:c r="AG70" s="59"/>
      <x:c r="AH70" s="59"/>
      <x:c r="AI70" s="59"/>
      <x:c r="AJ70" s="59"/>
      <x:c r="AK70" s="59"/>
      <x:c r="AL70" s="59"/>
      <x:c r="AM70" s="59"/>
      <x:c r="AN70" s="59"/>
    </x:row>
    <x:row r="71">
      <x:c r="A71" s="59"/>
      <x:c r="B71" s="59"/>
      <x:c r="C71" s="59"/>
      <x:c r="D71" s="59"/>
      <x:c r="E71" s="59"/>
      <x:c r="F71" s="59"/>
      <x:c r="G71" s="59"/>
      <x:c r="H71" s="59"/>
      <x:c r="I71" s="59"/>
      <x:c r="J71" s="59"/>
      <x:c r="K71" s="59"/>
      <x:c r="L71" s="59"/>
      <x:c r="M71" s="59"/>
      <x:c r="N71" s="59"/>
      <x:c r="O71" s="59"/>
      <x:c r="P71" s="59"/>
      <x:c r="Q71" s="59"/>
      <x:c r="R71" s="59"/>
      <x:c r="S71" s="59"/>
      <x:c r="T71" s="59"/>
      <x:c r="U71" s="59"/>
      <x:c r="V71" s="59"/>
      <x:c r="W71" s="59"/>
      <x:c r="X71" s="59"/>
      <x:c r="Y71" s="59"/>
      <x:c r="Z71" s="59"/>
      <x:c r="AA71" s="59"/>
      <x:c r="AB71" s="59"/>
      <x:c r="AC71" s="59"/>
      <x:c r="AD71" s="59"/>
      <x:c r="AE71" s="59"/>
      <x:c r="AF71" s="59"/>
      <x:c r="AG71" s="59"/>
      <x:c r="AH71" s="59"/>
      <x:c r="AI71" s="59"/>
      <x:c r="AJ71" s="59"/>
      <x:c r="AK71" s="59"/>
      <x:c r="AL71" s="59"/>
      <x:c r="AM71" s="59"/>
      <x:c r="AN71" s="59"/>
    </x:row>
    <x:row r="72">
      <x:c r="A72" s="59"/>
      <x:c r="B72" s="59"/>
      <x:c r="C72" s="59"/>
      <x:c r="D72" s="59"/>
      <x:c r="E72" s="59"/>
      <x:c r="F72" s="59"/>
      <x:c r="G72" s="59"/>
      <x:c r="H72" s="59"/>
      <x:c r="I72" s="59"/>
      <x:c r="J72" s="59"/>
      <x:c r="K72" s="59"/>
      <x:c r="L72" s="59"/>
      <x:c r="M72" s="59"/>
      <x:c r="N72" s="59"/>
      <x:c r="O72" s="59"/>
      <x:c r="P72" s="59"/>
      <x:c r="Q72" s="59"/>
      <x:c r="R72" s="59"/>
      <x:c r="S72" s="59"/>
      <x:c r="T72" s="59"/>
      <x:c r="U72" s="59"/>
      <x:c r="V72" s="59"/>
      <x:c r="W72" s="59"/>
      <x:c r="X72" s="59"/>
      <x:c r="Y72" s="59"/>
      <x:c r="Z72" s="59"/>
      <x:c r="AA72" s="59"/>
      <x:c r="AB72" s="59"/>
      <x:c r="AC72" s="59"/>
      <x:c r="AD72" s="59"/>
      <x:c r="AE72" s="59"/>
      <x:c r="AF72" s="59"/>
      <x:c r="AG72" s="59"/>
      <x:c r="AH72" s="59"/>
      <x:c r="AI72" s="59"/>
      <x:c r="AJ72" s="59"/>
      <x:c r="AK72" s="59"/>
      <x:c r="AL72" s="59"/>
      <x:c r="AM72" s="59"/>
      <x:c r="AN72" s="59"/>
    </x:row>
    <x:row r="73">
      <x:c r="A73" s="59"/>
      <x:c r="B73" s="59"/>
      <x:c r="C73" s="59"/>
      <x:c r="D73" s="59"/>
      <x:c r="E73" s="59"/>
      <x:c r="F73" s="59"/>
      <x:c r="G73" s="59"/>
      <x:c r="H73" s="59"/>
      <x:c r="I73" s="59"/>
      <x:c r="J73" s="59"/>
      <x:c r="K73" s="59"/>
      <x:c r="L73" s="59"/>
      <x:c r="M73" s="59"/>
      <x:c r="N73" s="59"/>
      <x:c r="O73" s="59"/>
      <x:c r="P73" s="59"/>
      <x:c r="Q73" s="59"/>
      <x:c r="R73" s="59"/>
      <x:c r="S73" s="59"/>
      <x:c r="T73" s="59"/>
      <x:c r="U73" s="59"/>
      <x:c r="V73" s="59"/>
      <x:c r="W73" s="59"/>
      <x:c r="X73" s="59"/>
      <x:c r="Y73" s="59"/>
      <x:c r="Z73" s="59"/>
      <x:c r="AA73" s="59"/>
      <x:c r="AB73" s="59"/>
      <x:c r="AC73" s="59"/>
      <x:c r="AD73" s="59"/>
      <x:c r="AE73" s="59"/>
      <x:c r="AF73" s="59"/>
      <x:c r="AG73" s="59"/>
      <x:c r="AH73" s="59"/>
      <x:c r="AI73" s="59"/>
      <x:c r="AJ73" s="59"/>
      <x:c r="AK73" s="59"/>
      <x:c r="AL73" s="59"/>
      <x:c r="AM73" s="59"/>
      <x:c r="AN73" s="59"/>
    </x:row>
    <x:row r="74">
      <x:c r="A74" s="59"/>
      <x:c r="B74" s="59"/>
      <x:c r="C74" s="59"/>
      <x:c r="D74" s="59"/>
      <x:c r="E74" s="59"/>
      <x:c r="F74" s="59"/>
      <x:c r="G74" s="59"/>
      <x:c r="H74" s="59"/>
      <x:c r="I74" s="59"/>
      <x:c r="J74" s="59"/>
      <x:c r="K74" s="59"/>
      <x:c r="L74" s="59"/>
      <x:c r="M74" s="59"/>
      <x:c r="N74" s="59"/>
      <x:c r="O74" s="59"/>
      <x:c r="P74" s="59"/>
      <x:c r="Q74" s="59"/>
      <x:c r="R74" s="59"/>
      <x:c r="S74" s="59"/>
      <x:c r="T74" s="59"/>
      <x:c r="U74" s="59"/>
      <x:c r="V74" s="59"/>
      <x:c r="W74" s="59"/>
      <x:c r="X74" s="59"/>
      <x:c r="Y74" s="59"/>
      <x:c r="Z74" s="59"/>
      <x:c r="AA74" s="59"/>
      <x:c r="AB74" s="59"/>
      <x:c r="AC74" s="59"/>
      <x:c r="AD74" s="59"/>
      <x:c r="AE74" s="59"/>
      <x:c r="AF74" s="59"/>
      <x:c r="AG74" s="59"/>
      <x:c r="AH74" s="59"/>
      <x:c r="AI74" s="59"/>
      <x:c r="AJ74" s="59"/>
      <x:c r="AK74" s="59"/>
      <x:c r="AL74" s="59"/>
      <x:c r="AM74" s="59"/>
      <x:c r="AN74" s="59"/>
    </x:row>
    <x:row r="75">
      <x:c r="A75" s="59"/>
      <x:c r="B75" s="59"/>
      <x:c r="C75" s="59"/>
      <x:c r="D75" s="59"/>
      <x:c r="E75" s="59"/>
      <x:c r="F75" s="59"/>
      <x:c r="G75" s="59"/>
      <x:c r="H75" s="59"/>
      <x:c r="I75" s="59"/>
      <x:c r="J75" s="59"/>
      <x:c r="K75" s="59"/>
      <x:c r="L75" s="59"/>
      <x:c r="M75" s="59"/>
      <x:c r="N75" s="59"/>
      <x:c r="O75" s="59"/>
      <x:c r="P75" s="59"/>
      <x:c r="Q75" s="59"/>
      <x:c r="R75" s="59"/>
      <x:c r="S75" s="59"/>
      <x:c r="T75" s="59"/>
      <x:c r="U75" s="59"/>
      <x:c r="V75" s="59"/>
      <x:c r="W75" s="59"/>
      <x:c r="X75" s="59"/>
      <x:c r="Y75" s="59"/>
      <x:c r="Z75" s="59"/>
      <x:c r="AA75" s="59"/>
      <x:c r="AB75" s="59"/>
      <x:c r="AC75" s="59"/>
      <x:c r="AD75" s="59"/>
      <x:c r="AE75" s="59"/>
      <x:c r="AF75" s="59"/>
      <x:c r="AG75" s="59"/>
      <x:c r="AH75" s="59"/>
      <x:c r="AI75" s="59"/>
      <x:c r="AJ75" s="59"/>
      <x:c r="AK75" s="59"/>
      <x:c r="AL75" s="59"/>
      <x:c r="AM75" s="59"/>
      <x:c r="AN75" s="59"/>
    </x:row>
    <x:row r="76">
      <x:c r="A76" s="59"/>
      <x:c r="B76" s="59"/>
      <x:c r="C76" s="59"/>
      <x:c r="D76" s="59"/>
      <x:c r="E76" s="59"/>
      <x:c r="F76" s="59"/>
      <x:c r="G76" s="59"/>
      <x:c r="H76" s="59"/>
      <x:c r="I76" s="59"/>
      <x:c r="J76" s="59"/>
      <x:c r="K76" s="59"/>
      <x:c r="L76" s="59"/>
      <x:c r="M76" s="59"/>
      <x:c r="N76" s="59"/>
      <x:c r="O76" s="59"/>
      <x:c r="P76" s="59"/>
      <x:c r="Q76" s="59"/>
      <x:c r="R76" s="59"/>
      <x:c r="S76" s="59"/>
      <x:c r="T76" s="59"/>
      <x:c r="U76" s="59"/>
      <x:c r="V76" s="59"/>
      <x:c r="W76" s="59"/>
      <x:c r="X76" s="59"/>
      <x:c r="Y76" s="59"/>
      <x:c r="Z76" s="59"/>
      <x:c r="AA76" s="59"/>
      <x:c r="AB76" s="59"/>
      <x:c r="AC76" s="59"/>
      <x:c r="AD76" s="59"/>
      <x:c r="AE76" s="59"/>
      <x:c r="AF76" s="59"/>
      <x:c r="AG76" s="59"/>
      <x:c r="AH76" s="59"/>
      <x:c r="AI76" s="59"/>
      <x:c r="AJ76" s="59"/>
      <x:c r="AK76" s="59"/>
      <x:c r="AL76" s="59"/>
      <x:c r="AM76" s="59"/>
      <x:c r="AN76" s="59"/>
    </x:row>
    <x:row r="77">
      <x:c r="A77" s="59"/>
      <x:c r="B77" s="59"/>
      <x:c r="C77" s="59"/>
      <x:c r="D77" s="59"/>
      <x:c r="E77" s="59"/>
      <x:c r="F77" s="59"/>
      <x:c r="G77" s="59"/>
      <x:c r="H77" s="59"/>
      <x:c r="I77" s="59"/>
      <x:c r="J77" s="59"/>
      <x:c r="K77" s="59"/>
      <x:c r="L77" s="59"/>
      <x:c r="M77" s="59"/>
      <x:c r="N77" s="59"/>
      <x:c r="O77" s="59"/>
      <x:c r="P77" s="59"/>
      <x:c r="Q77" s="59"/>
      <x:c r="R77" s="59"/>
      <x:c r="S77" s="59"/>
      <x:c r="T77" s="59"/>
      <x:c r="U77" s="59"/>
      <x:c r="V77" s="59"/>
      <x:c r="W77" s="59"/>
      <x:c r="X77" s="59"/>
      <x:c r="Y77" s="59"/>
      <x:c r="Z77" s="59"/>
      <x:c r="AA77" s="59"/>
      <x:c r="AB77" s="59"/>
      <x:c r="AC77" s="59"/>
      <x:c r="AD77" s="59"/>
      <x:c r="AE77" s="59"/>
      <x:c r="AF77" s="59"/>
      <x:c r="AG77" s="59"/>
      <x:c r="AH77" s="59"/>
      <x:c r="AI77" s="59"/>
      <x:c r="AJ77" s="59"/>
      <x:c r="AK77" s="59"/>
      <x:c r="AL77" s="59"/>
      <x:c r="AM77" s="59"/>
      <x:c r="AN77" s="59"/>
    </x:row>
    <x:row r="78">
      <x:c r="A78" s="59"/>
      <x:c r="B78" s="59"/>
      <x:c r="C78" s="59"/>
      <x:c r="D78" s="59"/>
      <x:c r="E78" s="59"/>
      <x:c r="F78" s="59"/>
      <x:c r="G78" s="59"/>
      <x:c r="H78" s="59"/>
      <x:c r="I78" s="59"/>
      <x:c r="J78" s="59"/>
      <x:c r="K78" s="59"/>
      <x:c r="L78" s="59"/>
      <x:c r="M78" s="59"/>
      <x:c r="N78" s="59"/>
      <x:c r="O78" s="59"/>
      <x:c r="P78" s="59"/>
      <x:c r="Q78" s="59"/>
      <x:c r="R78" s="59"/>
      <x:c r="S78" s="59"/>
      <x:c r="T78" s="59"/>
      <x:c r="U78" s="59"/>
      <x:c r="V78" s="59"/>
      <x:c r="W78" s="59"/>
      <x:c r="X78" s="59"/>
      <x:c r="Y78" s="59"/>
      <x:c r="Z78" s="59"/>
      <x:c r="AA78" s="59"/>
      <x:c r="AB78" s="59"/>
      <x:c r="AC78" s="59"/>
      <x:c r="AD78" s="59"/>
      <x:c r="AE78" s="59"/>
      <x:c r="AF78" s="59"/>
      <x:c r="AG78" s="59"/>
      <x:c r="AH78" s="59"/>
      <x:c r="AI78" s="59"/>
      <x:c r="AJ78" s="59"/>
      <x:c r="AK78" s="59"/>
      <x:c r="AL78" s="59"/>
      <x:c r="AM78" s="59"/>
      <x:c r="AN78" s="59"/>
    </x:row>
    <x:row r="79">
      <x:c r="A79" s="59"/>
      <x:c r="B79" s="59"/>
      <x:c r="C79" s="59"/>
      <x:c r="D79" s="59"/>
      <x:c r="E79" s="59"/>
      <x:c r="F79" s="59"/>
      <x:c r="G79" s="59"/>
      <x:c r="H79" s="59"/>
      <x:c r="I79" s="59"/>
      <x:c r="J79" s="59"/>
      <x:c r="K79" s="59"/>
      <x:c r="L79" s="59"/>
      <x:c r="M79" s="59"/>
      <x:c r="N79" s="59"/>
      <x:c r="O79" s="59"/>
      <x:c r="P79" s="59"/>
      <x:c r="Q79" s="59"/>
      <x:c r="R79" s="59"/>
      <x:c r="S79" s="59"/>
      <x:c r="T79" s="59"/>
      <x:c r="U79" s="59"/>
      <x:c r="V79" s="59"/>
      <x:c r="W79" s="59"/>
      <x:c r="X79" s="59"/>
      <x:c r="Y79" s="59"/>
      <x:c r="Z79" s="59"/>
      <x:c r="AA79" s="59"/>
      <x:c r="AB79" s="59"/>
      <x:c r="AC79" s="59"/>
      <x:c r="AD79" s="59"/>
      <x:c r="AE79" s="59"/>
      <x:c r="AF79" s="59"/>
      <x:c r="AG79" s="59"/>
      <x:c r="AH79" s="59"/>
      <x:c r="AI79" s="59"/>
      <x:c r="AJ79" s="59"/>
      <x:c r="AK79" s="59"/>
      <x:c r="AL79" s="59"/>
      <x:c r="AM79" s="59"/>
      <x:c r="AN79" s="59"/>
    </x:row>
    <x:row r="80">
      <x:c r="A80" s="59"/>
      <x:c r="B80" s="59"/>
      <x:c r="C80" s="59"/>
      <x:c r="D80" s="59"/>
      <x:c r="E80" s="59"/>
      <x:c r="F80" s="59"/>
      <x:c r="G80" s="59"/>
      <x:c r="H80" s="59"/>
      <x:c r="I80" s="59"/>
      <x:c r="J80" s="59"/>
      <x:c r="K80" s="59"/>
      <x:c r="L80" s="59"/>
      <x:c r="M80" s="59"/>
      <x:c r="N80" s="59"/>
      <x:c r="O80" s="59"/>
      <x:c r="P80" s="59"/>
      <x:c r="Q80" s="59"/>
      <x:c r="R80" s="59"/>
      <x:c r="S80" s="59"/>
      <x:c r="T80" s="59"/>
      <x:c r="U80" s="59"/>
      <x:c r="V80" s="59"/>
      <x:c r="W80" s="59"/>
      <x:c r="X80" s="59"/>
      <x:c r="Y80" s="59"/>
      <x:c r="Z80" s="59"/>
      <x:c r="AA80" s="59"/>
      <x:c r="AB80" s="59"/>
      <x:c r="AC80" s="59"/>
      <x:c r="AD80" s="59"/>
      <x:c r="AE80" s="59"/>
      <x:c r="AF80" s="59"/>
      <x:c r="AG80" s="59"/>
      <x:c r="AH80" s="59"/>
      <x:c r="AI80" s="59"/>
      <x:c r="AJ80" s="59"/>
      <x:c r="AK80" s="59"/>
      <x:c r="AL80" s="59"/>
      <x:c r="AM80" s="59"/>
      <x:c r="AN80" s="59"/>
    </x:row>
    <x:row r="81">
      <x:c r="A81" s="59"/>
      <x:c r="B81" s="59"/>
      <x:c r="C81" s="59"/>
      <x:c r="D81" s="59"/>
      <x:c r="E81" s="59"/>
      <x:c r="F81" s="59"/>
      <x:c r="G81" s="59"/>
      <x:c r="H81" s="59"/>
      <x:c r="I81" s="59"/>
      <x:c r="J81" s="59"/>
      <x:c r="K81" s="59"/>
      <x:c r="L81" s="59"/>
      <x:c r="M81" s="59"/>
      <x:c r="N81" s="59"/>
      <x:c r="O81" s="59"/>
      <x:c r="P81" s="59"/>
      <x:c r="Q81" s="59"/>
      <x:c r="R81" s="59"/>
      <x:c r="S81" s="59"/>
      <x:c r="T81" s="59"/>
      <x:c r="U81" s="59"/>
      <x:c r="V81" s="59"/>
      <x:c r="W81" s="59"/>
      <x:c r="X81" s="59"/>
      <x:c r="Y81" s="59"/>
      <x:c r="Z81" s="59"/>
      <x:c r="AA81" s="59"/>
      <x:c r="AB81" s="59"/>
      <x:c r="AC81" s="59"/>
      <x:c r="AD81" s="59"/>
      <x:c r="AE81" s="59"/>
      <x:c r="AF81" s="59"/>
      <x:c r="AG81" s="59"/>
      <x:c r="AH81" s="59"/>
      <x:c r="AI81" s="59"/>
      <x:c r="AJ81" s="59"/>
      <x:c r="AK81" s="59"/>
      <x:c r="AL81" s="59"/>
      <x:c r="AM81" s="59"/>
      <x:c r="AN81" s="59"/>
    </x:row>
    <x:row r="82">
      <x:c r="A82" s="59"/>
      <x:c r="B82" s="59"/>
      <x:c r="C82" s="59"/>
      <x:c r="D82" s="59"/>
      <x:c r="E82" s="59"/>
      <x:c r="F82" s="59"/>
      <x:c r="G82" s="59"/>
      <x:c r="H82" s="59"/>
      <x:c r="I82" s="59"/>
      <x:c r="J82" s="59"/>
      <x:c r="K82" s="59"/>
      <x:c r="L82" s="59"/>
      <x:c r="M82" s="59"/>
      <x:c r="N82" s="59"/>
      <x:c r="O82" s="59"/>
      <x:c r="P82" s="59"/>
      <x:c r="Q82" s="59"/>
      <x:c r="R82" s="59"/>
      <x:c r="S82" s="59"/>
      <x:c r="T82" s="59"/>
      <x:c r="U82" s="59"/>
      <x:c r="V82" s="59"/>
      <x:c r="W82" s="59"/>
      <x:c r="X82" s="59"/>
      <x:c r="Y82" s="59"/>
      <x:c r="Z82" s="59"/>
      <x:c r="AA82" s="59"/>
      <x:c r="AB82" s="59"/>
      <x:c r="AC82" s="59"/>
      <x:c r="AD82" s="59"/>
      <x:c r="AE82" s="59"/>
      <x:c r="AF82" s="59"/>
      <x:c r="AG82" s="59"/>
      <x:c r="AH82" s="59"/>
      <x:c r="AI82" s="59"/>
      <x:c r="AJ82" s="59"/>
      <x:c r="AK82" s="59"/>
      <x:c r="AL82" s="59"/>
      <x:c r="AM82" s="59"/>
      <x:c r="AN82" s="59"/>
    </x:row>
    <x:row r="83">
      <x:c r="A83" s="59"/>
      <x:c r="B83" s="59"/>
      <x:c r="C83" s="59"/>
      <x:c r="D83" s="59"/>
      <x:c r="E83" s="59"/>
      <x:c r="F83" s="59"/>
      <x:c r="G83" s="59"/>
      <x:c r="H83" s="59"/>
      <x:c r="I83" s="59"/>
      <x:c r="J83" s="59"/>
      <x:c r="K83" s="59"/>
      <x:c r="L83" s="59"/>
      <x:c r="M83" s="59"/>
      <x:c r="N83" s="59"/>
      <x:c r="O83" s="59"/>
      <x:c r="P83" s="59"/>
      <x:c r="Q83" s="59"/>
      <x:c r="R83" s="59"/>
      <x:c r="S83" s="59"/>
      <x:c r="T83" s="59"/>
      <x:c r="U83" s="59"/>
      <x:c r="V83" s="59"/>
      <x:c r="W83" s="59"/>
      <x:c r="X83" s="59"/>
      <x:c r="Y83" s="59"/>
      <x:c r="Z83" s="59"/>
      <x:c r="AA83" s="59"/>
      <x:c r="AB83" s="59"/>
      <x:c r="AC83" s="59"/>
      <x:c r="AD83" s="59"/>
      <x:c r="AE83" s="59"/>
      <x:c r="AF83" s="59"/>
      <x:c r="AG83" s="59"/>
      <x:c r="AH83" s="59"/>
      <x:c r="AI83" s="59"/>
      <x:c r="AJ83" s="59"/>
      <x:c r="AK83" s="59"/>
      <x:c r="AL83" s="59"/>
      <x:c r="AM83" s="59"/>
      <x:c r="AN83" s="59"/>
    </x:row>
    <x:row r="84">
      <x:c r="A84" s="59"/>
      <x:c r="B84" s="59"/>
      <x:c r="C84" s="59"/>
      <x:c r="D84" s="59"/>
      <x:c r="E84" s="59"/>
      <x:c r="F84" s="59"/>
      <x:c r="G84" s="59"/>
      <x:c r="H84" s="59"/>
      <x:c r="I84" s="59"/>
      <x:c r="J84" s="59"/>
      <x:c r="K84" s="59"/>
      <x:c r="L84" s="59"/>
      <x:c r="M84" s="59"/>
      <x:c r="N84" s="59"/>
      <x:c r="O84" s="59"/>
      <x:c r="P84" s="59"/>
      <x:c r="Q84" s="59"/>
      <x:c r="R84" s="59"/>
      <x:c r="S84" s="59"/>
      <x:c r="T84" s="59"/>
      <x:c r="U84" s="59"/>
      <x:c r="V84" s="59"/>
      <x:c r="W84" s="59"/>
      <x:c r="X84" s="59"/>
      <x:c r="Y84" s="59"/>
      <x:c r="Z84" s="59"/>
      <x:c r="AA84" s="59"/>
      <x:c r="AB84" s="59"/>
      <x:c r="AC84" s="59"/>
      <x:c r="AD84" s="59"/>
      <x:c r="AE84" s="59"/>
      <x:c r="AF84" s="59"/>
      <x:c r="AG84" s="59"/>
      <x:c r="AH84" s="59"/>
      <x:c r="AI84" s="59"/>
      <x:c r="AJ84" s="59"/>
      <x:c r="AK84" s="59"/>
      <x:c r="AL84" s="59"/>
      <x:c r="AM84" s="59"/>
      <x:c r="AN84" s="59"/>
    </x:row>
    <x:row r="85">
      <x:c r="A85" s="59"/>
      <x:c r="B85" s="59"/>
      <x:c r="C85" s="59"/>
      <x:c r="D85" s="59"/>
      <x:c r="E85" s="59"/>
      <x:c r="F85" s="59"/>
      <x:c r="G85" s="59"/>
      <x:c r="H85" s="59"/>
      <x:c r="I85" s="59"/>
      <x:c r="J85" s="59"/>
      <x:c r="K85" s="59"/>
      <x:c r="L85" s="59"/>
      <x:c r="M85" s="59"/>
      <x:c r="N85" s="59"/>
      <x:c r="O85" s="59"/>
      <x:c r="P85" s="59"/>
      <x:c r="Q85" s="59"/>
      <x:c r="R85" s="59"/>
      <x:c r="S85" s="59"/>
      <x:c r="T85" s="59"/>
      <x:c r="U85" s="59"/>
      <x:c r="V85" s="59"/>
      <x:c r="W85" s="59"/>
      <x:c r="X85" s="59"/>
      <x:c r="Y85" s="59"/>
      <x:c r="Z85" s="59"/>
      <x:c r="AA85" s="59"/>
      <x:c r="AB85" s="59"/>
      <x:c r="AC85" s="59"/>
      <x:c r="AD85" s="59"/>
      <x:c r="AE85" s="59"/>
      <x:c r="AF85" s="59"/>
      <x:c r="AG85" s="59"/>
      <x:c r="AH85" s="59"/>
      <x:c r="AI85" s="59"/>
      <x:c r="AJ85" s="59"/>
      <x:c r="AK85" s="59"/>
      <x:c r="AL85" s="59"/>
      <x:c r="AM85" s="59"/>
      <x:c r="AN85" s="59"/>
    </x:row>
    <x:row r="86">
      <x:c r="A86" s="59"/>
      <x:c r="B86" s="59"/>
      <x:c r="C86" s="59"/>
      <x:c r="D86" s="59"/>
      <x:c r="E86" s="59"/>
      <x:c r="F86" s="59"/>
      <x:c r="G86" s="59"/>
      <x:c r="H86" s="59"/>
      <x:c r="I86" s="59"/>
      <x:c r="J86" s="59"/>
      <x:c r="K86" s="59"/>
      <x:c r="L86" s="59"/>
      <x:c r="M86" s="59"/>
      <x:c r="N86" s="59"/>
      <x:c r="O86" s="59"/>
      <x:c r="P86" s="59"/>
      <x:c r="Q86" s="59"/>
      <x:c r="R86" s="59"/>
      <x:c r="S86" s="59"/>
      <x:c r="T86" s="59"/>
      <x:c r="U86" s="59"/>
      <x:c r="V86" s="59"/>
      <x:c r="W86" s="59"/>
      <x:c r="X86" s="59"/>
      <x:c r="Y86" s="59"/>
      <x:c r="Z86" s="59"/>
      <x:c r="AA86" s="59"/>
      <x:c r="AB86" s="59"/>
      <x:c r="AC86" s="59"/>
      <x:c r="AD86" s="59"/>
      <x:c r="AE86" s="59"/>
      <x:c r="AF86" s="59"/>
      <x:c r="AG86" s="59"/>
      <x:c r="AH86" s="59"/>
      <x:c r="AI86" s="59"/>
      <x:c r="AJ86" s="59"/>
      <x:c r="AK86" s="59"/>
      <x:c r="AL86" s="59"/>
      <x:c r="AM86" s="59"/>
      <x:c r="AN86" s="59"/>
    </x:row>
    <x:row r="87">
      <x:c r="A87" s="59"/>
      <x:c r="B87" s="59"/>
      <x:c r="C87" s="59"/>
      <x:c r="D87" s="59"/>
      <x:c r="E87" s="59"/>
      <x:c r="F87" s="59"/>
      <x:c r="G87" s="59"/>
      <x:c r="H87" s="59"/>
      <x:c r="I87" s="59"/>
      <x:c r="J87" s="59"/>
      <x:c r="K87" s="59"/>
      <x:c r="L87" s="59"/>
      <x:c r="M87" s="59"/>
      <x:c r="N87" s="59"/>
      <x:c r="O87" s="59"/>
      <x:c r="P87" s="59"/>
      <x:c r="Q87" s="59"/>
      <x:c r="R87" s="59"/>
      <x:c r="S87" s="59"/>
      <x:c r="T87" s="59"/>
      <x:c r="U87" s="59"/>
      <x:c r="V87" s="59"/>
      <x:c r="W87" s="59"/>
      <x:c r="X87" s="59"/>
      <x:c r="Y87" s="59"/>
      <x:c r="Z87" s="59"/>
      <x:c r="AA87" s="59"/>
      <x:c r="AB87" s="59"/>
      <x:c r="AC87" s="59"/>
      <x:c r="AD87" s="59"/>
      <x:c r="AE87" s="59"/>
      <x:c r="AF87" s="59"/>
      <x:c r="AG87" s="59"/>
      <x:c r="AH87" s="59"/>
      <x:c r="AI87" s="59"/>
      <x:c r="AJ87" s="59"/>
      <x:c r="AK87" s="59"/>
      <x:c r="AL87" s="59"/>
      <x:c r="AM87" s="59"/>
      <x:c r="AN87" s="59"/>
    </x:row>
    <x:row r="88">
      <x:c r="A88" s="59"/>
      <x:c r="B88" s="59"/>
      <x:c r="C88" s="59"/>
      <x:c r="D88" s="59"/>
      <x:c r="E88" s="59"/>
      <x:c r="F88" s="59"/>
      <x:c r="G88" s="59"/>
      <x:c r="H88" s="59"/>
      <x:c r="I88" s="59"/>
      <x:c r="J88" s="59"/>
      <x:c r="K88" s="59"/>
      <x:c r="L88" s="59"/>
      <x:c r="M88" s="59"/>
      <x:c r="N88" s="59"/>
      <x:c r="O88" s="59"/>
      <x:c r="P88" s="59"/>
      <x:c r="Q88" s="59"/>
      <x:c r="R88" s="59"/>
      <x:c r="S88" s="59"/>
      <x:c r="T88" s="59"/>
      <x:c r="U88" s="59"/>
      <x:c r="V88" s="59"/>
      <x:c r="W88" s="59"/>
      <x:c r="X88" s="59"/>
      <x:c r="Y88" s="59"/>
      <x:c r="Z88" s="59"/>
      <x:c r="AA88" s="59"/>
      <x:c r="AB88" s="59"/>
      <x:c r="AC88" s="59"/>
      <x:c r="AD88" s="59"/>
      <x:c r="AE88" s="59"/>
      <x:c r="AF88" s="59"/>
      <x:c r="AG88" s="59"/>
      <x:c r="AH88" s="59"/>
      <x:c r="AI88" s="59"/>
      <x:c r="AJ88" s="59"/>
      <x:c r="AK88" s="59"/>
      <x:c r="AL88" s="59"/>
      <x:c r="AM88" s="59"/>
      <x:c r="AN88" s="59"/>
    </x:row>
    <x:row r="89">
      <x:c r="A89" s="59"/>
      <x:c r="B89" s="59"/>
      <x:c r="C89" s="59"/>
      <x:c r="D89" s="59"/>
      <x:c r="E89" s="59"/>
      <x:c r="F89" s="59"/>
      <x:c r="G89" s="59"/>
      <x:c r="H89" s="59"/>
      <x:c r="I89" s="59"/>
      <x:c r="J89" s="59"/>
      <x:c r="K89" s="59"/>
      <x:c r="L89" s="59"/>
      <x:c r="M89" s="59"/>
      <x:c r="N89" s="59"/>
      <x:c r="O89" s="59"/>
      <x:c r="P89" s="59"/>
      <x:c r="Q89" s="59"/>
      <x:c r="R89" s="59"/>
      <x:c r="S89" s="59"/>
      <x:c r="T89" s="59"/>
      <x:c r="U89" s="59"/>
      <x:c r="V89" s="59"/>
      <x:c r="W89" s="59"/>
      <x:c r="X89" s="59"/>
      <x:c r="Y89" s="59"/>
      <x:c r="Z89" s="59"/>
      <x:c r="AA89" s="59"/>
      <x:c r="AB89" s="59"/>
      <x:c r="AC89" s="59"/>
      <x:c r="AD89" s="59"/>
      <x:c r="AE89" s="59"/>
      <x:c r="AF89" s="59"/>
      <x:c r="AG89" s="59"/>
      <x:c r="AH89" s="59"/>
      <x:c r="AI89" s="59"/>
      <x:c r="AJ89" s="59"/>
      <x:c r="AK89" s="59"/>
      <x:c r="AL89" s="59"/>
      <x:c r="AM89" s="59"/>
      <x:c r="AN89" s="59"/>
    </x:row>
    <x:row r="90">
      <x:c r="A90" s="59"/>
      <x:c r="B90" s="59"/>
      <x:c r="C90" s="59"/>
      <x:c r="D90" s="59"/>
      <x:c r="E90" s="59"/>
      <x:c r="F90" s="59"/>
      <x:c r="G90" s="59"/>
      <x:c r="H90" s="59"/>
      <x:c r="I90" s="59"/>
      <x:c r="J90" s="59"/>
      <x:c r="K90" s="59"/>
      <x:c r="L90" s="59"/>
      <x:c r="M90" s="59"/>
      <x:c r="N90" s="59"/>
      <x:c r="O90" s="59"/>
      <x:c r="P90" s="59"/>
      <x:c r="Q90" s="59"/>
      <x:c r="R90" s="59"/>
      <x:c r="S90" s="59"/>
      <x:c r="T90" s="59"/>
      <x:c r="U90" s="59"/>
      <x:c r="V90" s="59"/>
      <x:c r="W90" s="59"/>
      <x:c r="X90" s="59"/>
      <x:c r="Y90" s="59"/>
      <x:c r="Z90" s="59"/>
      <x:c r="AA90" s="59"/>
      <x:c r="AB90" s="59"/>
      <x:c r="AC90" s="59"/>
      <x:c r="AD90" s="59"/>
      <x:c r="AE90" s="59"/>
      <x:c r="AF90" s="59"/>
      <x:c r="AG90" s="59"/>
      <x:c r="AH90" s="59"/>
      <x:c r="AI90" s="59"/>
      <x:c r="AJ90" s="59"/>
      <x:c r="AK90" s="59"/>
      <x:c r="AL90" s="59"/>
      <x:c r="AM90" s="59"/>
      <x:c r="AN90" s="59"/>
    </x:row>
    <x:row r="91">
      <x:c r="A91" s="59"/>
      <x:c r="B91" s="59"/>
      <x:c r="C91" s="59"/>
      <x:c r="D91" s="59"/>
      <x:c r="E91" s="59"/>
      <x:c r="F91" s="59"/>
      <x:c r="G91" s="59"/>
      <x:c r="H91" s="59"/>
      <x:c r="I91" s="59"/>
      <x:c r="J91" s="59"/>
      <x:c r="K91" s="59"/>
      <x:c r="L91" s="59"/>
      <x:c r="M91" s="59"/>
      <x:c r="N91" s="59"/>
      <x:c r="O91" s="59"/>
      <x:c r="P91" s="59"/>
      <x:c r="Q91" s="59"/>
      <x:c r="R91" s="59"/>
      <x:c r="S91" s="59"/>
      <x:c r="T91" s="59"/>
      <x:c r="U91" s="59"/>
      <x:c r="V91" s="59"/>
      <x:c r="W91" s="59"/>
      <x:c r="X91" s="59"/>
      <x:c r="Y91" s="59"/>
      <x:c r="Z91" s="59"/>
      <x:c r="AA91" s="59"/>
      <x:c r="AB91" s="59"/>
      <x:c r="AC91" s="59"/>
      <x:c r="AD91" s="59"/>
      <x:c r="AE91" s="59"/>
      <x:c r="AF91" s="59"/>
      <x:c r="AG91" s="59"/>
      <x:c r="AH91" s="59"/>
      <x:c r="AI91" s="59"/>
      <x:c r="AJ91" s="59"/>
      <x:c r="AK91" s="59"/>
      <x:c r="AL91" s="59"/>
      <x:c r="AM91" s="59"/>
      <x:c r="AN91" s="59"/>
    </x:row>
    <x:row r="92">
      <x:c r="A92" s="59"/>
      <x:c r="B92" s="59"/>
      <x:c r="C92" s="59"/>
      <x:c r="D92" s="59"/>
      <x:c r="E92" s="59"/>
      <x:c r="F92" s="59"/>
      <x:c r="G92" s="59"/>
      <x:c r="H92" s="59"/>
      <x:c r="I92" s="59"/>
      <x:c r="J92" s="59"/>
      <x:c r="K92" s="59"/>
      <x:c r="L92" s="59"/>
      <x:c r="M92" s="59"/>
      <x:c r="N92" s="59"/>
      <x:c r="O92" s="59"/>
      <x:c r="P92" s="59"/>
      <x:c r="Q92" s="59"/>
      <x:c r="R92" s="59"/>
      <x:c r="S92" s="59"/>
      <x:c r="T92" s="59"/>
      <x:c r="U92" s="59"/>
      <x:c r="V92" s="59"/>
      <x:c r="W92" s="59"/>
      <x:c r="X92" s="59"/>
      <x:c r="Y92" s="59"/>
      <x:c r="Z92" s="59"/>
      <x:c r="AA92" s="59"/>
      <x:c r="AB92" s="59"/>
      <x:c r="AC92" s="59"/>
      <x:c r="AD92" s="59"/>
      <x:c r="AE92" s="59"/>
      <x:c r="AF92" s="59"/>
      <x:c r="AG92" s="59"/>
      <x:c r="AH92" s="59"/>
      <x:c r="AI92" s="59"/>
      <x:c r="AJ92" s="59"/>
      <x:c r="AK92" s="59"/>
      <x:c r="AL92" s="59"/>
      <x:c r="AM92" s="59"/>
      <x:c r="AN92" s="59"/>
    </x:row>
    <x:row r="93">
      <x:c r="A93" s="59"/>
      <x:c r="B93" s="59"/>
      <x:c r="C93" s="59"/>
      <x:c r="D93" s="59"/>
      <x:c r="E93" s="59"/>
      <x:c r="F93" s="59"/>
      <x:c r="G93" s="59"/>
      <x:c r="H93" s="59"/>
      <x:c r="I93" s="59"/>
      <x:c r="J93" s="59"/>
      <x:c r="K93" s="59"/>
      <x:c r="L93" s="59"/>
      <x:c r="M93" s="59"/>
      <x:c r="N93" s="59"/>
      <x:c r="O93" s="59"/>
      <x:c r="P93" s="59"/>
      <x:c r="Q93" s="59"/>
      <x:c r="R93" s="59"/>
      <x:c r="S93" s="59"/>
      <x:c r="T93" s="59"/>
      <x:c r="U93" s="59"/>
      <x:c r="V93" s="59"/>
      <x:c r="W93" s="59"/>
      <x:c r="X93" s="59"/>
      <x:c r="Y93" s="59"/>
      <x:c r="Z93" s="59"/>
      <x:c r="AA93" s="59"/>
      <x:c r="AB93" s="59"/>
      <x:c r="AC93" s="59"/>
      <x:c r="AD93" s="59"/>
      <x:c r="AE93" s="59"/>
      <x:c r="AF93" s="59"/>
      <x:c r="AG93" s="59"/>
      <x:c r="AH93" s="59"/>
      <x:c r="AI93" s="59"/>
      <x:c r="AJ93" s="59"/>
      <x:c r="AK93" s="59"/>
      <x:c r="AL93" s="59"/>
      <x:c r="AM93" s="59"/>
      <x:c r="AN93" s="59"/>
    </x:row>
    <x:row r="94">
      <x:c r="A94" s="59"/>
      <x:c r="B94" s="59"/>
      <x:c r="C94" s="59"/>
      <x:c r="D94" s="59"/>
      <x:c r="E94" s="59"/>
      <x:c r="F94" s="59"/>
      <x:c r="G94" s="59"/>
      <x:c r="H94" s="59"/>
      <x:c r="I94" s="59"/>
      <x:c r="J94" s="59"/>
      <x:c r="K94" s="59"/>
      <x:c r="L94" s="59"/>
      <x:c r="M94" s="59"/>
      <x:c r="N94" s="59"/>
      <x:c r="O94" s="59"/>
      <x:c r="P94" s="59"/>
      <x:c r="Q94" s="59"/>
      <x:c r="R94" s="59"/>
      <x:c r="S94" s="59"/>
      <x:c r="T94" s="59"/>
      <x:c r="U94" s="59"/>
      <x:c r="V94" s="59"/>
      <x:c r="W94" s="59"/>
      <x:c r="X94" s="59"/>
      <x:c r="Y94" s="59"/>
      <x:c r="Z94" s="59"/>
      <x:c r="AA94" s="59"/>
      <x:c r="AB94" s="59"/>
      <x:c r="AC94" s="59"/>
      <x:c r="AD94" s="59"/>
      <x:c r="AE94" s="59"/>
      <x:c r="AF94" s="59"/>
      <x:c r="AG94" s="59"/>
      <x:c r="AH94" s="59"/>
      <x:c r="AI94" s="59"/>
      <x:c r="AJ94" s="59"/>
      <x:c r="AK94" s="59"/>
      <x:c r="AL94" s="59"/>
      <x:c r="AM94" s="59"/>
      <x:c r="AN94" s="59"/>
    </x:row>
    <x:row r="95">
      <x:c r="A95" s="59"/>
      <x:c r="B95" s="59"/>
      <x:c r="C95" s="59"/>
      <x:c r="D95" s="59"/>
      <x:c r="E95" s="59"/>
      <x:c r="F95" s="59"/>
      <x:c r="G95" s="59"/>
      <x:c r="H95" s="59"/>
      <x:c r="I95" s="59"/>
      <x:c r="J95" s="59"/>
      <x:c r="K95" s="59"/>
      <x:c r="L95" s="59"/>
      <x:c r="M95" s="59"/>
      <x:c r="N95" s="59"/>
      <x:c r="O95" s="59"/>
      <x:c r="P95" s="59"/>
      <x:c r="Q95" s="59"/>
      <x:c r="R95" s="59"/>
      <x:c r="S95" s="59"/>
      <x:c r="T95" s="59"/>
      <x:c r="U95" s="59"/>
      <x:c r="V95" s="59"/>
      <x:c r="W95" s="59"/>
      <x:c r="X95" s="59"/>
      <x:c r="Y95" s="59"/>
      <x:c r="Z95" s="59"/>
      <x:c r="AA95" s="59"/>
      <x:c r="AB95" s="59"/>
      <x:c r="AC95" s="59"/>
      <x:c r="AD95" s="59"/>
      <x:c r="AE95" s="59"/>
      <x:c r="AF95" s="59"/>
      <x:c r="AG95" s="59"/>
      <x:c r="AH95" s="59"/>
      <x:c r="AI95" s="59"/>
      <x:c r="AJ95" s="59"/>
      <x:c r="AK95" s="59"/>
      <x:c r="AL95" s="59"/>
      <x:c r="AM95" s="59"/>
      <x:c r="AN95" s="59"/>
    </x:row>
    <x:row r="96">
      <x:c r="A96" s="59"/>
      <x:c r="B96" s="59"/>
      <x:c r="C96" s="59"/>
      <x:c r="D96" s="59"/>
      <x:c r="E96" s="59"/>
      <x:c r="F96" s="59"/>
      <x:c r="G96" s="59"/>
      <x:c r="H96" s="59"/>
      <x:c r="I96" s="59"/>
      <x:c r="J96" s="59"/>
      <x:c r="K96" s="59"/>
      <x:c r="L96" s="59"/>
      <x:c r="M96" s="59"/>
      <x:c r="N96" s="59"/>
      <x:c r="O96" s="59"/>
      <x:c r="P96" s="59"/>
      <x:c r="Q96" s="59"/>
      <x:c r="R96" s="59"/>
      <x:c r="S96" s="59"/>
      <x:c r="T96" s="59"/>
      <x:c r="U96" s="59"/>
      <x:c r="V96" s="59"/>
      <x:c r="W96" s="59"/>
      <x:c r="X96" s="59"/>
      <x:c r="Y96" s="59"/>
      <x:c r="Z96" s="59"/>
      <x:c r="AA96" s="59"/>
      <x:c r="AB96" s="59"/>
      <x:c r="AC96" s="59"/>
      <x:c r="AD96" s="59"/>
      <x:c r="AE96" s="59"/>
      <x:c r="AF96" s="59"/>
      <x:c r="AG96" s="59"/>
      <x:c r="AH96" s="59"/>
      <x:c r="AI96" s="59"/>
      <x:c r="AJ96" s="59"/>
      <x:c r="AK96" s="59"/>
      <x:c r="AL96" s="59"/>
      <x:c r="AM96" s="59"/>
      <x:c r="AN96" s="59"/>
    </x:row>
    <x:row r="97">
      <x:c r="A97" s="59"/>
      <x:c r="B97" s="59"/>
      <x:c r="C97" s="59"/>
      <x:c r="D97" s="59"/>
      <x:c r="E97" s="59"/>
      <x:c r="F97" s="59"/>
      <x:c r="G97" s="59"/>
      <x:c r="H97" s="59"/>
      <x:c r="I97" s="59"/>
      <x:c r="J97" s="59"/>
      <x:c r="K97" s="59"/>
      <x:c r="L97" s="59"/>
      <x:c r="M97" s="59"/>
      <x:c r="N97" s="59"/>
      <x:c r="O97" s="59"/>
      <x:c r="P97" s="59"/>
      <x:c r="Q97" s="59"/>
      <x:c r="R97" s="59"/>
      <x:c r="S97" s="59"/>
      <x:c r="T97" s="59"/>
      <x:c r="U97" s="59"/>
      <x:c r="V97" s="59"/>
      <x:c r="W97" s="59"/>
      <x:c r="X97" s="59"/>
      <x:c r="Y97" s="59"/>
      <x:c r="Z97" s="59"/>
      <x:c r="AA97" s="59"/>
      <x:c r="AB97" s="59"/>
      <x:c r="AC97" s="59"/>
      <x:c r="AD97" s="59"/>
      <x:c r="AE97" s="59"/>
      <x:c r="AF97" s="59"/>
      <x:c r="AG97" s="59"/>
      <x:c r="AH97" s="59"/>
      <x:c r="AI97" s="59"/>
      <x:c r="AJ97" s="59"/>
      <x:c r="AK97" s="59"/>
      <x:c r="AL97" s="59"/>
      <x:c r="AM97" s="59"/>
      <x:c r="AN97" s="59"/>
    </x:row>
    <x:row r="98">
      <x:c r="A98" s="59"/>
      <x:c r="B98" s="59"/>
      <x:c r="C98" s="59"/>
      <x:c r="D98" s="59"/>
      <x:c r="E98" s="59"/>
      <x:c r="F98" s="59"/>
      <x:c r="G98" s="59"/>
      <x:c r="H98" s="59"/>
      <x:c r="I98" s="59"/>
      <x:c r="J98" s="59"/>
      <x:c r="K98" s="59"/>
      <x:c r="L98" s="59"/>
      <x:c r="M98" s="59"/>
      <x:c r="N98" s="59"/>
      <x:c r="O98" s="59"/>
      <x:c r="P98" s="59"/>
      <x:c r="Q98" s="59"/>
      <x:c r="R98" s="59"/>
      <x:c r="S98" s="59"/>
      <x:c r="T98" s="59"/>
      <x:c r="U98" s="59"/>
      <x:c r="V98" s="59"/>
      <x:c r="W98" s="59"/>
      <x:c r="X98" s="59"/>
      <x:c r="Y98" s="59"/>
      <x:c r="Z98" s="59"/>
      <x:c r="AA98" s="59"/>
      <x:c r="AB98" s="59"/>
      <x:c r="AC98" s="59"/>
      <x:c r="AD98" s="59"/>
      <x:c r="AE98" s="59"/>
      <x:c r="AF98" s="59"/>
      <x:c r="AG98" s="59"/>
      <x:c r="AH98" s="59"/>
      <x:c r="AI98" s="59"/>
      <x:c r="AJ98" s="59"/>
      <x:c r="AK98" s="59"/>
      <x:c r="AL98" s="59"/>
      <x:c r="AM98" s="59"/>
      <x:c r="AN98" s="59"/>
    </x:row>
    <x:row r="99">
      <x:c r="A99" s="59"/>
      <x:c r="B99" s="59"/>
      <x:c r="C99" s="59"/>
      <x:c r="D99" s="59"/>
      <x:c r="E99" s="59"/>
      <x:c r="F99" s="59"/>
      <x:c r="G99" s="59"/>
      <x:c r="H99" s="59"/>
      <x:c r="I99" s="59"/>
      <x:c r="J99" s="59"/>
      <x:c r="K99" s="59"/>
      <x:c r="L99" s="59"/>
      <x:c r="M99" s="59"/>
      <x:c r="N99" s="59"/>
      <x:c r="O99" s="59"/>
      <x:c r="P99" s="59"/>
      <x:c r="Q99" s="59"/>
      <x:c r="R99" s="59"/>
      <x:c r="S99" s="59"/>
      <x:c r="T99" s="59"/>
      <x:c r="U99" s="59"/>
      <x:c r="V99" s="59"/>
      <x:c r="W99" s="59"/>
      <x:c r="X99" s="59"/>
      <x:c r="Y99" s="59"/>
      <x:c r="Z99" s="59"/>
      <x:c r="AA99" s="59"/>
      <x:c r="AB99" s="59"/>
      <x:c r="AC99" s="59"/>
      <x:c r="AD99" s="59"/>
      <x:c r="AE99" s="59"/>
      <x:c r="AF99" s="59"/>
      <x:c r="AG99" s="59"/>
      <x:c r="AH99" s="59"/>
      <x:c r="AI99" s="59"/>
      <x:c r="AJ99" s="59"/>
      <x:c r="AK99" s="59"/>
      <x:c r="AL99" s="59"/>
      <x:c r="AM99" s="59"/>
      <x:c r="AN99" s="59"/>
    </x:row>
    <x:row r="100">
      <x:c r="A100" s="59"/>
      <x:c r="B100" s="59"/>
      <x:c r="C100" s="59"/>
      <x:c r="D100" s="59"/>
      <x:c r="E100" s="59"/>
      <x:c r="F100" s="59"/>
      <x:c r="G100" s="59"/>
      <x:c r="H100" s="59"/>
      <x:c r="I100" s="59"/>
      <x:c r="J100" s="59"/>
      <x:c r="K100" s="59"/>
      <x:c r="L100" s="59"/>
      <x:c r="M100" s="59"/>
      <x:c r="N100" s="59"/>
      <x:c r="O100" s="59"/>
      <x:c r="P100" s="59"/>
      <x:c r="Q100" s="59"/>
      <x:c r="R100" s="59"/>
      <x:c r="S100" s="59"/>
      <x:c r="T100" s="59"/>
      <x:c r="U100" s="59"/>
      <x:c r="V100" s="59"/>
      <x:c r="W100" s="59"/>
      <x:c r="X100" s="59"/>
      <x:c r="Y100" s="59"/>
      <x:c r="Z100" s="59"/>
      <x:c r="AA100" s="59"/>
      <x:c r="AB100" s="59"/>
      <x:c r="AC100" s="59"/>
      <x:c r="AD100" s="59"/>
      <x:c r="AE100" s="59"/>
      <x:c r="AF100" s="59"/>
      <x:c r="AG100" s="59"/>
      <x:c r="AH100" s="59"/>
      <x:c r="AI100" s="59"/>
      <x:c r="AJ100" s="59"/>
      <x:c r="AK100" s="59"/>
      <x:c r="AL100" s="59"/>
      <x:c r="AM100" s="59"/>
      <x:c r="AN100" s="59"/>
    </x:row>
    <x:row r="101">
      <x:c r="A101" s="59"/>
      <x:c r="B101" s="59"/>
      <x:c r="C101" s="59"/>
      <x:c r="D101" s="59"/>
      <x:c r="E101" s="59"/>
      <x:c r="F101" s="59"/>
      <x:c r="G101" s="59"/>
      <x:c r="H101" s="59"/>
      <x:c r="I101" s="59"/>
      <x:c r="J101" s="59"/>
      <x:c r="K101" s="59"/>
      <x:c r="L101" s="59"/>
      <x:c r="M101" s="59"/>
      <x:c r="N101" s="59"/>
      <x:c r="O101" s="59"/>
      <x:c r="P101" s="59"/>
      <x:c r="Q101" s="59"/>
      <x:c r="R101" s="59"/>
      <x:c r="S101" s="59"/>
      <x:c r="T101" s="59"/>
      <x:c r="U101" s="59"/>
      <x:c r="V101" s="59"/>
      <x:c r="W101" s="59"/>
      <x:c r="X101" s="59"/>
      <x:c r="Y101" s="59"/>
      <x:c r="Z101" s="59"/>
      <x:c r="AA101" s="59"/>
      <x:c r="AB101" s="59"/>
      <x:c r="AC101" s="59"/>
      <x:c r="AD101" s="59"/>
      <x:c r="AE101" s="59"/>
      <x:c r="AF101" s="59"/>
      <x:c r="AG101" s="59"/>
      <x:c r="AH101" s="59"/>
      <x:c r="AI101" s="59"/>
      <x:c r="AJ101" s="59"/>
      <x:c r="AK101" s="59"/>
      <x:c r="AL101" s="59"/>
      <x:c r="AM101" s="59"/>
      <x:c r="AN101" s="59"/>
    </x:row>
    <x:row r="102">
      <x:c r="A102" s="59"/>
      <x:c r="B102" s="59"/>
      <x:c r="C102" s="59"/>
      <x:c r="D102" s="59"/>
      <x:c r="E102" s="59"/>
      <x:c r="F102" s="59"/>
      <x:c r="G102" s="59"/>
      <x:c r="H102" s="59"/>
      <x:c r="I102" s="59"/>
      <x:c r="J102" s="59"/>
      <x:c r="K102" s="59"/>
      <x:c r="L102" s="59"/>
      <x:c r="M102" s="59"/>
      <x:c r="N102" s="59"/>
      <x:c r="O102" s="59"/>
      <x:c r="P102" s="59"/>
      <x:c r="Q102" s="59"/>
      <x:c r="R102" s="59"/>
      <x:c r="S102" s="59"/>
      <x:c r="T102" s="59"/>
      <x:c r="U102" s="59"/>
      <x:c r="V102" s="59"/>
      <x:c r="W102" s="59"/>
      <x:c r="X102" s="59"/>
      <x:c r="Y102" s="59"/>
      <x:c r="Z102" s="59"/>
      <x:c r="AA102" s="59"/>
      <x:c r="AB102" s="59"/>
      <x:c r="AC102" s="59"/>
      <x:c r="AD102" s="59"/>
      <x:c r="AE102" s="59"/>
      <x:c r="AF102" s="59"/>
      <x:c r="AG102" s="59"/>
      <x:c r="AH102" s="59"/>
      <x:c r="AI102" s="59"/>
      <x:c r="AJ102" s="59"/>
      <x:c r="AK102" s="59"/>
      <x:c r="AL102" s="59"/>
      <x:c r="AM102" s="59"/>
      <x:c r="AN102" s="59"/>
    </x:row>
    <x:row r="103">
      <x:c r="A103" s="59"/>
      <x:c r="B103" s="59"/>
      <x:c r="C103" s="59"/>
      <x:c r="D103" s="59"/>
      <x:c r="E103" s="59"/>
      <x:c r="F103" s="59"/>
      <x:c r="G103" s="59"/>
      <x:c r="H103" s="59"/>
      <x:c r="I103" s="59"/>
      <x:c r="J103" s="59"/>
      <x:c r="K103" s="59"/>
      <x:c r="L103" s="59"/>
      <x:c r="M103" s="59"/>
      <x:c r="N103" s="59"/>
      <x:c r="O103" s="59"/>
      <x:c r="P103" s="59"/>
      <x:c r="Q103" s="59"/>
      <x:c r="R103" s="59"/>
      <x:c r="S103" s="59"/>
      <x:c r="T103" s="59"/>
      <x:c r="U103" s="59"/>
      <x:c r="V103" s="59"/>
      <x:c r="W103" s="59"/>
      <x:c r="X103" s="59"/>
      <x:c r="Y103" s="59"/>
      <x:c r="Z103" s="59"/>
      <x:c r="AA103" s="59"/>
      <x:c r="AB103" s="59"/>
      <x:c r="AC103" s="59"/>
      <x:c r="AD103" s="59"/>
      <x:c r="AE103" s="59"/>
      <x:c r="AF103" s="59"/>
      <x:c r="AG103" s="59"/>
      <x:c r="AH103" s="59"/>
      <x:c r="AI103" s="59"/>
      <x:c r="AJ103" s="59"/>
      <x:c r="AK103" s="59"/>
      <x:c r="AL103" s="59"/>
      <x:c r="AM103" s="59"/>
      <x:c r="AN103" s="59"/>
    </x:row>
    <x:row r="104">
      <x:c r="A104" s="59"/>
      <x:c r="B104" s="59"/>
      <x:c r="C104" s="59"/>
      <x:c r="D104" s="59"/>
      <x:c r="E104" s="59"/>
      <x:c r="F104" s="59"/>
      <x:c r="G104" s="59"/>
      <x:c r="H104" s="59"/>
      <x:c r="I104" s="59"/>
      <x:c r="J104" s="59"/>
      <x:c r="K104" s="59"/>
      <x:c r="L104" s="59"/>
      <x:c r="M104" s="59"/>
      <x:c r="N104" s="59"/>
      <x:c r="O104" s="59"/>
      <x:c r="P104" s="59"/>
      <x:c r="Q104" s="59"/>
      <x:c r="R104" s="59"/>
      <x:c r="S104" s="59"/>
      <x:c r="T104" s="59"/>
      <x:c r="U104" s="59"/>
      <x:c r="V104" s="59"/>
      <x:c r="W104" s="59"/>
      <x:c r="X104" s="59"/>
      <x:c r="Y104" s="59"/>
      <x:c r="Z104" s="59"/>
      <x:c r="AA104" s="59"/>
      <x:c r="AB104" s="59"/>
      <x:c r="AC104" s="59"/>
      <x:c r="AD104" s="59"/>
      <x:c r="AE104" s="59"/>
      <x:c r="AF104" s="59"/>
      <x:c r="AG104" s="59"/>
      <x:c r="AH104" s="59"/>
      <x:c r="AI104" s="59"/>
      <x:c r="AJ104" s="59"/>
      <x:c r="AK104" s="59"/>
      <x:c r="AL104" s="59"/>
      <x:c r="AM104" s="59"/>
      <x:c r="AN104" s="59"/>
    </x:row>
    <x:row r="105">
      <x:c r="A105" s="59"/>
      <x:c r="B105" s="59"/>
      <x:c r="C105" s="59"/>
      <x:c r="D105" s="59"/>
      <x:c r="E105" s="59"/>
      <x:c r="F105" s="59"/>
      <x:c r="G105" s="59"/>
      <x:c r="H105" s="59"/>
      <x:c r="I105" s="59"/>
      <x:c r="J105" s="59"/>
      <x:c r="K105" s="59"/>
      <x:c r="L105" s="59"/>
      <x:c r="M105" s="59"/>
      <x:c r="N105" s="59"/>
      <x:c r="O105" s="59"/>
      <x:c r="P105" s="59"/>
      <x:c r="Q105" s="59"/>
      <x:c r="R105" s="59"/>
      <x:c r="S105" s="59"/>
      <x:c r="T105" s="59"/>
      <x:c r="U105" s="59"/>
      <x:c r="V105" s="59"/>
      <x:c r="W105" s="59"/>
      <x:c r="X105" s="59"/>
      <x:c r="Y105" s="59"/>
      <x:c r="Z105" s="59"/>
      <x:c r="AA105" s="59"/>
      <x:c r="AB105" s="59"/>
      <x:c r="AC105" s="59"/>
      <x:c r="AD105" s="59"/>
      <x:c r="AE105" s="59"/>
      <x:c r="AF105" s="59"/>
      <x:c r="AG105" s="59"/>
      <x:c r="AH105" s="59"/>
      <x:c r="AI105" s="59"/>
      <x:c r="AJ105" s="59"/>
      <x:c r="AK105" s="59"/>
      <x:c r="AL105" s="59"/>
      <x:c r="AM105" s="59"/>
      <x:c r="AN105" s="59"/>
    </x:row>
    <x:row r="106">
      <x:c r="A106" s="59"/>
      <x:c r="B106" s="59"/>
      <x:c r="C106" s="59"/>
      <x:c r="D106" s="59"/>
      <x:c r="E106" s="59"/>
      <x:c r="F106" s="59"/>
      <x:c r="G106" s="59"/>
      <x:c r="H106" s="59"/>
      <x:c r="I106" s="59"/>
      <x:c r="J106" s="59"/>
      <x:c r="K106" s="59"/>
      <x:c r="L106" s="59"/>
      <x:c r="M106" s="59"/>
      <x:c r="N106" s="59"/>
      <x:c r="O106" s="59"/>
      <x:c r="P106" s="59"/>
      <x:c r="Q106" s="59"/>
      <x:c r="R106" s="59"/>
      <x:c r="S106" s="59"/>
      <x:c r="T106" s="59"/>
      <x:c r="U106" s="59"/>
      <x:c r="V106" s="59"/>
      <x:c r="W106" s="59"/>
      <x:c r="X106" s="59"/>
      <x:c r="Y106" s="59"/>
      <x:c r="Z106" s="59"/>
      <x:c r="AA106" s="59"/>
      <x:c r="AB106" s="59"/>
      <x:c r="AC106" s="59"/>
      <x:c r="AD106" s="59"/>
      <x:c r="AE106" s="59"/>
      <x:c r="AF106" s="59"/>
      <x:c r="AG106" s="59"/>
      <x:c r="AH106" s="59"/>
      <x:c r="AI106" s="59"/>
      <x:c r="AJ106" s="59"/>
      <x:c r="AK106" s="59"/>
      <x:c r="AL106" s="59"/>
      <x:c r="AM106" s="59"/>
      <x:c r="AN106" s="59"/>
    </x:row>
    <x:row r="107">
      <x:c r="A107" s="59"/>
      <x:c r="B107" s="59"/>
      <x:c r="C107" s="59"/>
      <x:c r="D107" s="59"/>
      <x:c r="E107" s="59"/>
      <x:c r="F107" s="59"/>
      <x:c r="G107" s="59"/>
      <x:c r="H107" s="59"/>
      <x:c r="I107" s="59"/>
      <x:c r="J107" s="59"/>
      <x:c r="K107" s="59"/>
      <x:c r="L107" s="59"/>
      <x:c r="M107" s="59"/>
      <x:c r="N107" s="59"/>
      <x:c r="O107" s="59"/>
      <x:c r="P107" s="59"/>
      <x:c r="Q107" s="59"/>
      <x:c r="R107" s="59"/>
      <x:c r="S107" s="59"/>
      <x:c r="T107" s="59"/>
      <x:c r="U107" s="59"/>
      <x:c r="V107" s="59"/>
      <x:c r="W107" s="59"/>
      <x:c r="X107" s="59"/>
      <x:c r="Y107" s="59"/>
      <x:c r="Z107" s="59"/>
      <x:c r="AA107" s="59"/>
      <x:c r="AB107" s="59"/>
      <x:c r="AC107" s="59"/>
      <x:c r="AD107" s="59"/>
      <x:c r="AE107" s="59"/>
      <x:c r="AF107" s="59"/>
      <x:c r="AG107" s="59"/>
      <x:c r="AH107" s="59"/>
      <x:c r="AI107" s="59"/>
      <x:c r="AJ107" s="59"/>
      <x:c r="AK107" s="59"/>
      <x:c r="AL107" s="59"/>
      <x:c r="AM107" s="59"/>
      <x:c r="AN107" s="59"/>
    </x:row>
    <x:row r="108">
      <x:c r="A108" s="59"/>
      <x:c r="B108" s="59"/>
      <x:c r="C108" s="59"/>
      <x:c r="D108" s="59"/>
      <x:c r="E108" s="59"/>
      <x:c r="F108" s="59"/>
      <x:c r="G108" s="59"/>
      <x:c r="H108" s="59"/>
      <x:c r="I108" s="59"/>
      <x:c r="J108" s="59"/>
      <x:c r="K108" s="59"/>
      <x:c r="L108" s="59"/>
      <x:c r="M108" s="59"/>
      <x:c r="N108" s="59"/>
      <x:c r="O108" s="59"/>
      <x:c r="P108" s="59"/>
      <x:c r="Q108" s="59"/>
      <x:c r="R108" s="59"/>
      <x:c r="S108" s="59"/>
      <x:c r="T108" s="59"/>
      <x:c r="U108" s="59"/>
      <x:c r="V108" s="59"/>
      <x:c r="W108" s="59"/>
      <x:c r="X108" s="59"/>
      <x:c r="Y108" s="59"/>
      <x:c r="Z108" s="59"/>
      <x:c r="AA108" s="59"/>
      <x:c r="AB108" s="59"/>
      <x:c r="AC108" s="59"/>
      <x:c r="AD108" s="59"/>
      <x:c r="AE108" s="59"/>
      <x:c r="AF108" s="59"/>
      <x:c r="AG108" s="59"/>
      <x:c r="AH108" s="59"/>
      <x:c r="AI108" s="59"/>
      <x:c r="AJ108" s="59"/>
      <x:c r="AK108" s="59"/>
      <x:c r="AL108" s="59"/>
      <x:c r="AM108" s="59"/>
      <x:c r="AN108" s="59"/>
    </x:row>
    <x:row r="109">
      <x:c r="A109" s="59"/>
      <x:c r="B109" s="59"/>
      <x:c r="C109" s="59"/>
      <x:c r="D109" s="59"/>
      <x:c r="E109" s="59"/>
      <x:c r="F109" s="59"/>
      <x:c r="G109" s="59"/>
      <x:c r="H109" s="59"/>
      <x:c r="I109" s="59"/>
      <x:c r="J109" s="59"/>
      <x:c r="K109" s="59"/>
      <x:c r="L109" s="59"/>
      <x:c r="M109" s="59"/>
      <x:c r="N109" s="59"/>
      <x:c r="O109" s="59"/>
      <x:c r="P109" s="59"/>
      <x:c r="Q109" s="59"/>
      <x:c r="R109" s="59"/>
      <x:c r="S109" s="59"/>
      <x:c r="T109" s="59"/>
      <x:c r="U109" s="59"/>
      <x:c r="V109" s="59"/>
      <x:c r="W109" s="59"/>
      <x:c r="X109" s="59"/>
      <x:c r="Y109" s="59"/>
      <x:c r="Z109" s="59"/>
      <x:c r="AA109" s="59"/>
      <x:c r="AB109" s="59"/>
      <x:c r="AC109" s="59"/>
      <x:c r="AD109" s="59"/>
      <x:c r="AE109" s="59"/>
      <x:c r="AF109" s="59"/>
      <x:c r="AG109" s="59"/>
      <x:c r="AH109" s="59"/>
      <x:c r="AI109" s="59"/>
      <x:c r="AJ109" s="59"/>
      <x:c r="AK109" s="59"/>
      <x:c r="AL109" s="59"/>
      <x:c r="AM109" s="59"/>
      <x:c r="AN109" s="59"/>
    </x:row>
    <x:row r="110">
      <x:c r="A110" s="59"/>
      <x:c r="B110" s="59"/>
      <x:c r="C110" s="59"/>
      <x:c r="D110" s="59"/>
      <x:c r="E110" s="59"/>
      <x:c r="F110" s="59"/>
      <x:c r="G110" s="59"/>
      <x:c r="H110" s="59"/>
      <x:c r="I110" s="59"/>
      <x:c r="J110" s="59"/>
      <x:c r="K110" s="59"/>
      <x:c r="L110" s="59"/>
      <x:c r="M110" s="59"/>
      <x:c r="N110" s="59"/>
      <x:c r="O110" s="59"/>
      <x:c r="P110" s="59"/>
      <x:c r="Q110" s="59"/>
      <x:c r="R110" s="59"/>
      <x:c r="S110" s="59"/>
      <x:c r="T110" s="59"/>
      <x:c r="U110" s="59"/>
      <x:c r="V110" s="59"/>
      <x:c r="W110" s="59"/>
      <x:c r="X110" s="59"/>
      <x:c r="Y110" s="59"/>
      <x:c r="Z110" s="59"/>
      <x:c r="AA110" s="59"/>
      <x:c r="AB110" s="59"/>
      <x:c r="AC110" s="59"/>
      <x:c r="AD110" s="59"/>
      <x:c r="AE110" s="59"/>
      <x:c r="AF110" s="59"/>
      <x:c r="AG110" s="59"/>
      <x:c r="AH110" s="59"/>
      <x:c r="AI110" s="59"/>
      <x:c r="AJ110" s="59"/>
      <x:c r="AK110" s="59"/>
      <x:c r="AL110" s="59"/>
      <x:c r="AM110" s="59"/>
      <x:c r="AN110" s="59"/>
    </x:row>
    <x:row r="111">
      <x:c r="A111" s="59"/>
      <x:c r="B111" s="59"/>
      <x:c r="C111" s="59"/>
      <x:c r="D111" s="59"/>
      <x:c r="E111" s="59"/>
      <x:c r="F111" s="59"/>
      <x:c r="G111" s="59"/>
      <x:c r="H111" s="59"/>
      <x:c r="I111" s="59"/>
      <x:c r="J111" s="59"/>
      <x:c r="K111" s="59"/>
      <x:c r="L111" s="59"/>
      <x:c r="M111" s="59"/>
      <x:c r="N111" s="59"/>
      <x:c r="O111" s="59"/>
      <x:c r="P111" s="59"/>
      <x:c r="Q111" s="59"/>
      <x:c r="R111" s="59"/>
      <x:c r="S111" s="59"/>
      <x:c r="T111" s="59"/>
      <x:c r="U111" s="59"/>
      <x:c r="V111" s="59"/>
      <x:c r="W111" s="59"/>
      <x:c r="X111" s="59"/>
      <x:c r="Y111" s="59"/>
      <x:c r="Z111" s="59"/>
      <x:c r="AA111" s="59"/>
      <x:c r="AB111" s="59"/>
      <x:c r="AC111" s="59"/>
      <x:c r="AD111" s="59"/>
      <x:c r="AE111" s="59"/>
      <x:c r="AF111" s="59"/>
      <x:c r="AG111" s="59"/>
      <x:c r="AH111" s="59"/>
      <x:c r="AI111" s="59"/>
      <x:c r="AJ111" s="59"/>
      <x:c r="AK111" s="59"/>
      <x:c r="AL111" s="59"/>
      <x:c r="AM111" s="59"/>
      <x:c r="AN111" s="59"/>
    </x:row>
    <x:row r="112">
      <x:c r="A112" s="59"/>
      <x:c r="B112" s="59"/>
      <x:c r="C112" s="59"/>
      <x:c r="D112" s="59"/>
      <x:c r="E112" s="59"/>
      <x:c r="F112" s="59"/>
      <x:c r="G112" s="59"/>
      <x:c r="H112" s="59"/>
      <x:c r="I112" s="59"/>
      <x:c r="J112" s="59"/>
      <x:c r="K112" s="59"/>
      <x:c r="L112" s="59"/>
      <x:c r="M112" s="59"/>
      <x:c r="N112" s="59"/>
      <x:c r="O112" s="59"/>
      <x:c r="P112" s="59"/>
      <x:c r="Q112" s="59"/>
      <x:c r="R112" s="59"/>
      <x:c r="S112" s="59"/>
      <x:c r="T112" s="59"/>
      <x:c r="U112" s="59"/>
      <x:c r="V112" s="59"/>
      <x:c r="W112" s="59"/>
      <x:c r="X112" s="59"/>
      <x:c r="Y112" s="59"/>
      <x:c r="Z112" s="59"/>
      <x:c r="AA112" s="59"/>
      <x:c r="AB112" s="59"/>
      <x:c r="AC112" s="59"/>
      <x:c r="AD112" s="59"/>
      <x:c r="AE112" s="59"/>
      <x:c r="AF112" s="59"/>
      <x:c r="AG112" s="59"/>
      <x:c r="AH112" s="59"/>
      <x:c r="AI112" s="59"/>
      <x:c r="AJ112" s="59"/>
      <x:c r="AK112" s="59"/>
      <x:c r="AL112" s="59"/>
      <x:c r="AM112" s="59"/>
      <x:c r="AN112" s="59"/>
    </x:row>
    <x:row r="113">
      <x:c r="A113" s="59"/>
      <x:c r="B113" s="59"/>
      <x:c r="C113" s="59"/>
      <x:c r="D113" s="59"/>
      <x:c r="E113" s="59"/>
      <x:c r="F113" s="59"/>
      <x:c r="G113" s="59"/>
      <x:c r="H113" s="59"/>
      <x:c r="I113" s="59"/>
      <x:c r="J113" s="59"/>
      <x:c r="K113" s="59"/>
      <x:c r="L113" s="59"/>
      <x:c r="M113" s="59"/>
      <x:c r="N113" s="59"/>
      <x:c r="O113" s="59"/>
      <x:c r="P113" s="59"/>
      <x:c r="Q113" s="59"/>
      <x:c r="R113" s="59"/>
      <x:c r="S113" s="59"/>
      <x:c r="T113" s="59"/>
      <x:c r="U113" s="59"/>
      <x:c r="V113" s="59"/>
      <x:c r="W113" s="59"/>
      <x:c r="X113" s="59"/>
      <x:c r="Y113" s="59"/>
      <x:c r="Z113" s="59"/>
      <x:c r="AA113" s="59"/>
      <x:c r="AB113" s="59"/>
      <x:c r="AC113" s="59"/>
      <x:c r="AD113" s="59"/>
      <x:c r="AE113" s="59"/>
      <x:c r="AF113" s="59"/>
      <x:c r="AG113" s="59"/>
      <x:c r="AH113" s="59"/>
      <x:c r="AI113" s="59"/>
      <x:c r="AJ113" s="59"/>
      <x:c r="AK113" s="59"/>
      <x:c r="AL113" s="59"/>
      <x:c r="AM113" s="59"/>
      <x:c r="AN113" s="59"/>
    </x:row>
    <x:row r="114">
      <x:c r="A114" s="59"/>
      <x:c r="B114" s="59"/>
      <x:c r="C114" s="59"/>
      <x:c r="D114" s="59"/>
      <x:c r="E114" s="59"/>
      <x:c r="F114" s="59"/>
      <x:c r="G114" s="59"/>
      <x:c r="H114" s="59"/>
      <x:c r="I114" s="59"/>
      <x:c r="J114" s="59"/>
      <x:c r="K114" s="59"/>
      <x:c r="L114" s="59"/>
      <x:c r="M114" s="59"/>
      <x:c r="N114" s="59"/>
      <x:c r="O114" s="59"/>
      <x:c r="P114" s="59"/>
      <x:c r="Q114" s="59"/>
      <x:c r="R114" s="59"/>
      <x:c r="S114" s="59"/>
      <x:c r="T114" s="59"/>
      <x:c r="U114" s="59"/>
      <x:c r="V114" s="59"/>
      <x:c r="W114" s="59"/>
      <x:c r="X114" s="59"/>
      <x:c r="Y114" s="59"/>
      <x:c r="Z114" s="59"/>
      <x:c r="AA114" s="59"/>
      <x:c r="AB114" s="59"/>
      <x:c r="AC114" s="59"/>
      <x:c r="AD114" s="59"/>
      <x:c r="AE114" s="59"/>
      <x:c r="AF114" s="59"/>
      <x:c r="AG114" s="59"/>
      <x:c r="AH114" s="59"/>
      <x:c r="AI114" s="59"/>
      <x:c r="AJ114" s="59"/>
      <x:c r="AK114" s="59"/>
      <x:c r="AL114" s="59"/>
      <x:c r="AM114" s="59"/>
      <x:c r="AN114" s="59"/>
    </x:row>
    <x:row r="115">
      <x:c r="A115" s="59"/>
      <x:c r="B115" s="59"/>
      <x:c r="C115" s="59"/>
      <x:c r="D115" s="59"/>
      <x:c r="E115" s="59"/>
      <x:c r="F115" s="59"/>
      <x:c r="G115" s="59"/>
      <x:c r="H115" s="59"/>
      <x:c r="I115" s="59"/>
      <x:c r="J115" s="59"/>
      <x:c r="K115" s="59"/>
      <x:c r="L115" s="59"/>
      <x:c r="M115" s="59"/>
      <x:c r="N115" s="59"/>
      <x:c r="O115" s="59"/>
      <x:c r="P115" s="59"/>
      <x:c r="Q115" s="59"/>
      <x:c r="R115" s="59"/>
      <x:c r="S115" s="59"/>
      <x:c r="T115" s="59"/>
      <x:c r="U115" s="59"/>
      <x:c r="V115" s="59"/>
      <x:c r="W115" s="59"/>
      <x:c r="X115" s="59"/>
      <x:c r="Y115" s="59"/>
      <x:c r="Z115" s="59"/>
      <x:c r="AA115" s="59"/>
      <x:c r="AB115" s="59"/>
      <x:c r="AC115" s="59"/>
      <x:c r="AD115" s="59"/>
      <x:c r="AE115" s="59"/>
      <x:c r="AF115" s="59"/>
      <x:c r="AG115" s="59"/>
      <x:c r="AH115" s="59"/>
      <x:c r="AI115" s="59"/>
      <x:c r="AJ115" s="59"/>
      <x:c r="AK115" s="59"/>
      <x:c r="AL115" s="59"/>
      <x:c r="AM115" s="59"/>
      <x:c r="AN115" s="59"/>
    </x:row>
    <x:row r="116">
      <x:c r="A116" s="59"/>
      <x:c r="B116" s="59"/>
      <x:c r="C116" s="59"/>
      <x:c r="D116" s="59"/>
      <x:c r="E116" s="59"/>
      <x:c r="F116" s="59"/>
      <x:c r="G116" s="59"/>
      <x:c r="H116" s="59"/>
      <x:c r="I116" s="59"/>
      <x:c r="J116" s="59"/>
      <x:c r="K116" s="59"/>
      <x:c r="L116" s="59"/>
      <x:c r="M116" s="59"/>
      <x:c r="N116" s="59"/>
      <x:c r="O116" s="59"/>
      <x:c r="P116" s="59"/>
      <x:c r="Q116" s="59"/>
      <x:c r="R116" s="59"/>
      <x:c r="S116" s="59"/>
      <x:c r="T116" s="59"/>
      <x:c r="U116" s="59"/>
      <x:c r="V116" s="59"/>
      <x:c r="W116" s="59"/>
      <x:c r="X116" s="59"/>
      <x:c r="Y116" s="59"/>
      <x:c r="Z116" s="59"/>
      <x:c r="AA116" s="59"/>
      <x:c r="AB116" s="59"/>
      <x:c r="AC116" s="59"/>
      <x:c r="AD116" s="59"/>
      <x:c r="AE116" s="59"/>
      <x:c r="AF116" s="59"/>
      <x:c r="AG116" s="59"/>
      <x:c r="AH116" s="59"/>
      <x:c r="AI116" s="59"/>
      <x:c r="AJ116" s="59"/>
      <x:c r="AK116" s="59"/>
      <x:c r="AL116" s="59"/>
      <x:c r="AM116" s="59"/>
      <x:c r="AN116" s="59"/>
    </x:row>
    <x:row r="117">
      <x:c r="A117" s="59"/>
      <x:c r="B117" s="59"/>
      <x:c r="C117" s="59"/>
      <x:c r="D117" s="59"/>
      <x:c r="E117" s="59"/>
      <x:c r="F117" s="59"/>
      <x:c r="G117" s="59"/>
      <x:c r="H117" s="59"/>
      <x:c r="I117" s="59"/>
      <x:c r="J117" s="59"/>
      <x:c r="K117" s="59"/>
      <x:c r="L117" s="59"/>
      <x:c r="M117" s="59"/>
      <x:c r="N117" s="59"/>
      <x:c r="O117" s="59"/>
      <x:c r="P117" s="59"/>
      <x:c r="Q117" s="59"/>
      <x:c r="R117" s="59"/>
      <x:c r="S117" s="59"/>
      <x:c r="T117" s="59"/>
      <x:c r="U117" s="59"/>
      <x:c r="V117" s="59"/>
      <x:c r="W117" s="59"/>
      <x:c r="X117" s="59"/>
      <x:c r="Y117" s="59"/>
      <x:c r="Z117" s="59"/>
      <x:c r="AA117" s="59"/>
      <x:c r="AB117" s="59"/>
      <x:c r="AC117" s="59"/>
      <x:c r="AD117" s="59"/>
      <x:c r="AE117" s="59"/>
      <x:c r="AF117" s="59"/>
      <x:c r="AG117" s="59"/>
      <x:c r="AH117" s="59"/>
      <x:c r="AI117" s="59"/>
      <x:c r="AJ117" s="59"/>
      <x:c r="AK117" s="59"/>
      <x:c r="AL117" s="59"/>
      <x:c r="AM117" s="59"/>
      <x:c r="AN117" s="59"/>
    </x:row>
    <x:row r="118">
      <x:c r="A118" s="59"/>
      <x:c r="B118" s="59"/>
      <x:c r="C118" s="59"/>
      <x:c r="D118" s="59"/>
      <x:c r="E118" s="59"/>
      <x:c r="F118" s="59"/>
      <x:c r="G118" s="59"/>
      <x:c r="H118" s="59"/>
      <x:c r="I118" s="59"/>
      <x:c r="J118" s="59"/>
      <x:c r="K118" s="59"/>
      <x:c r="L118" s="59"/>
      <x:c r="M118" s="59"/>
      <x:c r="N118" s="59"/>
      <x:c r="O118" s="59"/>
      <x:c r="P118" s="59"/>
      <x:c r="Q118" s="59"/>
      <x:c r="R118" s="59"/>
      <x:c r="S118" s="59"/>
      <x:c r="T118" s="59"/>
      <x:c r="U118" s="59"/>
      <x:c r="V118" s="59"/>
      <x:c r="W118" s="59"/>
      <x:c r="X118" s="59"/>
      <x:c r="Y118" s="59"/>
      <x:c r="Z118" s="59"/>
      <x:c r="AA118" s="59"/>
      <x:c r="AB118" s="59"/>
      <x:c r="AC118" s="59"/>
      <x:c r="AD118" s="59"/>
      <x:c r="AE118" s="59"/>
      <x:c r="AF118" s="59"/>
      <x:c r="AG118" s="59"/>
      <x:c r="AH118" s="59"/>
      <x:c r="AI118" s="59"/>
      <x:c r="AJ118" s="59"/>
      <x:c r="AK118" s="59"/>
      <x:c r="AL118" s="59"/>
      <x:c r="AM118" s="59"/>
      <x:c r="AN118" s="59"/>
    </x:row>
    <x:row r="119">
      <x:c r="A119" s="59"/>
      <x:c r="B119" s="59"/>
      <x:c r="C119" s="59"/>
      <x:c r="D119" s="59"/>
      <x:c r="E119" s="59"/>
      <x:c r="F119" s="59"/>
      <x:c r="G119" s="59"/>
      <x:c r="H119" s="59"/>
      <x:c r="I119" s="59"/>
      <x:c r="J119" s="59"/>
      <x:c r="K119" s="59"/>
      <x:c r="L119" s="59"/>
      <x:c r="M119" s="59"/>
      <x:c r="N119" s="59"/>
      <x:c r="O119" s="59"/>
      <x:c r="P119" s="59"/>
      <x:c r="Q119" s="59"/>
      <x:c r="R119" s="59"/>
      <x:c r="S119" s="59"/>
      <x:c r="T119" s="59"/>
      <x:c r="U119" s="59"/>
      <x:c r="V119" s="59"/>
      <x:c r="W119" s="59"/>
      <x:c r="X119" s="59"/>
      <x:c r="Y119" s="59"/>
      <x:c r="Z119" s="59"/>
      <x:c r="AA119" s="59"/>
      <x:c r="AB119" s="59"/>
      <x:c r="AC119" s="59"/>
      <x:c r="AD119" s="59"/>
      <x:c r="AE119" s="59"/>
      <x:c r="AF119" s="59"/>
      <x:c r="AG119" s="59"/>
      <x:c r="AH119" s="59"/>
      <x:c r="AI119" s="59"/>
      <x:c r="AJ119" s="59"/>
      <x:c r="AK119" s="59"/>
      <x:c r="AL119" s="59"/>
      <x:c r="AM119" s="59"/>
      <x:c r="AN119" s="59"/>
    </x:row>
    <x:row r="120">
      <x:c r="A120" s="59"/>
      <x:c r="B120" s="59"/>
      <x:c r="C120" s="59"/>
      <x:c r="D120" s="59"/>
      <x:c r="E120" s="59"/>
      <x:c r="F120" s="59"/>
      <x:c r="G120" s="59"/>
      <x:c r="H120" s="59"/>
      <x:c r="I120" s="59"/>
      <x:c r="J120" s="59"/>
      <x:c r="K120" s="59"/>
      <x:c r="L120" s="59"/>
      <x:c r="M120" s="59"/>
      <x:c r="N120" s="59"/>
      <x:c r="O120" s="59"/>
      <x:c r="P120" s="59"/>
      <x:c r="Q120" s="59"/>
      <x:c r="R120" s="59"/>
      <x:c r="S120" s="59"/>
      <x:c r="T120" s="59"/>
      <x:c r="U120" s="59"/>
      <x:c r="V120" s="59"/>
      <x:c r="W120" s="59"/>
      <x:c r="X120" s="59"/>
      <x:c r="Y120" s="59"/>
      <x:c r="Z120" s="59"/>
      <x:c r="AA120" s="59"/>
      <x:c r="AB120" s="59"/>
      <x:c r="AC120" s="59"/>
      <x:c r="AD120" s="59"/>
      <x:c r="AE120" s="59"/>
      <x:c r="AF120" s="59"/>
      <x:c r="AG120" s="59"/>
      <x:c r="AH120" s="59"/>
      <x:c r="AI120" s="59"/>
      <x:c r="AJ120" s="59"/>
      <x:c r="AK120" s="59"/>
      <x:c r="AL120" s="59"/>
      <x:c r="AM120" s="59"/>
      <x:c r="AN120" s="59"/>
    </x:row>
    <x:row r="121">
      <x:c r="A121" s="59"/>
      <x:c r="B121" s="59"/>
      <x:c r="C121" s="59"/>
      <x:c r="D121" s="59"/>
      <x:c r="E121" s="59"/>
      <x:c r="F121" s="59"/>
      <x:c r="G121" s="59"/>
      <x:c r="H121" s="59"/>
      <x:c r="I121" s="59"/>
      <x:c r="J121" s="59"/>
      <x:c r="K121" s="59"/>
      <x:c r="L121" s="59"/>
      <x:c r="M121" s="59"/>
      <x:c r="N121" s="59"/>
      <x:c r="O121" s="59"/>
      <x:c r="P121" s="59"/>
      <x:c r="Q121" s="59"/>
      <x:c r="R121" s="59"/>
      <x:c r="S121" s="59"/>
      <x:c r="T121" s="59"/>
      <x:c r="U121" s="59"/>
      <x:c r="V121" s="59"/>
      <x:c r="W121" s="59"/>
      <x:c r="X121" s="59"/>
      <x:c r="Y121" s="59"/>
      <x:c r="Z121" s="59"/>
      <x:c r="AA121" s="59"/>
      <x:c r="AB121" s="59"/>
      <x:c r="AC121" s="59"/>
      <x:c r="AD121" s="59"/>
      <x:c r="AE121" s="59"/>
      <x:c r="AF121" s="59"/>
      <x:c r="AG121" s="59"/>
      <x:c r="AH121" s="59"/>
      <x:c r="AI121" s="59"/>
      <x:c r="AJ121" s="59"/>
      <x:c r="AK121" s="59"/>
      <x:c r="AL121" s="59"/>
      <x:c r="AM121" s="59"/>
      <x:c r="AN121" s="59"/>
    </x:row>
    <x:row r="122">
      <x:c r="A122" s="59"/>
      <x:c r="B122" s="59"/>
      <x:c r="C122" s="59"/>
      <x:c r="D122" s="59"/>
      <x:c r="E122" s="59"/>
      <x:c r="F122" s="59"/>
      <x:c r="G122" s="59"/>
      <x:c r="H122" s="59"/>
      <x:c r="I122" s="59"/>
      <x:c r="J122" s="59"/>
      <x:c r="K122" s="59"/>
      <x:c r="L122" s="59"/>
      <x:c r="M122" s="59"/>
      <x:c r="N122" s="59"/>
      <x:c r="O122" s="59"/>
      <x:c r="P122" s="59"/>
      <x:c r="Q122" s="59"/>
      <x:c r="R122" s="59"/>
      <x:c r="S122" s="59"/>
      <x:c r="T122" s="59"/>
      <x:c r="U122" s="59"/>
      <x:c r="V122" s="59"/>
      <x:c r="W122" s="59"/>
      <x:c r="X122" s="59"/>
      <x:c r="Y122" s="59"/>
      <x:c r="Z122" s="59"/>
      <x:c r="AA122" s="59"/>
      <x:c r="AB122" s="59"/>
      <x:c r="AC122" s="59"/>
      <x:c r="AD122" s="59"/>
      <x:c r="AE122" s="59"/>
      <x:c r="AF122" s="59"/>
      <x:c r="AG122" s="59"/>
      <x:c r="AH122" s="59"/>
      <x:c r="AI122" s="59"/>
      <x:c r="AJ122" s="59"/>
      <x:c r="AK122" s="59"/>
      <x:c r="AL122" s="59"/>
      <x:c r="AM122" s="59"/>
      <x:c r="AN122" s="59"/>
    </x:row>
    <x:row r="123">
      <x:c r="A123" s="59"/>
      <x:c r="B123" s="59"/>
      <x:c r="C123" s="59"/>
      <x:c r="D123" s="59"/>
      <x:c r="E123" s="59"/>
      <x:c r="F123" s="59"/>
      <x:c r="G123" s="59"/>
      <x:c r="H123" s="59"/>
      <x:c r="I123" s="59"/>
      <x:c r="J123" s="59"/>
      <x:c r="K123" s="59"/>
      <x:c r="L123" s="59"/>
      <x:c r="M123" s="59"/>
      <x:c r="N123" s="59"/>
      <x:c r="O123" s="59"/>
      <x:c r="P123" s="59"/>
      <x:c r="Q123" s="59"/>
      <x:c r="R123" s="59"/>
      <x:c r="S123" s="59"/>
      <x:c r="T123" s="59"/>
      <x:c r="U123" s="59"/>
      <x:c r="V123" s="59"/>
      <x:c r="W123" s="59"/>
      <x:c r="X123" s="59"/>
      <x:c r="Y123" s="59"/>
      <x:c r="Z123" s="59"/>
      <x:c r="AA123" s="59"/>
      <x:c r="AB123" s="59"/>
      <x:c r="AC123" s="59"/>
      <x:c r="AD123" s="59"/>
      <x:c r="AE123" s="59"/>
      <x:c r="AF123" s="59"/>
      <x:c r="AG123" s="59"/>
      <x:c r="AH123" s="59"/>
      <x:c r="AI123" s="59"/>
      <x:c r="AJ123" s="59"/>
      <x:c r="AK123" s="59"/>
      <x:c r="AL123" s="59"/>
      <x:c r="AM123" s="59"/>
      <x:c r="AN123" s="59"/>
    </x:row>
    <x:row r="124">
      <x:c r="A124" s="59"/>
      <x:c r="B124" s="59"/>
      <x:c r="C124" s="59"/>
      <x:c r="D124" s="59"/>
      <x:c r="E124" s="59"/>
      <x:c r="F124" s="59"/>
      <x:c r="G124" s="59"/>
      <x:c r="H124" s="59"/>
      <x:c r="I124" s="59"/>
      <x:c r="J124" s="59"/>
      <x:c r="K124" s="59"/>
      <x:c r="L124" s="59"/>
      <x:c r="M124" s="59"/>
      <x:c r="N124" s="59"/>
      <x:c r="O124" s="59"/>
      <x:c r="P124" s="59"/>
      <x:c r="Q124" s="59"/>
      <x:c r="R124" s="59"/>
      <x:c r="S124" s="59"/>
      <x:c r="T124" s="59"/>
      <x:c r="U124" s="59"/>
      <x:c r="V124" s="59"/>
      <x:c r="W124" s="59"/>
      <x:c r="X124" s="59"/>
      <x:c r="Y124" s="59"/>
      <x:c r="Z124" s="59"/>
      <x:c r="AA124" s="59"/>
      <x:c r="AB124" s="59"/>
      <x:c r="AC124" s="59"/>
      <x:c r="AD124" s="59"/>
      <x:c r="AE124" s="59"/>
      <x:c r="AF124" s="59"/>
      <x:c r="AG124" s="59"/>
      <x:c r="AH124" s="59"/>
      <x:c r="AI124" s="59"/>
      <x:c r="AJ124" s="59"/>
      <x:c r="AK124" s="59"/>
      <x:c r="AL124" s="59"/>
      <x:c r="AM124" s="59"/>
      <x:c r="AN124" s="59"/>
    </x:row>
    <x:row r="125">
      <x:c r="A125" s="59"/>
      <x:c r="B125" s="59"/>
      <x:c r="C125" s="59"/>
      <x:c r="D125" s="59"/>
      <x:c r="E125" s="59"/>
      <x:c r="F125" s="59"/>
      <x:c r="G125" s="59"/>
      <x:c r="H125" s="59"/>
      <x:c r="I125" s="59"/>
      <x:c r="J125" s="59"/>
      <x:c r="K125" s="59"/>
      <x:c r="L125" s="59"/>
      <x:c r="M125" s="59"/>
      <x:c r="N125" s="59"/>
      <x:c r="O125" s="59"/>
      <x:c r="P125" s="59"/>
      <x:c r="Q125" s="59"/>
      <x:c r="R125" s="59"/>
      <x:c r="S125" s="59"/>
      <x:c r="T125" s="59"/>
      <x:c r="U125" s="59"/>
      <x:c r="V125" s="59"/>
      <x:c r="W125" s="59"/>
      <x:c r="X125" s="59"/>
      <x:c r="Y125" s="59"/>
      <x:c r="Z125" s="59"/>
      <x:c r="AA125" s="59"/>
      <x:c r="AB125" s="59"/>
      <x:c r="AC125" s="59"/>
      <x:c r="AD125" s="59"/>
      <x:c r="AE125" s="59"/>
      <x:c r="AF125" s="59"/>
      <x:c r="AG125" s="59"/>
      <x:c r="AH125" s="59"/>
      <x:c r="AI125" s="59"/>
      <x:c r="AJ125" s="59"/>
      <x:c r="AK125" s="59"/>
      <x:c r="AL125" s="59"/>
      <x:c r="AM125" s="59"/>
      <x:c r="AN125" s="59"/>
    </x:row>
    <x:row r="126">
      <x:c r="A126" s="59"/>
      <x:c r="B126" s="59"/>
      <x:c r="C126" s="59"/>
      <x:c r="D126" s="59"/>
      <x:c r="E126" s="59"/>
      <x:c r="F126" s="59"/>
      <x:c r="G126" s="59"/>
      <x:c r="H126" s="59"/>
      <x:c r="I126" s="59"/>
      <x:c r="J126" s="59"/>
      <x:c r="K126" s="59"/>
      <x:c r="L126" s="59"/>
      <x:c r="M126" s="59"/>
      <x:c r="N126" s="59"/>
      <x:c r="O126" s="59"/>
      <x:c r="P126" s="59"/>
      <x:c r="Q126" s="59"/>
      <x:c r="R126" s="59"/>
      <x:c r="S126" s="59"/>
      <x:c r="T126" s="59"/>
      <x:c r="U126" s="59"/>
      <x:c r="V126" s="59"/>
      <x:c r="W126" s="59"/>
      <x:c r="X126" s="59"/>
      <x:c r="Y126" s="59"/>
      <x:c r="Z126" s="59"/>
      <x:c r="AA126" s="59"/>
      <x:c r="AB126" s="59"/>
      <x:c r="AC126" s="59"/>
      <x:c r="AD126" s="59"/>
      <x:c r="AE126" s="59"/>
      <x:c r="AF126" s="59"/>
      <x:c r="AG126" s="59"/>
      <x:c r="AH126" s="59"/>
      <x:c r="AI126" s="59"/>
      <x:c r="AJ126" s="59"/>
      <x:c r="AK126" s="59"/>
      <x:c r="AL126" s="59"/>
      <x:c r="AM126" s="59"/>
      <x:c r="AN126" s="59"/>
    </x:row>
    <x:row r="127">
      <x:c r="A127" s="59"/>
      <x:c r="B127" s="59"/>
      <x:c r="C127" s="59"/>
      <x:c r="D127" s="59"/>
      <x:c r="E127" s="59"/>
      <x:c r="F127" s="59"/>
      <x:c r="G127" s="59"/>
      <x:c r="H127" s="59"/>
      <x:c r="I127" s="59"/>
      <x:c r="J127" s="59"/>
      <x:c r="K127" s="59"/>
      <x:c r="L127" s="59"/>
      <x:c r="M127" s="59"/>
      <x:c r="N127" s="59"/>
      <x:c r="O127" s="59"/>
      <x:c r="P127" s="59"/>
      <x:c r="Q127" s="59"/>
      <x:c r="R127" s="59"/>
      <x:c r="S127" s="59"/>
      <x:c r="T127" s="59"/>
      <x:c r="U127" s="59"/>
      <x:c r="V127" s="59"/>
      <x:c r="W127" s="59"/>
      <x:c r="X127" s="59"/>
      <x:c r="Y127" s="59"/>
      <x:c r="Z127" s="59"/>
      <x:c r="AA127" s="59"/>
      <x:c r="AB127" s="59"/>
      <x:c r="AC127" s="59"/>
      <x:c r="AD127" s="59"/>
      <x:c r="AE127" s="59"/>
      <x:c r="AF127" s="59"/>
      <x:c r="AG127" s="59"/>
      <x:c r="AH127" s="59"/>
      <x:c r="AI127" s="59"/>
      <x:c r="AJ127" s="59"/>
      <x:c r="AK127" s="59"/>
      <x:c r="AL127" s="59"/>
      <x:c r="AM127" s="59"/>
      <x:c r="AN127" s="59"/>
    </x:row>
    <x:row r="128">
      <x:c r="A128" s="59"/>
      <x:c r="B128" s="59"/>
      <x:c r="C128" s="59"/>
      <x:c r="D128" s="59"/>
      <x:c r="E128" s="59"/>
      <x:c r="F128" s="59"/>
      <x:c r="G128" s="59"/>
      <x:c r="H128" s="59"/>
      <x:c r="I128" s="59"/>
      <x:c r="J128" s="59"/>
      <x:c r="K128" s="59"/>
      <x:c r="L128" s="59"/>
      <x:c r="M128" s="59"/>
      <x:c r="N128" s="59"/>
      <x:c r="O128" s="59"/>
      <x:c r="P128" s="59"/>
      <x:c r="Q128" s="59"/>
      <x:c r="R128" s="59"/>
      <x:c r="S128" s="59"/>
      <x:c r="T128" s="59"/>
      <x:c r="U128" s="59"/>
      <x:c r="V128" s="59"/>
      <x:c r="W128" s="59"/>
      <x:c r="X128" s="59"/>
      <x:c r="Y128" s="59"/>
      <x:c r="Z128" s="59"/>
      <x:c r="AA128" s="59"/>
      <x:c r="AB128" s="59"/>
      <x:c r="AC128" s="59"/>
      <x:c r="AD128" s="59"/>
      <x:c r="AE128" s="59"/>
      <x:c r="AF128" s="59"/>
      <x:c r="AG128" s="59"/>
      <x:c r="AH128" s="59"/>
      <x:c r="AI128" s="59"/>
      <x:c r="AJ128" s="59"/>
      <x:c r="AK128" s="59"/>
      <x:c r="AL128" s="59"/>
      <x:c r="AM128" s="59"/>
      <x:c r="AN128" s="59"/>
    </x:row>
    <x:row r="129">
      <x:c r="A129" s="59"/>
      <x:c r="B129" s="59"/>
      <x:c r="C129" s="59"/>
      <x:c r="D129" s="59"/>
      <x:c r="E129" s="59"/>
      <x:c r="F129" s="59"/>
      <x:c r="G129" s="59"/>
      <x:c r="H129" s="59"/>
      <x:c r="I129" s="59"/>
      <x:c r="J129" s="59"/>
      <x:c r="K129" s="59"/>
      <x:c r="L129" s="59"/>
      <x:c r="M129" s="59"/>
      <x:c r="N129" s="59"/>
      <x:c r="O129" s="59"/>
      <x:c r="P129" s="59"/>
      <x:c r="Q129" s="59"/>
      <x:c r="R129" s="59"/>
      <x:c r="S129" s="59"/>
      <x:c r="T129" s="59"/>
      <x:c r="U129" s="59"/>
      <x:c r="V129" s="59"/>
      <x:c r="W129" s="59"/>
      <x:c r="X129" s="59"/>
      <x:c r="Y129" s="59"/>
      <x:c r="Z129" s="59"/>
      <x:c r="AA129" s="59"/>
      <x:c r="AB129" s="59"/>
      <x:c r="AC129" s="59"/>
      <x:c r="AD129" s="59"/>
      <x:c r="AE129" s="59"/>
      <x:c r="AF129" s="59"/>
      <x:c r="AG129" s="59"/>
      <x:c r="AH129" s="59"/>
      <x:c r="AI129" s="59"/>
      <x:c r="AJ129" s="59"/>
      <x:c r="AK129" s="59"/>
      <x:c r="AL129" s="59"/>
      <x:c r="AM129" s="59"/>
      <x:c r="AN129" s="59"/>
    </x:row>
    <x:row r="130">
      <x:c r="A130" s="59"/>
      <x:c r="B130" s="59"/>
      <x:c r="C130" s="59"/>
      <x:c r="D130" s="59"/>
      <x:c r="E130" s="59"/>
      <x:c r="F130" s="59"/>
      <x:c r="G130" s="59"/>
      <x:c r="H130" s="59"/>
      <x:c r="I130" s="59"/>
      <x:c r="J130" s="59"/>
      <x:c r="K130" s="59"/>
      <x:c r="L130" s="59"/>
      <x:c r="M130" s="59"/>
      <x:c r="N130" s="59"/>
      <x:c r="O130" s="59"/>
      <x:c r="P130" s="59"/>
      <x:c r="Q130" s="59"/>
      <x:c r="R130" s="59"/>
      <x:c r="S130" s="59"/>
      <x:c r="T130" s="59"/>
      <x:c r="U130" s="59"/>
      <x:c r="V130" s="59"/>
      <x:c r="W130" s="59"/>
      <x:c r="X130" s="59"/>
      <x:c r="Y130" s="59"/>
      <x:c r="Z130" s="59"/>
      <x:c r="AA130" s="59"/>
      <x:c r="AB130" s="59"/>
      <x:c r="AC130" s="59"/>
      <x:c r="AD130" s="59"/>
      <x:c r="AE130" s="59"/>
      <x:c r="AF130" s="59"/>
      <x:c r="AG130" s="59"/>
      <x:c r="AH130" s="59"/>
      <x:c r="AI130" s="59"/>
      <x:c r="AJ130" s="59"/>
      <x:c r="AK130" s="59"/>
      <x:c r="AL130" s="59"/>
      <x:c r="AM130" s="59"/>
      <x:c r="AN130" s="59"/>
    </x:row>
    <x:row r="131">
      <x:c r="A131" s="59"/>
      <x:c r="B131" s="59"/>
      <x:c r="C131" s="59"/>
      <x:c r="D131" s="59"/>
      <x:c r="E131" s="59"/>
      <x:c r="F131" s="59"/>
      <x:c r="G131" s="59"/>
      <x:c r="H131" s="59"/>
      <x:c r="I131" s="59"/>
      <x:c r="J131" s="59"/>
      <x:c r="K131" s="59"/>
      <x:c r="L131" s="59"/>
      <x:c r="M131" s="59"/>
      <x:c r="N131" s="59"/>
      <x:c r="O131" s="59"/>
      <x:c r="P131" s="59"/>
      <x:c r="Q131" s="59"/>
      <x:c r="R131" s="59"/>
      <x:c r="S131" s="59"/>
      <x:c r="T131" s="59"/>
      <x:c r="U131" s="59"/>
      <x:c r="V131" s="59"/>
      <x:c r="W131" s="59"/>
      <x:c r="X131" s="59"/>
      <x:c r="Y131" s="59"/>
      <x:c r="Z131" s="59"/>
      <x:c r="AA131" s="59"/>
      <x:c r="AB131" s="59"/>
      <x:c r="AC131" s="59"/>
      <x:c r="AD131" s="59"/>
      <x:c r="AE131" s="59"/>
      <x:c r="AF131" s="59"/>
      <x:c r="AG131" s="59"/>
      <x:c r="AH131" s="59"/>
      <x:c r="AI131" s="59"/>
      <x:c r="AJ131" s="59"/>
      <x:c r="AK131" s="59"/>
      <x:c r="AL131" s="59"/>
      <x:c r="AM131" s="59"/>
      <x:c r="AN131" s="59"/>
    </x:row>
    <x:row r="132">
      <x:c r="A132" s="59"/>
      <x:c r="B132" s="59"/>
      <x:c r="C132" s="59"/>
      <x:c r="D132" s="59"/>
      <x:c r="E132" s="59"/>
      <x:c r="F132" s="59"/>
      <x:c r="G132" s="59"/>
      <x:c r="H132" s="59"/>
      <x:c r="I132" s="59"/>
      <x:c r="J132" s="59"/>
      <x:c r="K132" s="59"/>
      <x:c r="L132" s="59"/>
      <x:c r="M132" s="59"/>
      <x:c r="N132" s="59"/>
      <x:c r="O132" s="59"/>
      <x:c r="P132" s="59"/>
      <x:c r="Q132" s="59"/>
      <x:c r="R132" s="59"/>
      <x:c r="S132" s="59"/>
      <x:c r="T132" s="59"/>
      <x:c r="U132" s="59"/>
      <x:c r="V132" s="59"/>
      <x:c r="W132" s="59"/>
      <x:c r="X132" s="59"/>
      <x:c r="Y132" s="59"/>
      <x:c r="Z132" s="59"/>
      <x:c r="AA132" s="59"/>
      <x:c r="AB132" s="59"/>
      <x:c r="AC132" s="59"/>
      <x:c r="AD132" s="59"/>
      <x:c r="AE132" s="59"/>
      <x:c r="AF132" s="59"/>
      <x:c r="AG132" s="59"/>
      <x:c r="AH132" s="59"/>
      <x:c r="AI132" s="59"/>
      <x:c r="AJ132" s="59"/>
      <x:c r="AK132" s="59"/>
      <x:c r="AL132" s="59"/>
      <x:c r="AM132" s="59"/>
      <x:c r="AN132" s="59"/>
    </x:row>
    <x:row r="133">
      <x:c r="A133" s="59"/>
      <x:c r="B133" s="59"/>
      <x:c r="C133" s="59"/>
      <x:c r="D133" s="59"/>
      <x:c r="E133" s="59"/>
      <x:c r="F133" s="59"/>
      <x:c r="G133" s="59"/>
      <x:c r="H133" s="59"/>
      <x:c r="I133" s="59"/>
      <x:c r="J133" s="59"/>
      <x:c r="K133" s="59"/>
      <x:c r="L133" s="59"/>
      <x:c r="M133" s="59"/>
      <x:c r="N133" s="59"/>
      <x:c r="O133" s="59"/>
      <x:c r="P133" s="59"/>
      <x:c r="Q133" s="59"/>
      <x:c r="R133" s="59"/>
      <x:c r="S133" s="59"/>
      <x:c r="T133" s="59"/>
      <x:c r="U133" s="59"/>
      <x:c r="V133" s="59"/>
      <x:c r="W133" s="59"/>
      <x:c r="X133" s="59"/>
      <x:c r="Y133" s="59"/>
      <x:c r="Z133" s="59"/>
      <x:c r="AA133" s="59"/>
      <x:c r="AB133" s="59"/>
      <x:c r="AC133" s="59"/>
      <x:c r="AD133" s="59"/>
      <x:c r="AE133" s="59"/>
      <x:c r="AF133" s="59"/>
      <x:c r="AG133" s="59"/>
      <x:c r="AH133" s="59"/>
      <x:c r="AI133" s="59"/>
      <x:c r="AJ133" s="59"/>
      <x:c r="AK133" s="59"/>
      <x:c r="AL133" s="59"/>
      <x:c r="AM133" s="59"/>
      <x:c r="AN133" s="59"/>
    </x:row>
    <x:row r="134">
      <x:c r="A134" s="59"/>
      <x:c r="B134" s="59"/>
      <x:c r="C134" s="59"/>
      <x:c r="D134" s="59"/>
      <x:c r="E134" s="59"/>
      <x:c r="F134" s="59"/>
      <x:c r="G134" s="59"/>
      <x:c r="H134" s="59"/>
      <x:c r="I134" s="59"/>
      <x:c r="J134" s="59"/>
      <x:c r="K134" s="59"/>
      <x:c r="L134" s="59"/>
      <x:c r="M134" s="59"/>
      <x:c r="N134" s="59"/>
      <x:c r="O134" s="59"/>
      <x:c r="P134" s="59"/>
      <x:c r="Q134" s="59"/>
      <x:c r="R134" s="59"/>
      <x:c r="S134" s="59"/>
      <x:c r="T134" s="59"/>
      <x:c r="U134" s="59"/>
      <x:c r="V134" s="59"/>
      <x:c r="W134" s="59"/>
      <x:c r="X134" s="59"/>
      <x:c r="Y134" s="59"/>
      <x:c r="Z134" s="59"/>
      <x:c r="AA134" s="59"/>
      <x:c r="AB134" s="59"/>
      <x:c r="AC134" s="59"/>
      <x:c r="AD134" s="59"/>
      <x:c r="AE134" s="59"/>
      <x:c r="AF134" s="59"/>
      <x:c r="AG134" s="59"/>
      <x:c r="AH134" s="59"/>
      <x:c r="AI134" s="59"/>
      <x:c r="AJ134" s="59"/>
      <x:c r="AK134" s="59"/>
      <x:c r="AL134" s="59"/>
      <x:c r="AM134" s="59"/>
      <x:c r="AN134" s="59"/>
    </x:row>
    <x:row r="135">
      <x:c r="A135" s="59"/>
      <x:c r="B135" s="59"/>
      <x:c r="C135" s="59"/>
      <x:c r="D135" s="59"/>
      <x:c r="E135" s="59"/>
      <x:c r="F135" s="59"/>
      <x:c r="G135" s="59"/>
      <x:c r="H135" s="59"/>
      <x:c r="I135" s="59"/>
      <x:c r="J135" s="59"/>
      <x:c r="K135" s="59"/>
      <x:c r="L135" s="59"/>
      <x:c r="M135" s="59"/>
      <x:c r="N135" s="59"/>
      <x:c r="O135" s="59"/>
      <x:c r="P135" s="59"/>
      <x:c r="Q135" s="59"/>
      <x:c r="R135" s="59"/>
      <x:c r="S135" s="59"/>
      <x:c r="T135" s="59"/>
      <x:c r="U135" s="59"/>
      <x:c r="V135" s="59"/>
      <x:c r="W135" s="59"/>
      <x:c r="X135" s="59"/>
      <x:c r="Y135" s="59"/>
      <x:c r="Z135" s="59"/>
      <x:c r="AA135" s="59"/>
      <x:c r="AB135" s="59"/>
      <x:c r="AC135" s="59"/>
      <x:c r="AD135" s="59"/>
      <x:c r="AE135" s="59"/>
      <x:c r="AF135" s="59"/>
      <x:c r="AG135" s="59"/>
      <x:c r="AH135" s="59"/>
      <x:c r="AI135" s="59"/>
      <x:c r="AJ135" s="59"/>
      <x:c r="AK135" s="59"/>
      <x:c r="AL135" s="59"/>
      <x:c r="AM135" s="59"/>
      <x:c r="AN135" s="59"/>
    </x:row>
    <x:row r="136">
      <x:c r="A136" s="59"/>
      <x:c r="B136" s="59"/>
      <x:c r="C136" s="59"/>
      <x:c r="D136" s="59"/>
      <x:c r="E136" s="59"/>
      <x:c r="F136" s="59"/>
      <x:c r="G136" s="59"/>
      <x:c r="H136" s="59"/>
      <x:c r="I136" s="59"/>
      <x:c r="J136" s="59"/>
      <x:c r="K136" s="59"/>
      <x:c r="L136" s="59"/>
      <x:c r="M136" s="59"/>
      <x:c r="N136" s="59"/>
      <x:c r="O136" s="59"/>
      <x:c r="P136" s="59"/>
      <x:c r="Q136" s="59"/>
      <x:c r="R136" s="59"/>
      <x:c r="S136" s="59"/>
      <x:c r="T136" s="59"/>
      <x:c r="U136" s="59"/>
      <x:c r="V136" s="59"/>
      <x:c r="W136" s="59"/>
      <x:c r="X136" s="59"/>
      <x:c r="Y136" s="59"/>
      <x:c r="Z136" s="59"/>
      <x:c r="AA136" s="59"/>
      <x:c r="AB136" s="59"/>
      <x:c r="AC136" s="59"/>
      <x:c r="AD136" s="59"/>
      <x:c r="AE136" s="59"/>
      <x:c r="AF136" s="59"/>
      <x:c r="AG136" s="59"/>
      <x:c r="AH136" s="59"/>
      <x:c r="AI136" s="59"/>
      <x:c r="AJ136" s="59"/>
      <x:c r="AK136" s="59"/>
      <x:c r="AL136" s="59"/>
      <x:c r="AM136" s="59"/>
      <x:c r="AN136" s="59"/>
    </x:row>
    <x:row r="137">
      <x:c r="A137" s="59"/>
      <x:c r="B137" s="59"/>
      <x:c r="C137" s="59"/>
      <x:c r="D137" s="59"/>
      <x:c r="E137" s="59"/>
      <x:c r="F137" s="59"/>
      <x:c r="G137" s="59"/>
      <x:c r="H137" s="59"/>
      <x:c r="I137" s="59"/>
      <x:c r="J137" s="59"/>
      <x:c r="K137" s="59"/>
      <x:c r="L137" s="59"/>
      <x:c r="M137" s="59"/>
      <x:c r="N137" s="59"/>
      <x:c r="O137" s="59"/>
      <x:c r="P137" s="59"/>
      <x:c r="Q137" s="59"/>
      <x:c r="R137" s="59"/>
      <x:c r="S137" s="59"/>
      <x:c r="T137" s="59"/>
      <x:c r="U137" s="59"/>
      <x:c r="V137" s="59"/>
      <x:c r="W137" s="59"/>
      <x:c r="X137" s="59"/>
      <x:c r="Y137" s="59"/>
      <x:c r="Z137" s="59"/>
      <x:c r="AA137" s="59"/>
      <x:c r="AB137" s="59"/>
      <x:c r="AC137" s="59"/>
      <x:c r="AD137" s="59"/>
      <x:c r="AE137" s="59"/>
      <x:c r="AF137" s="59"/>
      <x:c r="AG137" s="59"/>
      <x:c r="AH137" s="59"/>
      <x:c r="AI137" s="59"/>
      <x:c r="AJ137" s="59"/>
      <x:c r="AK137" s="59"/>
      <x:c r="AL137" s="59"/>
      <x:c r="AM137" s="59"/>
      <x:c r="AN137" s="59"/>
    </x:row>
    <x:row r="138">
      <x:c r="A138" s="59"/>
      <x:c r="B138" s="59"/>
      <x:c r="C138" s="59"/>
      <x:c r="D138" s="59"/>
      <x:c r="E138" s="59"/>
      <x:c r="F138" s="59"/>
      <x:c r="G138" s="59"/>
      <x:c r="H138" s="59"/>
      <x:c r="I138" s="59"/>
      <x:c r="J138" s="59"/>
      <x:c r="K138" s="59"/>
      <x:c r="L138" s="59"/>
      <x:c r="M138" s="59"/>
      <x:c r="N138" s="59"/>
      <x:c r="O138" s="59"/>
      <x:c r="P138" s="59"/>
      <x:c r="Q138" s="59"/>
      <x:c r="R138" s="59"/>
      <x:c r="S138" s="59"/>
      <x:c r="T138" s="59"/>
      <x:c r="U138" s="59"/>
      <x:c r="V138" s="59"/>
      <x:c r="W138" s="59"/>
      <x:c r="X138" s="59"/>
      <x:c r="Y138" s="59"/>
      <x:c r="Z138" s="59"/>
      <x:c r="AA138" s="59"/>
      <x:c r="AB138" s="59"/>
      <x:c r="AC138" s="59"/>
      <x:c r="AD138" s="59"/>
      <x:c r="AE138" s="59"/>
      <x:c r="AF138" s="59"/>
      <x:c r="AG138" s="59"/>
      <x:c r="AH138" s="59"/>
      <x:c r="AI138" s="59"/>
      <x:c r="AJ138" s="59"/>
      <x:c r="AK138" s="59"/>
      <x:c r="AL138" s="59"/>
      <x:c r="AM138" s="59"/>
      <x:c r="AN138" s="59"/>
    </x:row>
    <x:row r="139">
      <x:c r="A139" s="59"/>
      <x:c r="B139" s="59"/>
      <x:c r="C139" s="59"/>
      <x:c r="D139" s="59"/>
      <x:c r="E139" s="59"/>
      <x:c r="F139" s="59"/>
      <x:c r="G139" s="59"/>
      <x:c r="H139" s="59"/>
      <x:c r="I139" s="59"/>
      <x:c r="J139" s="59"/>
      <x:c r="K139" s="59"/>
      <x:c r="L139" s="59"/>
      <x:c r="M139" s="59"/>
      <x:c r="N139" s="59"/>
      <x:c r="O139" s="59"/>
      <x:c r="P139" s="59"/>
      <x:c r="Q139" s="59"/>
      <x:c r="R139" s="59"/>
      <x:c r="S139" s="59"/>
      <x:c r="T139" s="59"/>
      <x:c r="U139" s="59"/>
      <x:c r="V139" s="59"/>
      <x:c r="W139" s="59"/>
      <x:c r="X139" s="59"/>
      <x:c r="Y139" s="59"/>
      <x:c r="Z139" s="59"/>
      <x:c r="AA139" s="59"/>
      <x:c r="AB139" s="59"/>
      <x:c r="AC139" s="59"/>
      <x:c r="AD139" s="59"/>
      <x:c r="AE139" s="59"/>
      <x:c r="AF139" s="59"/>
      <x:c r="AG139" s="59"/>
      <x:c r="AH139" s="59"/>
      <x:c r="AI139" s="59"/>
      <x:c r="AJ139" s="59"/>
      <x:c r="AK139" s="59"/>
      <x:c r="AL139" s="59"/>
      <x:c r="AM139" s="59"/>
      <x:c r="AN139" s="59"/>
    </x:row>
    <x:row r="140">
      <x:c r="A140" s="59"/>
      <x:c r="B140" s="59"/>
      <x:c r="C140" s="59"/>
      <x:c r="D140" s="59"/>
      <x:c r="E140" s="59"/>
      <x:c r="F140" s="59"/>
      <x:c r="G140" s="59"/>
      <x:c r="H140" s="59"/>
      <x:c r="I140" s="59"/>
      <x:c r="J140" s="59"/>
      <x:c r="K140" s="59"/>
      <x:c r="L140" s="59"/>
      <x:c r="M140" s="59"/>
      <x:c r="N140" s="59"/>
      <x:c r="O140" s="59"/>
      <x:c r="P140" s="59"/>
      <x:c r="Q140" s="59"/>
      <x:c r="R140" s="59"/>
      <x:c r="S140" s="59"/>
      <x:c r="T140" s="59"/>
      <x:c r="U140" s="59"/>
      <x:c r="V140" s="59"/>
      <x:c r="W140" s="59"/>
      <x:c r="X140" s="59"/>
      <x:c r="Y140" s="59"/>
      <x:c r="Z140" s="59"/>
      <x:c r="AA140" s="59"/>
      <x:c r="AB140" s="59"/>
      <x:c r="AC140" s="59"/>
      <x:c r="AD140" s="59"/>
      <x:c r="AE140" s="59"/>
      <x:c r="AF140" s="59"/>
      <x:c r="AG140" s="59"/>
      <x:c r="AH140" s="59"/>
      <x:c r="AI140" s="59"/>
      <x:c r="AJ140" s="59"/>
      <x:c r="AK140" s="59"/>
      <x:c r="AL140" s="59"/>
      <x:c r="AM140" s="59"/>
      <x:c r="AN140" s="59"/>
    </x:row>
    <x:row r="141">
      <x:c r="A141" s="59"/>
      <x:c r="B141" s="59"/>
      <x:c r="C141" s="59"/>
      <x:c r="D141" s="59"/>
      <x:c r="E141" s="59"/>
      <x:c r="F141" s="59"/>
      <x:c r="G141" s="59"/>
      <x:c r="H141" s="59"/>
      <x:c r="I141" s="59"/>
      <x:c r="J141" s="59"/>
      <x:c r="K141" s="59"/>
      <x:c r="L141" s="59"/>
      <x:c r="M141" s="59"/>
      <x:c r="N141" s="59"/>
      <x:c r="O141" s="59"/>
      <x:c r="P141" s="59"/>
      <x:c r="Q141" s="59"/>
      <x:c r="R141" s="59"/>
      <x:c r="S141" s="59"/>
      <x:c r="T141" s="59"/>
      <x:c r="U141" s="59"/>
      <x:c r="V141" s="59"/>
      <x:c r="W141" s="59"/>
      <x:c r="X141" s="59"/>
      <x:c r="Y141" s="59"/>
      <x:c r="Z141" s="59"/>
      <x:c r="AA141" s="59"/>
      <x:c r="AB141" s="59"/>
      <x:c r="AC141" s="59"/>
      <x:c r="AD141" s="59"/>
      <x:c r="AE141" s="59"/>
      <x:c r="AF141" s="59"/>
      <x:c r="AG141" s="59"/>
      <x:c r="AH141" s="59"/>
      <x:c r="AI141" s="59"/>
      <x:c r="AJ141" s="59"/>
      <x:c r="AK141" s="59"/>
      <x:c r="AL141" s="59"/>
      <x:c r="AM141" s="59"/>
      <x:c r="AN141" s="59"/>
    </x:row>
    <x:row r="142">
      <x:c r="A142" s="59"/>
      <x:c r="B142" s="59"/>
      <x:c r="C142" s="59"/>
      <x:c r="D142" s="59"/>
      <x:c r="E142" s="59"/>
      <x:c r="F142" s="59"/>
      <x:c r="G142" s="59"/>
      <x:c r="H142" s="59"/>
      <x:c r="I142" s="59"/>
      <x:c r="J142" s="59"/>
      <x:c r="K142" s="59"/>
      <x:c r="L142" s="59"/>
      <x:c r="M142" s="59"/>
      <x:c r="N142" s="59"/>
      <x:c r="O142" s="59"/>
      <x:c r="P142" s="59"/>
      <x:c r="Q142" s="59"/>
      <x:c r="R142" s="59"/>
      <x:c r="S142" s="59"/>
      <x:c r="T142" s="59"/>
      <x:c r="U142" s="59"/>
      <x:c r="V142" s="59"/>
      <x:c r="W142" s="59"/>
      <x:c r="X142" s="59"/>
      <x:c r="Y142" s="59"/>
      <x:c r="Z142" s="59"/>
      <x:c r="AA142" s="59"/>
      <x:c r="AB142" s="59"/>
      <x:c r="AC142" s="59"/>
      <x:c r="AD142" s="59"/>
      <x:c r="AE142" s="59"/>
      <x:c r="AF142" s="59"/>
      <x:c r="AG142" s="59"/>
      <x:c r="AH142" s="59"/>
      <x:c r="AI142" s="59"/>
      <x:c r="AJ142" s="59"/>
      <x:c r="AK142" s="59"/>
      <x:c r="AL142" s="59"/>
      <x:c r="AM142" s="59"/>
      <x:c r="AN142" s="59"/>
    </x:row>
    <x:row r="143">
      <x:c r="A143" s="59"/>
      <x:c r="B143" s="59"/>
      <x:c r="C143" s="59"/>
      <x:c r="D143" s="59"/>
      <x:c r="E143" s="59"/>
      <x:c r="F143" s="59"/>
      <x:c r="G143" s="59"/>
      <x:c r="H143" s="59"/>
      <x:c r="I143" s="59"/>
      <x:c r="J143" s="59"/>
      <x:c r="K143" s="59"/>
      <x:c r="L143" s="59"/>
      <x:c r="M143" s="59"/>
      <x:c r="N143" s="59"/>
      <x:c r="O143" s="59"/>
      <x:c r="P143" s="59"/>
      <x:c r="Q143" s="59"/>
      <x:c r="R143" s="59"/>
      <x:c r="S143" s="59"/>
      <x:c r="T143" s="59"/>
      <x:c r="U143" s="59"/>
      <x:c r="V143" s="59"/>
      <x:c r="W143" s="59"/>
      <x:c r="X143" s="59"/>
      <x:c r="Y143" s="59"/>
      <x:c r="Z143" s="59"/>
      <x:c r="AA143" s="59"/>
      <x:c r="AB143" s="59"/>
      <x:c r="AC143" s="59"/>
      <x:c r="AD143" s="59"/>
      <x:c r="AE143" s="59"/>
      <x:c r="AF143" s="59"/>
      <x:c r="AG143" s="59"/>
      <x:c r="AH143" s="59"/>
      <x:c r="AI143" s="59"/>
      <x:c r="AJ143" s="59"/>
      <x:c r="AK143" s="59"/>
      <x:c r="AL143" s="59"/>
      <x:c r="AM143" s="59"/>
      <x:c r="AN143" s="59"/>
    </x:row>
    <x:row r="144">
      <x:c r="A144" s="59"/>
      <x:c r="B144" s="59"/>
      <x:c r="C144" s="59"/>
      <x:c r="D144" s="59"/>
      <x:c r="E144" s="59"/>
      <x:c r="F144" s="59"/>
      <x:c r="G144" s="59"/>
      <x:c r="H144" s="59"/>
      <x:c r="I144" s="59"/>
      <x:c r="J144" s="59"/>
      <x:c r="K144" s="59"/>
      <x:c r="L144" s="59"/>
      <x:c r="M144" s="59"/>
      <x:c r="N144" s="59"/>
      <x:c r="O144" s="59"/>
      <x:c r="P144" s="59"/>
      <x:c r="Q144" s="59"/>
      <x:c r="R144" s="59"/>
      <x:c r="S144" s="59"/>
      <x:c r="T144" s="59"/>
      <x:c r="U144" s="59"/>
      <x:c r="V144" s="59"/>
      <x:c r="W144" s="59"/>
      <x:c r="X144" s="59"/>
      <x:c r="Y144" s="59"/>
      <x:c r="Z144" s="59"/>
      <x:c r="AA144" s="59"/>
      <x:c r="AB144" s="59"/>
      <x:c r="AC144" s="59"/>
      <x:c r="AD144" s="59"/>
      <x:c r="AE144" s="59"/>
      <x:c r="AF144" s="59"/>
      <x:c r="AG144" s="59"/>
      <x:c r="AH144" s="59"/>
      <x:c r="AI144" s="59"/>
      <x:c r="AJ144" s="59"/>
      <x:c r="AK144" s="59"/>
      <x:c r="AL144" s="59"/>
      <x:c r="AM144" s="59"/>
      <x:c r="AN144" s="59"/>
    </x:row>
    <x:row r="145">
      <x:c r="A145" s="59"/>
      <x:c r="B145" s="59"/>
      <x:c r="C145" s="59"/>
      <x:c r="D145" s="59"/>
      <x:c r="E145" s="59"/>
      <x:c r="F145" s="59"/>
      <x:c r="G145" s="59"/>
      <x:c r="H145" s="59"/>
      <x:c r="I145" s="59"/>
      <x:c r="J145" s="59"/>
      <x:c r="K145" s="59"/>
      <x:c r="L145" s="59"/>
      <x:c r="M145" s="59"/>
      <x:c r="N145" s="59"/>
      <x:c r="O145" s="59"/>
      <x:c r="P145" s="59"/>
      <x:c r="Q145" s="59"/>
      <x:c r="R145" s="59"/>
      <x:c r="S145" s="59"/>
      <x:c r="T145" s="59"/>
      <x:c r="U145" s="59"/>
      <x:c r="V145" s="59"/>
      <x:c r="W145" s="59"/>
      <x:c r="X145" s="59"/>
      <x:c r="Y145" s="59"/>
      <x:c r="Z145" s="59"/>
      <x:c r="AA145" s="59"/>
      <x:c r="AB145" s="59"/>
      <x:c r="AC145" s="59"/>
      <x:c r="AD145" s="59"/>
      <x:c r="AE145" s="59"/>
      <x:c r="AF145" s="59"/>
      <x:c r="AG145" s="59"/>
      <x:c r="AH145" s="59"/>
      <x:c r="AI145" s="59"/>
      <x:c r="AJ145" s="59"/>
      <x:c r="AK145" s="59"/>
      <x:c r="AL145" s="59"/>
      <x:c r="AM145" s="59"/>
      <x:c r="AN145" s="59"/>
    </x:row>
    <x:row r="146">
      <x:c r="A146" s="59"/>
      <x:c r="B146" s="59"/>
      <x:c r="C146" s="59"/>
      <x:c r="D146" s="59"/>
      <x:c r="E146" s="59"/>
      <x:c r="F146" s="59"/>
      <x:c r="G146" s="59"/>
      <x:c r="H146" s="59"/>
      <x:c r="I146" s="59"/>
      <x:c r="J146" s="59"/>
      <x:c r="K146" s="59"/>
      <x:c r="L146" s="59"/>
      <x:c r="M146" s="59"/>
      <x:c r="N146" s="59"/>
      <x:c r="O146" s="59"/>
      <x:c r="P146" s="59"/>
      <x:c r="Q146" s="59"/>
      <x:c r="R146" s="59"/>
      <x:c r="S146" s="59"/>
      <x:c r="T146" s="59"/>
      <x:c r="U146" s="59"/>
      <x:c r="V146" s="59"/>
      <x:c r="W146" s="59"/>
      <x:c r="X146" s="59"/>
      <x:c r="Y146" s="59"/>
      <x:c r="Z146" s="59"/>
      <x:c r="AA146" s="59"/>
      <x:c r="AB146" s="59"/>
      <x:c r="AC146" s="59"/>
      <x:c r="AD146" s="59"/>
      <x:c r="AE146" s="59"/>
      <x:c r="AF146" s="59"/>
      <x:c r="AG146" s="59"/>
      <x:c r="AH146" s="59"/>
      <x:c r="AI146" s="59"/>
      <x:c r="AJ146" s="59"/>
      <x:c r="AK146" s="59"/>
      <x:c r="AL146" s="59"/>
      <x:c r="AM146" s="59"/>
      <x:c r="AN146" s="59"/>
    </x:row>
    <x:row r="147">
      <x:c r="A147" s="59"/>
      <x:c r="B147" s="59"/>
      <x:c r="C147" s="59"/>
      <x:c r="D147" s="59"/>
      <x:c r="E147" s="59"/>
      <x:c r="F147" s="59"/>
      <x:c r="G147" s="59"/>
      <x:c r="H147" s="59"/>
      <x:c r="I147" s="59"/>
      <x:c r="J147" s="59"/>
      <x:c r="K147" s="59"/>
      <x:c r="L147" s="59"/>
      <x:c r="M147" s="59"/>
      <x:c r="N147" s="59"/>
      <x:c r="O147" s="59"/>
      <x:c r="P147" s="59"/>
      <x:c r="Q147" s="59"/>
      <x:c r="R147" s="59"/>
      <x:c r="S147" s="59"/>
      <x:c r="T147" s="59"/>
      <x:c r="U147" s="59"/>
      <x:c r="V147" s="59"/>
      <x:c r="W147" s="59"/>
      <x:c r="X147" s="59"/>
      <x:c r="Y147" s="59"/>
      <x:c r="Z147" s="59"/>
      <x:c r="AA147" s="59"/>
      <x:c r="AB147" s="59"/>
      <x:c r="AC147" s="59"/>
      <x:c r="AD147" s="59"/>
      <x:c r="AE147" s="59"/>
      <x:c r="AF147" s="59"/>
      <x:c r="AG147" s="59"/>
      <x:c r="AH147" s="59"/>
      <x:c r="AI147" s="59"/>
      <x:c r="AJ147" s="59"/>
      <x:c r="AK147" s="59"/>
      <x:c r="AL147" s="59"/>
      <x:c r="AM147" s="59"/>
      <x:c r="AN147" s="59"/>
    </x:row>
    <x:row r="148">
      <x:c r="A148" s="59"/>
      <x:c r="B148" s="59"/>
      <x:c r="C148" s="59"/>
      <x:c r="D148" s="59"/>
      <x:c r="E148" s="59"/>
      <x:c r="F148" s="59"/>
      <x:c r="G148" s="59"/>
      <x:c r="H148" s="59"/>
      <x:c r="I148" s="59"/>
      <x:c r="J148" s="59"/>
      <x:c r="K148" s="59"/>
      <x:c r="L148" s="59"/>
      <x:c r="M148" s="59"/>
      <x:c r="N148" s="59"/>
      <x:c r="O148" s="59"/>
      <x:c r="P148" s="59"/>
      <x:c r="Q148" s="59"/>
      <x:c r="R148" s="59"/>
      <x:c r="S148" s="59"/>
      <x:c r="T148" s="59"/>
      <x:c r="U148" s="59"/>
      <x:c r="V148" s="59"/>
      <x:c r="W148" s="59"/>
      <x:c r="X148" s="59"/>
      <x:c r="Y148" s="59"/>
      <x:c r="Z148" s="59"/>
      <x:c r="AA148" s="59"/>
      <x:c r="AB148" s="59"/>
      <x:c r="AC148" s="59"/>
      <x:c r="AD148" s="59"/>
      <x:c r="AE148" s="59"/>
      <x:c r="AF148" s="59"/>
      <x:c r="AG148" s="59"/>
      <x:c r="AH148" s="59"/>
      <x:c r="AI148" s="59"/>
      <x:c r="AJ148" s="59"/>
      <x:c r="AK148" s="59"/>
      <x:c r="AL148" s="59"/>
      <x:c r="AM148" s="59"/>
      <x:c r="AN148" s="59"/>
    </x:row>
    <x:row r="149">
      <x:c r="A149" s="59"/>
      <x:c r="B149" s="59"/>
      <x:c r="C149" s="59"/>
      <x:c r="D149" s="59"/>
      <x:c r="E149" s="59"/>
      <x:c r="F149" s="59"/>
      <x:c r="G149" s="59"/>
      <x:c r="H149" s="59"/>
      <x:c r="I149" s="59"/>
      <x:c r="J149" s="59"/>
      <x:c r="K149" s="59"/>
      <x:c r="L149" s="59"/>
      <x:c r="M149" s="59"/>
      <x:c r="N149" s="59"/>
      <x:c r="O149" s="59"/>
      <x:c r="P149" s="59"/>
      <x:c r="Q149" s="59"/>
      <x:c r="R149" s="59"/>
      <x:c r="S149" s="59"/>
      <x:c r="T149" s="59"/>
      <x:c r="U149" s="59"/>
      <x:c r="V149" s="59"/>
      <x:c r="W149" s="59"/>
      <x:c r="X149" s="59"/>
      <x:c r="Y149" s="59"/>
      <x:c r="Z149" s="59"/>
      <x:c r="AA149" s="59"/>
      <x:c r="AB149" s="59"/>
      <x:c r="AC149" s="59"/>
      <x:c r="AD149" s="59"/>
      <x:c r="AE149" s="59"/>
      <x:c r="AF149" s="59"/>
      <x:c r="AG149" s="59"/>
      <x:c r="AH149" s="59"/>
      <x:c r="AI149" s="59"/>
      <x:c r="AJ149" s="59"/>
      <x:c r="AK149" s="59"/>
      <x:c r="AL149" s="59"/>
      <x:c r="AM149" s="59"/>
      <x:c r="AN149" s="59"/>
    </x:row>
    <x:row r="150">
      <x:c r="A150" s="59"/>
      <x:c r="B150" s="59"/>
      <x:c r="C150" s="59"/>
      <x:c r="D150" s="59"/>
      <x:c r="E150" s="59"/>
      <x:c r="F150" s="59"/>
      <x:c r="G150" s="59"/>
      <x:c r="H150" s="59"/>
      <x:c r="I150" s="59"/>
      <x:c r="J150" s="59"/>
      <x:c r="K150" s="59"/>
      <x:c r="L150" s="59"/>
      <x:c r="M150" s="59"/>
      <x:c r="N150" s="59"/>
      <x:c r="O150" s="59"/>
      <x:c r="P150" s="59"/>
      <x:c r="Q150" s="59"/>
      <x:c r="R150" s="59"/>
      <x:c r="S150" s="59"/>
      <x:c r="T150" s="59"/>
      <x:c r="U150" s="59"/>
      <x:c r="V150" s="59"/>
      <x:c r="W150" s="59"/>
      <x:c r="X150" s="59"/>
      <x:c r="Y150" s="59"/>
      <x:c r="Z150" s="59"/>
      <x:c r="AA150" s="59"/>
      <x:c r="AB150" s="59"/>
      <x:c r="AC150" s="59"/>
      <x:c r="AD150" s="59"/>
      <x:c r="AE150" s="59"/>
      <x:c r="AF150" s="59"/>
      <x:c r="AG150" s="59"/>
      <x:c r="AH150" s="59"/>
      <x:c r="AI150" s="59"/>
      <x:c r="AJ150" s="59"/>
      <x:c r="AK150" s="59"/>
      <x:c r="AL150" s="59"/>
      <x:c r="AM150" s="59"/>
      <x:c r="AN150" s="59"/>
    </x:row>
    <x:row r="151">
      <x:c r="A151" s="59"/>
      <x:c r="B151" s="59"/>
      <x:c r="C151" s="59"/>
      <x:c r="D151" s="59"/>
      <x:c r="E151" s="59"/>
      <x:c r="F151" s="59"/>
      <x:c r="G151" s="59"/>
      <x:c r="H151" s="59"/>
      <x:c r="I151" s="59"/>
      <x:c r="J151" s="59"/>
      <x:c r="K151" s="59"/>
      <x:c r="L151" s="59"/>
      <x:c r="M151" s="59"/>
      <x:c r="N151" s="59"/>
      <x:c r="O151" s="59"/>
      <x:c r="P151" s="59"/>
      <x:c r="Q151" s="59"/>
      <x:c r="R151" s="59"/>
      <x:c r="S151" s="59"/>
      <x:c r="T151" s="59"/>
      <x:c r="U151" s="59"/>
      <x:c r="V151" s="59"/>
      <x:c r="W151" s="59"/>
      <x:c r="X151" s="59"/>
      <x:c r="Y151" s="59"/>
      <x:c r="Z151" s="59"/>
      <x:c r="AA151" s="59"/>
      <x:c r="AB151" s="59"/>
      <x:c r="AC151" s="59"/>
      <x:c r="AD151" s="59"/>
      <x:c r="AE151" s="59"/>
      <x:c r="AF151" s="59"/>
      <x:c r="AG151" s="59"/>
      <x:c r="AH151" s="59"/>
      <x:c r="AI151" s="59"/>
      <x:c r="AJ151" s="59"/>
      <x:c r="AK151" s="59"/>
      <x:c r="AL151" s="59"/>
      <x:c r="AM151" s="59"/>
      <x:c r="AN151" s="59"/>
    </x:row>
    <x:row r="152">
      <x:c r="A152" s="59"/>
      <x:c r="B152" s="59"/>
      <x:c r="C152" s="59"/>
      <x:c r="D152" s="59"/>
      <x:c r="E152" s="59"/>
      <x:c r="F152" s="59"/>
      <x:c r="G152" s="59"/>
      <x:c r="H152" s="59"/>
      <x:c r="I152" s="59"/>
      <x:c r="J152" s="59"/>
      <x:c r="K152" s="59"/>
      <x:c r="L152" s="59"/>
      <x:c r="M152" s="59"/>
      <x:c r="N152" s="59"/>
      <x:c r="O152" s="59"/>
      <x:c r="P152" s="59"/>
      <x:c r="Q152" s="59"/>
      <x:c r="R152" s="59"/>
      <x:c r="S152" s="59"/>
      <x:c r="T152" s="59"/>
      <x:c r="U152" s="59"/>
      <x:c r="V152" s="59"/>
      <x:c r="W152" s="59"/>
      <x:c r="X152" s="59"/>
      <x:c r="Y152" s="59"/>
      <x:c r="Z152" s="59"/>
      <x:c r="AA152" s="59"/>
      <x:c r="AB152" s="59"/>
      <x:c r="AC152" s="59"/>
      <x:c r="AD152" s="59"/>
      <x:c r="AE152" s="59"/>
      <x:c r="AF152" s="59"/>
      <x:c r="AG152" s="59"/>
      <x:c r="AH152" s="59"/>
      <x:c r="AI152" s="59"/>
      <x:c r="AJ152" s="59"/>
      <x:c r="AK152" s="59"/>
      <x:c r="AL152" s="59"/>
      <x:c r="AM152" s="59"/>
      <x:c r="AN152" s="59"/>
    </x:row>
    <x:row r="153">
      <x:c r="A153" s="59"/>
      <x:c r="B153" s="59"/>
      <x:c r="C153" s="59"/>
      <x:c r="D153" s="59"/>
      <x:c r="E153" s="59"/>
      <x:c r="F153" s="59"/>
      <x:c r="G153" s="59"/>
      <x:c r="H153" s="59"/>
      <x:c r="I153" s="59"/>
      <x:c r="J153" s="59"/>
      <x:c r="K153" s="59"/>
      <x:c r="L153" s="59"/>
      <x:c r="M153" s="59"/>
      <x:c r="N153" s="59"/>
      <x:c r="O153" s="59"/>
      <x:c r="P153" s="59"/>
      <x:c r="Q153" s="59"/>
      <x:c r="R153" s="59"/>
      <x:c r="S153" s="59"/>
      <x:c r="T153" s="59"/>
      <x:c r="U153" s="59"/>
      <x:c r="V153" s="59"/>
      <x:c r="W153" s="59"/>
      <x:c r="X153" s="59"/>
      <x:c r="Y153" s="59"/>
      <x:c r="Z153" s="59"/>
      <x:c r="AA153" s="59"/>
      <x:c r="AB153" s="59"/>
      <x:c r="AC153" s="59"/>
      <x:c r="AD153" s="59"/>
      <x:c r="AE153" s="59"/>
      <x:c r="AF153" s="59"/>
      <x:c r="AG153" s="59"/>
      <x:c r="AH153" s="59"/>
      <x:c r="AI153" s="59"/>
      <x:c r="AJ153" s="59"/>
      <x:c r="AK153" s="59"/>
      <x:c r="AL153" s="59"/>
      <x:c r="AM153" s="59"/>
      <x:c r="AN153" s="59"/>
    </x:row>
    <x:row r="154">
      <x:c r="A154" s="59"/>
      <x:c r="B154" s="59"/>
      <x:c r="C154" s="59"/>
      <x:c r="D154" s="59"/>
      <x:c r="E154" s="59"/>
      <x:c r="F154" s="59"/>
      <x:c r="G154" s="59"/>
      <x:c r="H154" s="59"/>
      <x:c r="I154" s="59"/>
      <x:c r="J154" s="59"/>
      <x:c r="K154" s="59"/>
      <x:c r="L154" s="59"/>
      <x:c r="M154" s="59"/>
      <x:c r="N154" s="59"/>
      <x:c r="O154" s="59"/>
      <x:c r="P154" s="59"/>
      <x:c r="Q154" s="59"/>
      <x:c r="R154" s="59"/>
      <x:c r="S154" s="59"/>
      <x:c r="T154" s="59"/>
      <x:c r="U154" s="59"/>
      <x:c r="V154" s="59"/>
      <x:c r="W154" s="59"/>
      <x:c r="X154" s="59"/>
      <x:c r="Y154" s="59"/>
      <x:c r="Z154" s="59"/>
      <x:c r="AA154" s="59"/>
      <x:c r="AB154" s="59"/>
      <x:c r="AC154" s="59"/>
      <x:c r="AD154" s="59"/>
      <x:c r="AE154" s="59"/>
      <x:c r="AF154" s="59"/>
      <x:c r="AG154" s="59"/>
      <x:c r="AH154" s="59"/>
      <x:c r="AI154" s="59"/>
      <x:c r="AJ154" s="59"/>
      <x:c r="AK154" s="59"/>
      <x:c r="AL154" s="59"/>
      <x:c r="AM154" s="59"/>
      <x:c r="AN154" s="59"/>
    </x:row>
    <x:row r="155">
      <x:c r="A155" s="59"/>
      <x:c r="B155" s="59"/>
      <x:c r="C155" s="59"/>
      <x:c r="D155" s="59"/>
      <x:c r="E155" s="59"/>
      <x:c r="F155" s="59"/>
      <x:c r="G155" s="59"/>
      <x:c r="H155" s="59"/>
      <x:c r="I155" s="59"/>
      <x:c r="J155" s="59"/>
      <x:c r="K155" s="59"/>
      <x:c r="L155" s="59"/>
      <x:c r="M155" s="59"/>
      <x:c r="N155" s="59"/>
      <x:c r="O155" s="59"/>
      <x:c r="P155" s="59"/>
      <x:c r="Q155" s="59"/>
      <x:c r="R155" s="59"/>
      <x:c r="S155" s="59"/>
      <x:c r="T155" s="59"/>
      <x:c r="U155" s="59"/>
      <x:c r="V155" s="59"/>
      <x:c r="W155" s="59"/>
      <x:c r="X155" s="59"/>
      <x:c r="Y155" s="59"/>
      <x:c r="Z155" s="59"/>
      <x:c r="AA155" s="59"/>
      <x:c r="AB155" s="59"/>
      <x:c r="AC155" s="59"/>
      <x:c r="AD155" s="59"/>
      <x:c r="AE155" s="59"/>
      <x:c r="AF155" s="59"/>
      <x:c r="AG155" s="59"/>
      <x:c r="AH155" s="59"/>
      <x:c r="AI155" s="59"/>
      <x:c r="AJ155" s="59"/>
      <x:c r="AK155" s="59"/>
      <x:c r="AL155" s="59"/>
      <x:c r="AM155" s="59"/>
      <x:c r="AN155" s="59"/>
    </x:row>
    <x:row r="156">
      <x:c r="A156" s="59"/>
      <x:c r="B156" s="59"/>
      <x:c r="C156" s="59"/>
      <x:c r="D156" s="59"/>
      <x:c r="E156" s="59"/>
      <x:c r="F156" s="59"/>
      <x:c r="G156" s="59"/>
      <x:c r="H156" s="59"/>
      <x:c r="I156" s="59"/>
      <x:c r="J156" s="59"/>
      <x:c r="K156" s="59"/>
      <x:c r="L156" s="59"/>
      <x:c r="M156" s="59"/>
      <x:c r="N156" s="59"/>
      <x:c r="O156" s="59"/>
      <x:c r="P156" s="59"/>
      <x:c r="Q156" s="59"/>
      <x:c r="R156" s="59"/>
      <x:c r="S156" s="59"/>
      <x:c r="T156" s="59"/>
      <x:c r="U156" s="59"/>
      <x:c r="V156" s="59"/>
      <x:c r="W156" s="59"/>
      <x:c r="X156" s="59"/>
      <x:c r="Y156" s="59"/>
      <x:c r="Z156" s="59"/>
      <x:c r="AA156" s="59"/>
      <x:c r="AB156" s="59"/>
      <x:c r="AC156" s="59"/>
      <x:c r="AD156" s="59"/>
      <x:c r="AE156" s="59"/>
      <x:c r="AF156" s="59"/>
      <x:c r="AG156" s="59"/>
      <x:c r="AH156" s="59"/>
      <x:c r="AI156" s="59"/>
      <x:c r="AJ156" s="59"/>
      <x:c r="AK156" s="59"/>
      <x:c r="AL156" s="59"/>
      <x:c r="AM156" s="59"/>
      <x:c r="AN156" s="59"/>
    </x:row>
    <x:row r="157">
      <x:c r="A157" s="59"/>
      <x:c r="B157" s="59"/>
      <x:c r="C157" s="59"/>
      <x:c r="D157" s="59"/>
      <x:c r="E157" s="59"/>
      <x:c r="F157" s="59"/>
      <x:c r="G157" s="59"/>
      <x:c r="H157" s="59"/>
      <x:c r="I157" s="59"/>
      <x:c r="J157" s="59"/>
      <x:c r="K157" s="59"/>
      <x:c r="L157" s="59"/>
      <x:c r="M157" s="59"/>
      <x:c r="N157" s="59"/>
      <x:c r="O157" s="59"/>
      <x:c r="P157" s="59"/>
      <x:c r="Q157" s="59"/>
      <x:c r="R157" s="59"/>
      <x:c r="S157" s="59"/>
      <x:c r="T157" s="59"/>
      <x:c r="U157" s="59"/>
      <x:c r="V157" s="59"/>
      <x:c r="W157" s="59"/>
      <x:c r="X157" s="59"/>
      <x:c r="Y157" s="59"/>
      <x:c r="Z157" s="59"/>
      <x:c r="AA157" s="59"/>
      <x:c r="AB157" s="59"/>
      <x:c r="AC157" s="59"/>
      <x:c r="AD157" s="59"/>
      <x:c r="AE157" s="59"/>
      <x:c r="AF157" s="59"/>
      <x:c r="AG157" s="59"/>
      <x:c r="AH157" s="59"/>
      <x:c r="AI157" s="59"/>
      <x:c r="AJ157" s="59"/>
      <x:c r="AK157" s="59"/>
      <x:c r="AL157" s="59"/>
      <x:c r="AM157" s="59"/>
      <x:c r="AN157" s="59"/>
    </x:row>
    <x:row r="158">
      <x:c r="A158" s="59"/>
      <x:c r="B158" s="59"/>
      <x:c r="C158" s="59"/>
      <x:c r="D158" s="59"/>
      <x:c r="E158" s="59"/>
      <x:c r="F158" s="59"/>
      <x:c r="G158" s="59"/>
      <x:c r="H158" s="59"/>
      <x:c r="I158" s="59"/>
      <x:c r="J158" s="59"/>
      <x:c r="K158" s="59"/>
      <x:c r="L158" s="59"/>
      <x:c r="M158" s="59"/>
      <x:c r="N158" s="59"/>
      <x:c r="O158" s="59"/>
      <x:c r="P158" s="59"/>
      <x:c r="Q158" s="59"/>
      <x:c r="R158" s="59"/>
      <x:c r="S158" s="59"/>
      <x:c r="T158" s="59"/>
      <x:c r="U158" s="59"/>
      <x:c r="V158" s="59"/>
      <x:c r="W158" s="59"/>
      <x:c r="X158" s="59"/>
      <x:c r="Y158" s="59"/>
      <x:c r="Z158" s="59"/>
      <x:c r="AA158" s="59"/>
      <x:c r="AB158" s="59"/>
      <x:c r="AC158" s="59"/>
      <x:c r="AD158" s="59"/>
      <x:c r="AE158" s="59"/>
      <x:c r="AF158" s="59"/>
      <x:c r="AG158" s="59"/>
      <x:c r="AH158" s="59"/>
      <x:c r="AI158" s="59"/>
      <x:c r="AJ158" s="59"/>
      <x:c r="AK158" s="59"/>
      <x:c r="AL158" s="59"/>
      <x:c r="AM158" s="59"/>
      <x:c r="AN158" s="59"/>
    </x:row>
    <x:row r="159">
      <x:c r="A159" s="59"/>
      <x:c r="B159" s="59"/>
      <x:c r="C159" s="59"/>
      <x:c r="D159" s="59"/>
      <x:c r="E159" s="59"/>
      <x:c r="F159" s="59"/>
      <x:c r="G159" s="59"/>
      <x:c r="H159" s="59"/>
      <x:c r="I159" s="59"/>
      <x:c r="J159" s="59"/>
      <x:c r="K159" s="59"/>
      <x:c r="L159" s="59"/>
      <x:c r="M159" s="59"/>
      <x:c r="N159" s="59"/>
      <x:c r="O159" s="59"/>
      <x:c r="P159" s="59"/>
      <x:c r="Q159" s="59"/>
      <x:c r="R159" s="59"/>
      <x:c r="S159" s="59"/>
      <x:c r="T159" s="59"/>
      <x:c r="U159" s="59"/>
      <x:c r="V159" s="59"/>
      <x:c r="W159" s="59"/>
      <x:c r="X159" s="59"/>
      <x:c r="Y159" s="59"/>
      <x:c r="Z159" s="59"/>
      <x:c r="AA159" s="59"/>
      <x:c r="AB159" s="59"/>
      <x:c r="AC159" s="59"/>
      <x:c r="AD159" s="59"/>
      <x:c r="AE159" s="59"/>
      <x:c r="AF159" s="59"/>
      <x:c r="AG159" s="59"/>
      <x:c r="AH159" s="59"/>
      <x:c r="AI159" s="59"/>
      <x:c r="AJ159" s="59"/>
      <x:c r="AK159" s="59"/>
      <x:c r="AL159" s="59"/>
      <x:c r="AM159" s="59"/>
      <x:c r="AN159" s="59"/>
    </x:row>
    <x:row r="160">
      <x:c r="A160" s="59"/>
      <x:c r="B160" s="59"/>
      <x:c r="C160" s="59"/>
      <x:c r="D160" s="59"/>
      <x:c r="E160" s="59"/>
      <x:c r="F160" s="59"/>
      <x:c r="G160" s="59"/>
      <x:c r="H160" s="59"/>
      <x:c r="I160" s="59"/>
      <x:c r="J160" s="59"/>
      <x:c r="K160" s="59"/>
      <x:c r="L160" s="59"/>
      <x:c r="M160" s="59"/>
      <x:c r="N160" s="59"/>
      <x:c r="O160" s="59"/>
      <x:c r="P160" s="59"/>
      <x:c r="Q160" s="59"/>
      <x:c r="R160" s="59"/>
      <x:c r="S160" s="59"/>
      <x:c r="T160" s="59"/>
      <x:c r="U160" s="59"/>
      <x:c r="V160" s="59"/>
      <x:c r="W160" s="59"/>
      <x:c r="X160" s="59"/>
      <x:c r="Y160" s="59"/>
      <x:c r="Z160" s="59"/>
      <x:c r="AA160" s="59"/>
      <x:c r="AB160" s="59"/>
      <x:c r="AC160" s="59"/>
      <x:c r="AD160" s="59"/>
      <x:c r="AE160" s="59"/>
      <x:c r="AF160" s="59"/>
      <x:c r="AG160" s="59"/>
      <x:c r="AH160" s="59"/>
      <x:c r="AI160" s="59"/>
      <x:c r="AJ160" s="59"/>
      <x:c r="AK160" s="59"/>
      <x:c r="AL160" s="59"/>
      <x:c r="AM160" s="59"/>
      <x:c r="AN160" s="59"/>
    </x:row>
    <x:row r="161">
      <x:c r="A161" s="59"/>
      <x:c r="B161" s="59"/>
      <x:c r="C161" s="59"/>
      <x:c r="D161" s="59"/>
      <x:c r="E161" s="59"/>
      <x:c r="F161" s="59"/>
      <x:c r="G161" s="59"/>
      <x:c r="H161" s="59"/>
      <x:c r="I161" s="59"/>
      <x:c r="J161" s="59"/>
      <x:c r="K161" s="59"/>
      <x:c r="L161" s="59"/>
      <x:c r="M161" s="59"/>
      <x:c r="N161" s="59"/>
      <x:c r="O161" s="59"/>
      <x:c r="P161" s="59"/>
      <x:c r="Q161" s="59"/>
      <x:c r="R161" s="59"/>
      <x:c r="S161" s="59"/>
      <x:c r="T161" s="59"/>
      <x:c r="U161" s="59"/>
      <x:c r="V161" s="59"/>
      <x:c r="W161" s="59"/>
      <x:c r="X161" s="59"/>
      <x:c r="Y161" s="59"/>
      <x:c r="Z161" s="59"/>
      <x:c r="AA161" s="59"/>
      <x:c r="AB161" s="59"/>
      <x:c r="AC161" s="59"/>
      <x:c r="AD161" s="59"/>
      <x:c r="AE161" s="59"/>
      <x:c r="AF161" s="59"/>
      <x:c r="AG161" s="59"/>
      <x:c r="AH161" s="59"/>
      <x:c r="AI161" s="59"/>
      <x:c r="AJ161" s="59"/>
      <x:c r="AK161" s="59"/>
      <x:c r="AL161" s="59"/>
      <x:c r="AM161" s="59"/>
      <x:c r="AN161" s="59"/>
    </x:row>
    <x:row r="162">
      <x:c r="A162" s="59"/>
      <x:c r="B162" s="59"/>
      <x:c r="C162" s="59"/>
      <x:c r="D162" s="59"/>
      <x:c r="E162" s="59"/>
      <x:c r="F162" s="59"/>
      <x:c r="G162" s="59"/>
      <x:c r="H162" s="59"/>
      <x:c r="I162" s="59"/>
      <x:c r="J162" s="59"/>
      <x:c r="K162" s="59"/>
      <x:c r="L162" s="59"/>
      <x:c r="M162" s="59"/>
      <x:c r="N162" s="59"/>
      <x:c r="O162" s="59"/>
      <x:c r="P162" s="59"/>
      <x:c r="Q162" s="59"/>
      <x:c r="R162" s="59"/>
      <x:c r="S162" s="59"/>
      <x:c r="T162" s="59"/>
      <x:c r="U162" s="59"/>
      <x:c r="V162" s="59"/>
      <x:c r="W162" s="59"/>
      <x:c r="X162" s="59"/>
      <x:c r="Y162" s="59"/>
      <x:c r="Z162" s="59"/>
      <x:c r="AA162" s="59"/>
      <x:c r="AB162" s="59"/>
      <x:c r="AC162" s="59"/>
      <x:c r="AD162" s="59"/>
      <x:c r="AE162" s="59"/>
      <x:c r="AF162" s="59"/>
      <x:c r="AG162" s="59"/>
      <x:c r="AH162" s="59"/>
      <x:c r="AI162" s="59"/>
      <x:c r="AJ162" s="59"/>
      <x:c r="AK162" s="59"/>
      <x:c r="AL162" s="59"/>
      <x:c r="AM162" s="59"/>
      <x:c r="AN162" s="59"/>
    </x:row>
    <x:row r="163">
      <x:c r="A163" s="59"/>
      <x:c r="B163" s="59"/>
      <x:c r="C163" s="59"/>
      <x:c r="D163" s="59"/>
      <x:c r="E163" s="59"/>
      <x:c r="F163" s="59"/>
      <x:c r="G163" s="59"/>
      <x:c r="H163" s="59"/>
      <x:c r="I163" s="59"/>
      <x:c r="J163" s="59"/>
      <x:c r="K163" s="59"/>
      <x:c r="L163" s="59"/>
      <x:c r="M163" s="59"/>
      <x:c r="N163" s="59"/>
      <x:c r="O163" s="59"/>
      <x:c r="P163" s="59"/>
      <x:c r="Q163" s="59"/>
      <x:c r="R163" s="59"/>
      <x:c r="S163" s="59"/>
      <x:c r="T163" s="59"/>
      <x:c r="U163" s="59"/>
      <x:c r="V163" s="59"/>
      <x:c r="W163" s="59"/>
      <x:c r="X163" s="59"/>
      <x:c r="Y163" s="59"/>
      <x:c r="Z163" s="59"/>
      <x:c r="AA163" s="59"/>
      <x:c r="AB163" s="59"/>
      <x:c r="AC163" s="59"/>
      <x:c r="AD163" s="59"/>
      <x:c r="AE163" s="59"/>
      <x:c r="AF163" s="59"/>
      <x:c r="AG163" s="59"/>
      <x:c r="AH163" s="59"/>
      <x:c r="AI163" s="59"/>
      <x:c r="AJ163" s="59"/>
      <x:c r="AK163" s="59"/>
      <x:c r="AL163" s="59"/>
      <x:c r="AM163" s="59"/>
      <x:c r="AN163" s="59"/>
    </x:row>
    <x:row r="164">
      <x:c r="A164" s="59"/>
      <x:c r="B164" s="59"/>
      <x:c r="C164" s="59"/>
      <x:c r="D164" s="59"/>
      <x:c r="E164" s="59"/>
      <x:c r="F164" s="59"/>
      <x:c r="G164" s="59"/>
      <x:c r="H164" s="59"/>
      <x:c r="I164" s="59"/>
      <x:c r="J164" s="59"/>
      <x:c r="K164" s="59"/>
      <x:c r="L164" s="59"/>
      <x:c r="M164" s="59"/>
      <x:c r="N164" s="59"/>
      <x:c r="O164" s="59"/>
      <x:c r="P164" s="59"/>
      <x:c r="Q164" s="59"/>
      <x:c r="R164" s="59"/>
      <x:c r="S164" s="59"/>
      <x:c r="T164" s="59"/>
      <x:c r="U164" s="59"/>
      <x:c r="V164" s="59"/>
      <x:c r="W164" s="59"/>
      <x:c r="X164" s="59"/>
      <x:c r="Y164" s="59"/>
      <x:c r="Z164" s="59"/>
      <x:c r="AA164" s="59"/>
      <x:c r="AB164" s="59"/>
      <x:c r="AC164" s="59"/>
      <x:c r="AD164" s="59"/>
      <x:c r="AE164" s="59"/>
      <x:c r="AF164" s="59"/>
      <x:c r="AG164" s="59"/>
      <x:c r="AH164" s="59"/>
      <x:c r="AI164" s="59"/>
      <x:c r="AJ164" s="59"/>
      <x:c r="AK164" s="59"/>
      <x:c r="AL164" s="59"/>
      <x:c r="AM164" s="59"/>
      <x:c r="AN164" s="59"/>
    </x:row>
    <x:row r="165">
      <x:c r="A165" s="59"/>
      <x:c r="B165" s="59"/>
      <x:c r="C165" s="59"/>
      <x:c r="D165" s="59"/>
      <x:c r="E165" s="59"/>
      <x:c r="F165" s="59"/>
      <x:c r="G165" s="59"/>
      <x:c r="H165" s="59"/>
      <x:c r="I165" s="59"/>
      <x:c r="J165" s="59"/>
      <x:c r="K165" s="59"/>
      <x:c r="L165" s="59"/>
      <x:c r="M165" s="59"/>
      <x:c r="N165" s="59"/>
      <x:c r="O165" s="59"/>
      <x:c r="P165" s="59"/>
      <x:c r="Q165" s="59"/>
      <x:c r="R165" s="59"/>
      <x:c r="S165" s="59"/>
      <x:c r="T165" s="59"/>
      <x:c r="U165" s="59"/>
      <x:c r="V165" s="59"/>
      <x:c r="W165" s="59"/>
      <x:c r="X165" s="59"/>
      <x:c r="Y165" s="59"/>
      <x:c r="Z165" s="59"/>
      <x:c r="AA165" s="59"/>
      <x:c r="AB165" s="59"/>
      <x:c r="AC165" s="59"/>
      <x:c r="AD165" s="59"/>
      <x:c r="AE165" s="59"/>
      <x:c r="AF165" s="59"/>
      <x:c r="AG165" s="59"/>
      <x:c r="AH165" s="59"/>
      <x:c r="AI165" s="59"/>
      <x:c r="AJ165" s="59"/>
      <x:c r="AK165" s="59"/>
      <x:c r="AL165" s="59"/>
      <x:c r="AM165" s="59"/>
      <x:c r="AN165" s="59"/>
    </x:row>
    <x:row r="166">
      <x:c r="A166" s="59"/>
      <x:c r="B166" s="59"/>
      <x:c r="C166" s="59"/>
      <x:c r="D166" s="59"/>
      <x:c r="E166" s="59"/>
      <x:c r="F166" s="59"/>
      <x:c r="G166" s="59"/>
      <x:c r="H166" s="59"/>
      <x:c r="I166" s="59"/>
      <x:c r="J166" s="59"/>
      <x:c r="K166" s="59"/>
      <x:c r="L166" s="59"/>
      <x:c r="M166" s="59"/>
      <x:c r="N166" s="59"/>
      <x:c r="O166" s="59"/>
      <x:c r="P166" s="59"/>
      <x:c r="Q166" s="59"/>
      <x:c r="R166" s="59"/>
      <x:c r="S166" s="59"/>
      <x:c r="T166" s="59"/>
      <x:c r="U166" s="59"/>
      <x:c r="V166" s="59"/>
      <x:c r="W166" s="59"/>
      <x:c r="X166" s="59"/>
      <x:c r="Y166" s="59"/>
      <x:c r="Z166" s="59"/>
      <x:c r="AA166" s="59"/>
      <x:c r="AB166" s="59"/>
      <x:c r="AC166" s="59"/>
      <x:c r="AD166" s="59"/>
      <x:c r="AE166" s="59"/>
      <x:c r="AF166" s="59"/>
      <x:c r="AG166" s="59"/>
      <x:c r="AH166" s="59"/>
      <x:c r="AI166" s="59"/>
      <x:c r="AJ166" s="59"/>
      <x:c r="AK166" s="59"/>
      <x:c r="AL166" s="59"/>
      <x:c r="AM166" s="59"/>
      <x:c r="AN166" s="59"/>
    </x:row>
    <x:row r="167">
      <x:c r="A167" s="59"/>
      <x:c r="B167" s="59"/>
      <x:c r="C167" s="59"/>
      <x:c r="D167" s="59"/>
      <x:c r="E167" s="59"/>
      <x:c r="F167" s="59"/>
      <x:c r="G167" s="59"/>
      <x:c r="H167" s="59"/>
      <x:c r="I167" s="59"/>
      <x:c r="J167" s="59"/>
      <x:c r="K167" s="59"/>
      <x:c r="L167" s="59"/>
      <x:c r="M167" s="59"/>
      <x:c r="N167" s="59"/>
      <x:c r="O167" s="59"/>
      <x:c r="P167" s="59"/>
      <x:c r="Q167" s="59"/>
      <x:c r="R167" s="59"/>
      <x:c r="S167" s="59"/>
      <x:c r="T167" s="59"/>
      <x:c r="U167" s="59"/>
      <x:c r="V167" s="59"/>
      <x:c r="W167" s="59"/>
      <x:c r="X167" s="59"/>
      <x:c r="Y167" s="59"/>
      <x:c r="Z167" s="59"/>
      <x:c r="AA167" s="59"/>
      <x:c r="AB167" s="59"/>
      <x:c r="AC167" s="59"/>
      <x:c r="AD167" s="59"/>
      <x:c r="AE167" s="59"/>
      <x:c r="AF167" s="59"/>
      <x:c r="AG167" s="59"/>
      <x:c r="AH167" s="59"/>
      <x:c r="AI167" s="59"/>
      <x:c r="AJ167" s="59"/>
      <x:c r="AK167" s="59"/>
      <x:c r="AL167" s="59"/>
      <x:c r="AM167" s="59"/>
      <x:c r="AN167" s="59"/>
    </x:row>
    <x:row r="168">
      <x:c r="A168" s="59"/>
      <x:c r="B168" s="59"/>
      <x:c r="C168" s="59"/>
      <x:c r="D168" s="59"/>
      <x:c r="E168" s="59"/>
      <x:c r="F168" s="59"/>
      <x:c r="G168" s="59"/>
      <x:c r="H168" s="59"/>
      <x:c r="I168" s="59"/>
      <x:c r="J168" s="59"/>
      <x:c r="K168" s="59"/>
      <x:c r="L168" s="59"/>
      <x:c r="M168" s="59"/>
      <x:c r="N168" s="59"/>
      <x:c r="O168" s="59"/>
      <x:c r="P168" s="59"/>
      <x:c r="Q168" s="59"/>
      <x:c r="R168" s="59"/>
      <x:c r="S168" s="59"/>
      <x:c r="T168" s="59"/>
      <x:c r="U168" s="59"/>
      <x:c r="V168" s="59"/>
      <x:c r="W168" s="59"/>
      <x:c r="X168" s="59"/>
      <x:c r="Y168" s="59"/>
      <x:c r="Z168" s="59"/>
      <x:c r="AA168" s="59"/>
      <x:c r="AB168" s="59"/>
      <x:c r="AC168" s="59"/>
      <x:c r="AD168" s="59"/>
      <x:c r="AE168" s="59"/>
      <x:c r="AF168" s="59"/>
      <x:c r="AG168" s="59"/>
      <x:c r="AH168" s="59"/>
      <x:c r="AI168" s="59"/>
      <x:c r="AJ168" s="59"/>
      <x:c r="AK168" s="59"/>
      <x:c r="AL168" s="59"/>
      <x:c r="AM168" s="59"/>
      <x:c r="AN168" s="59"/>
    </x:row>
    <x:row r="169">
      <x:c r="A169" s="59"/>
      <x:c r="B169" s="59"/>
      <x:c r="C169" s="59"/>
      <x:c r="D169" s="59"/>
      <x:c r="E169" s="59"/>
      <x:c r="F169" s="59"/>
      <x:c r="G169" s="59"/>
      <x:c r="H169" s="59"/>
      <x:c r="I169" s="59"/>
      <x:c r="J169" s="59"/>
      <x:c r="K169" s="59"/>
      <x:c r="L169" s="59"/>
      <x:c r="M169" s="59"/>
      <x:c r="N169" s="59"/>
      <x:c r="O169" s="59"/>
      <x:c r="P169" s="59"/>
      <x:c r="Q169" s="59"/>
      <x:c r="R169" s="59"/>
      <x:c r="S169" s="59"/>
      <x:c r="T169" s="59"/>
      <x:c r="U169" s="59"/>
      <x:c r="V169" s="59"/>
      <x:c r="W169" s="59"/>
      <x:c r="X169" s="59"/>
      <x:c r="Y169" s="59"/>
      <x:c r="Z169" s="59"/>
      <x:c r="AA169" s="59"/>
      <x:c r="AB169" s="59"/>
      <x:c r="AC169" s="59"/>
      <x:c r="AD169" s="59"/>
      <x:c r="AE169" s="59"/>
      <x:c r="AF169" s="59"/>
      <x:c r="AG169" s="59"/>
      <x:c r="AH169" s="59"/>
      <x:c r="AI169" s="59"/>
      <x:c r="AJ169" s="59"/>
      <x:c r="AK169" s="59"/>
      <x:c r="AL169" s="59"/>
      <x:c r="AM169" s="59"/>
      <x:c r="AN169" s="59"/>
    </x:row>
    <x:row r="170">
      <x:c r="A170" s="59"/>
      <x:c r="B170" s="59"/>
      <x:c r="C170" s="59"/>
      <x:c r="D170" s="59"/>
      <x:c r="E170" s="59"/>
      <x:c r="F170" s="59"/>
      <x:c r="G170" s="59"/>
      <x:c r="H170" s="59"/>
      <x:c r="I170" s="59"/>
      <x:c r="J170" s="59"/>
      <x:c r="K170" s="59"/>
      <x:c r="L170" s="59"/>
      <x:c r="M170" s="59"/>
      <x:c r="N170" s="59"/>
      <x:c r="O170" s="59"/>
      <x:c r="P170" s="59"/>
      <x:c r="Q170" s="59"/>
      <x:c r="R170" s="59"/>
      <x:c r="S170" s="59"/>
      <x:c r="T170" s="59"/>
      <x:c r="U170" s="59"/>
      <x:c r="V170" s="59"/>
      <x:c r="W170" s="59"/>
      <x:c r="X170" s="59"/>
      <x:c r="Y170" s="59"/>
      <x:c r="Z170" s="59"/>
      <x:c r="AA170" s="59"/>
      <x:c r="AB170" s="59"/>
      <x:c r="AC170" s="59"/>
      <x:c r="AD170" s="59"/>
      <x:c r="AE170" s="59"/>
      <x:c r="AF170" s="59"/>
      <x:c r="AG170" s="59"/>
      <x:c r="AH170" s="59"/>
      <x:c r="AI170" s="59"/>
      <x:c r="AJ170" s="59"/>
      <x:c r="AK170" s="59"/>
      <x:c r="AL170" s="59"/>
      <x:c r="AM170" s="59"/>
      <x:c r="AN170" s="59"/>
    </x:row>
    <x:row r="171">
      <x:c r="A171" s="59"/>
      <x:c r="B171" s="59"/>
      <x:c r="C171" s="59"/>
      <x:c r="D171" s="59"/>
      <x:c r="E171" s="59"/>
      <x:c r="F171" s="59"/>
      <x:c r="G171" s="59"/>
      <x:c r="H171" s="59"/>
      <x:c r="I171" s="59"/>
      <x:c r="J171" s="59"/>
      <x:c r="K171" s="59"/>
      <x:c r="L171" s="59"/>
      <x:c r="M171" s="59"/>
      <x:c r="N171" s="59"/>
      <x:c r="O171" s="59"/>
      <x:c r="P171" s="59"/>
      <x:c r="Q171" s="59"/>
      <x:c r="R171" s="59"/>
      <x:c r="S171" s="59"/>
      <x:c r="T171" s="59"/>
      <x:c r="U171" s="59"/>
      <x:c r="V171" s="59"/>
      <x:c r="W171" s="59"/>
      <x:c r="X171" s="59"/>
      <x:c r="Y171" s="59"/>
      <x:c r="Z171" s="59"/>
      <x:c r="AA171" s="59"/>
      <x:c r="AB171" s="59"/>
      <x:c r="AC171" s="59"/>
      <x:c r="AD171" s="59"/>
      <x:c r="AE171" s="59"/>
      <x:c r="AF171" s="59"/>
      <x:c r="AG171" s="59"/>
      <x:c r="AH171" s="59"/>
      <x:c r="AI171" s="59"/>
      <x:c r="AJ171" s="59"/>
      <x:c r="AK171" s="59"/>
      <x:c r="AL171" s="59"/>
      <x:c r="AM171" s="59"/>
      <x:c r="AN171" s="59"/>
    </x:row>
    <x:row r="172">
      <x:c r="A172" s="59"/>
      <x:c r="B172" s="59"/>
      <x:c r="C172" s="59"/>
      <x:c r="D172" s="59"/>
      <x:c r="E172" s="59"/>
      <x:c r="F172" s="59"/>
      <x:c r="G172" s="59"/>
      <x:c r="H172" s="59"/>
      <x:c r="I172" s="59"/>
      <x:c r="J172" s="59"/>
      <x:c r="K172" s="59"/>
      <x:c r="L172" s="59"/>
      <x:c r="M172" s="59"/>
      <x:c r="N172" s="59"/>
      <x:c r="O172" s="59"/>
      <x:c r="P172" s="59"/>
      <x:c r="Q172" s="59"/>
      <x:c r="R172" s="59"/>
      <x:c r="S172" s="59"/>
      <x:c r="T172" s="59"/>
      <x:c r="U172" s="59"/>
      <x:c r="V172" s="59"/>
      <x:c r="W172" s="59"/>
      <x:c r="X172" s="59"/>
      <x:c r="Y172" s="59"/>
      <x:c r="Z172" s="59"/>
      <x:c r="AA172" s="59"/>
      <x:c r="AB172" s="59"/>
      <x:c r="AC172" s="59"/>
      <x:c r="AD172" s="59"/>
      <x:c r="AE172" s="59"/>
      <x:c r="AF172" s="59"/>
      <x:c r="AG172" s="59"/>
      <x:c r="AH172" s="59"/>
      <x:c r="AI172" s="59"/>
      <x:c r="AJ172" s="59"/>
      <x:c r="AK172" s="59"/>
      <x:c r="AL172" s="59"/>
      <x:c r="AM172" s="59"/>
      <x:c r="AN172" s="59"/>
    </x:row>
    <x:row r="173">
      <x:c r="A173" s="59"/>
      <x:c r="B173" s="59"/>
      <x:c r="C173" s="59"/>
      <x:c r="D173" s="59"/>
      <x:c r="E173" s="59"/>
      <x:c r="F173" s="59"/>
      <x:c r="G173" s="59"/>
      <x:c r="H173" s="59"/>
      <x:c r="I173" s="59"/>
      <x:c r="J173" s="59"/>
      <x:c r="K173" s="59"/>
      <x:c r="L173" s="59"/>
      <x:c r="M173" s="59"/>
      <x:c r="N173" s="59"/>
      <x:c r="O173" s="59"/>
      <x:c r="P173" s="59"/>
      <x:c r="Q173" s="59"/>
      <x:c r="R173" s="59"/>
      <x:c r="S173" s="59"/>
      <x:c r="T173" s="59"/>
      <x:c r="U173" s="59"/>
      <x:c r="V173" s="59"/>
      <x:c r="W173" s="59"/>
      <x:c r="X173" s="59"/>
      <x:c r="Y173" s="59"/>
      <x:c r="Z173" s="59"/>
      <x:c r="AA173" s="59"/>
      <x:c r="AB173" s="59"/>
      <x:c r="AC173" s="59"/>
      <x:c r="AD173" s="59"/>
      <x:c r="AE173" s="59"/>
      <x:c r="AF173" s="59"/>
      <x:c r="AG173" s="59"/>
      <x:c r="AH173" s="59"/>
      <x:c r="AI173" s="59"/>
      <x:c r="AJ173" s="59"/>
      <x:c r="AK173" s="59"/>
      <x:c r="AL173" s="59"/>
      <x:c r="AM173" s="59"/>
      <x:c r="AN173" s="59"/>
    </x:row>
    <x:row r="174">
      <x:c r="A174" s="59"/>
      <x:c r="B174" s="59"/>
      <x:c r="C174" s="59"/>
      <x:c r="D174" s="59"/>
      <x:c r="E174" s="59"/>
      <x:c r="F174" s="59"/>
      <x:c r="G174" s="59"/>
      <x:c r="H174" s="59"/>
      <x:c r="I174" s="59"/>
      <x:c r="J174" s="59"/>
      <x:c r="K174" s="59"/>
      <x:c r="L174" s="59"/>
      <x:c r="M174" s="59"/>
      <x:c r="N174" s="59"/>
      <x:c r="O174" s="59"/>
      <x:c r="P174" s="59"/>
      <x:c r="Q174" s="59"/>
      <x:c r="R174" s="59"/>
      <x:c r="S174" s="59"/>
      <x:c r="T174" s="59"/>
      <x:c r="U174" s="59"/>
      <x:c r="V174" s="59"/>
      <x:c r="W174" s="59"/>
      <x:c r="X174" s="59"/>
      <x:c r="Y174" s="59"/>
      <x:c r="Z174" s="59"/>
      <x:c r="AA174" s="59"/>
      <x:c r="AB174" s="59"/>
      <x:c r="AC174" s="59"/>
      <x:c r="AD174" s="59"/>
      <x:c r="AE174" s="59"/>
      <x:c r="AF174" s="59"/>
      <x:c r="AG174" s="59"/>
      <x:c r="AH174" s="59"/>
      <x:c r="AI174" s="59"/>
      <x:c r="AJ174" s="59"/>
      <x:c r="AK174" s="59"/>
      <x:c r="AL174" s="59"/>
      <x:c r="AM174" s="59"/>
      <x:c r="AN174" s="59"/>
    </x:row>
    <x:row r="175">
      <x:c r="A175" s="59"/>
      <x:c r="B175" s="59"/>
      <x:c r="C175" s="59"/>
      <x:c r="D175" s="59"/>
      <x:c r="E175" s="59"/>
      <x:c r="F175" s="59"/>
      <x:c r="G175" s="59"/>
      <x:c r="H175" s="59"/>
      <x:c r="I175" s="59"/>
      <x:c r="J175" s="59"/>
      <x:c r="K175" s="59"/>
      <x:c r="L175" s="59"/>
      <x:c r="M175" s="59"/>
      <x:c r="N175" s="59"/>
      <x:c r="O175" s="59"/>
      <x:c r="P175" s="59"/>
      <x:c r="Q175" s="59"/>
      <x:c r="R175" s="59"/>
      <x:c r="S175" s="59"/>
      <x:c r="T175" s="59"/>
      <x:c r="U175" s="59"/>
      <x:c r="V175" s="59"/>
      <x:c r="W175" s="59"/>
      <x:c r="X175" s="59"/>
      <x:c r="Y175" s="59"/>
      <x:c r="Z175" s="59"/>
      <x:c r="AA175" s="59"/>
      <x:c r="AB175" s="59"/>
      <x:c r="AC175" s="59"/>
      <x:c r="AD175" s="59"/>
      <x:c r="AE175" s="59"/>
      <x:c r="AF175" s="59"/>
      <x:c r="AG175" s="59"/>
      <x:c r="AH175" s="59"/>
      <x:c r="AI175" s="59"/>
      <x:c r="AJ175" s="59"/>
      <x:c r="AK175" s="59"/>
      <x:c r="AL175" s="59"/>
      <x:c r="AM175" s="59"/>
      <x:c r="AN175" s="59"/>
    </x:row>
    <x:row r="176">
      <x:c r="A176" s="59"/>
      <x:c r="B176" s="59"/>
      <x:c r="C176" s="59"/>
      <x:c r="D176" s="59"/>
      <x:c r="E176" s="59"/>
      <x:c r="F176" s="59"/>
      <x:c r="G176" s="59"/>
      <x:c r="H176" s="59"/>
      <x:c r="I176" s="59"/>
      <x:c r="J176" s="59"/>
      <x:c r="K176" s="59"/>
      <x:c r="L176" s="59"/>
      <x:c r="M176" s="59"/>
      <x:c r="N176" s="59"/>
      <x:c r="O176" s="59"/>
      <x:c r="P176" s="59"/>
      <x:c r="Q176" s="59"/>
      <x:c r="R176" s="59"/>
      <x:c r="S176" s="59"/>
      <x:c r="T176" s="59"/>
      <x:c r="U176" s="59"/>
      <x:c r="V176" s="59"/>
      <x:c r="W176" s="59"/>
      <x:c r="X176" s="59"/>
      <x:c r="Y176" s="59"/>
      <x:c r="Z176" s="59"/>
      <x:c r="AA176" s="59"/>
      <x:c r="AB176" s="59"/>
      <x:c r="AC176" s="59"/>
      <x:c r="AD176" s="59"/>
      <x:c r="AE176" s="59"/>
      <x:c r="AF176" s="59"/>
      <x:c r="AG176" s="59"/>
      <x:c r="AH176" s="59"/>
      <x:c r="AI176" s="59"/>
      <x:c r="AJ176" s="59"/>
      <x:c r="AK176" s="59"/>
      <x:c r="AL176" s="59"/>
      <x:c r="AM176" s="59"/>
      <x:c r="AN176" s="59"/>
    </x:row>
    <x:row r="177">
      <x:c r="A177" s="59"/>
      <x:c r="B177" s="59"/>
      <x:c r="C177" s="59"/>
      <x:c r="D177" s="59"/>
      <x:c r="E177" s="59"/>
      <x:c r="F177" s="59"/>
      <x:c r="G177" s="59"/>
      <x:c r="H177" s="59"/>
      <x:c r="I177" s="59"/>
      <x:c r="J177" s="59"/>
      <x:c r="K177" s="59"/>
      <x:c r="L177" s="59"/>
      <x:c r="M177" s="59"/>
      <x:c r="N177" s="59"/>
      <x:c r="O177" s="59"/>
      <x:c r="P177" s="59"/>
      <x:c r="Q177" s="59"/>
      <x:c r="R177" s="59"/>
      <x:c r="S177" s="59"/>
      <x:c r="T177" s="59"/>
      <x:c r="U177" s="59"/>
      <x:c r="V177" s="59"/>
      <x:c r="W177" s="59"/>
      <x:c r="X177" s="59"/>
      <x:c r="Y177" s="59"/>
      <x:c r="Z177" s="59"/>
      <x:c r="AA177" s="59"/>
      <x:c r="AB177" s="59"/>
      <x:c r="AC177" s="59"/>
      <x:c r="AD177" s="59"/>
      <x:c r="AE177" s="59"/>
      <x:c r="AF177" s="59"/>
      <x:c r="AG177" s="59"/>
      <x:c r="AH177" s="59"/>
      <x:c r="AI177" s="59"/>
      <x:c r="AJ177" s="59"/>
      <x:c r="AK177" s="59"/>
      <x:c r="AL177" s="59"/>
      <x:c r="AM177" s="59"/>
      <x:c r="AN177" s="59"/>
    </x:row>
    <x:row r="178">
      <x:c r="A178" s="59"/>
      <x:c r="B178" s="59"/>
      <x:c r="C178" s="59"/>
      <x:c r="D178" s="59"/>
      <x:c r="E178" s="59"/>
      <x:c r="F178" s="59"/>
      <x:c r="G178" s="59"/>
      <x:c r="H178" s="59"/>
      <x:c r="I178" s="59"/>
      <x:c r="J178" s="59"/>
      <x:c r="K178" s="59"/>
      <x:c r="L178" s="59"/>
      <x:c r="M178" s="59"/>
      <x:c r="N178" s="59"/>
      <x:c r="O178" s="59"/>
      <x:c r="P178" s="59"/>
      <x:c r="Q178" s="59"/>
      <x:c r="R178" s="59"/>
      <x:c r="S178" s="59"/>
      <x:c r="T178" s="59"/>
      <x:c r="U178" s="59"/>
      <x:c r="V178" s="59"/>
      <x:c r="W178" s="59"/>
      <x:c r="X178" s="59"/>
      <x:c r="Y178" s="59"/>
      <x:c r="Z178" s="59"/>
      <x:c r="AA178" s="59"/>
      <x:c r="AB178" s="59"/>
      <x:c r="AC178" s="59"/>
      <x:c r="AD178" s="59"/>
      <x:c r="AE178" s="59"/>
      <x:c r="AF178" s="59"/>
      <x:c r="AG178" s="59"/>
      <x:c r="AH178" s="59"/>
      <x:c r="AI178" s="59"/>
      <x:c r="AJ178" s="59"/>
      <x:c r="AK178" s="59"/>
      <x:c r="AL178" s="59"/>
      <x:c r="AM178" s="59"/>
      <x:c r="AN178" s="59"/>
    </x:row>
    <x:row r="179">
      <x:c r="A179" s="59"/>
      <x:c r="B179" s="59"/>
      <x:c r="C179" s="59"/>
      <x:c r="D179" s="59"/>
      <x:c r="E179" s="59"/>
      <x:c r="F179" s="59"/>
      <x:c r="G179" s="59"/>
      <x:c r="H179" s="59"/>
      <x:c r="I179" s="59"/>
      <x:c r="J179" s="59"/>
      <x:c r="K179" s="59"/>
      <x:c r="L179" s="59"/>
      <x:c r="M179" s="59"/>
      <x:c r="N179" s="59"/>
      <x:c r="O179" s="59"/>
      <x:c r="P179" s="59"/>
      <x:c r="Q179" s="59"/>
      <x:c r="R179" s="59"/>
      <x:c r="S179" s="59"/>
      <x:c r="T179" s="59"/>
      <x:c r="U179" s="59"/>
      <x:c r="V179" s="59"/>
      <x:c r="W179" s="59"/>
      <x:c r="X179" s="59"/>
      <x:c r="Y179" s="59"/>
      <x:c r="Z179" s="59"/>
      <x:c r="AA179" s="59"/>
      <x:c r="AB179" s="59"/>
      <x:c r="AC179" s="59"/>
      <x:c r="AD179" s="59"/>
      <x:c r="AE179" s="59"/>
      <x:c r="AF179" s="59"/>
      <x:c r="AG179" s="59"/>
      <x:c r="AH179" s="59"/>
      <x:c r="AI179" s="59"/>
      <x:c r="AJ179" s="59"/>
      <x:c r="AK179" s="59"/>
      <x:c r="AL179" s="59"/>
      <x:c r="AM179" s="59"/>
      <x:c r="AN179" s="59"/>
    </x:row>
    <x:row r="180">
      <x:c r="A180" s="59"/>
      <x:c r="B180" s="59"/>
      <x:c r="C180" s="59"/>
      <x:c r="D180" s="59"/>
      <x:c r="E180" s="59"/>
      <x:c r="F180" s="59"/>
      <x:c r="G180" s="59"/>
      <x:c r="H180" s="59"/>
      <x:c r="I180" s="59"/>
      <x:c r="J180" s="59"/>
      <x:c r="K180" s="59"/>
      <x:c r="L180" s="59"/>
      <x:c r="M180" s="59"/>
      <x:c r="N180" s="59"/>
      <x:c r="O180" s="59"/>
      <x:c r="P180" s="59"/>
      <x:c r="Q180" s="59"/>
      <x:c r="R180" s="59"/>
      <x:c r="S180" s="59"/>
      <x:c r="T180" s="59"/>
      <x:c r="U180" s="59"/>
      <x:c r="V180" s="59"/>
      <x:c r="W180" s="59"/>
      <x:c r="X180" s="59"/>
      <x:c r="Y180" s="59"/>
      <x:c r="Z180" s="59"/>
      <x:c r="AA180" s="59"/>
      <x:c r="AB180" s="59"/>
      <x:c r="AC180" s="59"/>
      <x:c r="AD180" s="59"/>
      <x:c r="AE180" s="59"/>
      <x:c r="AF180" s="59"/>
      <x:c r="AG180" s="59"/>
      <x:c r="AH180" s="59"/>
      <x:c r="AI180" s="59"/>
      <x:c r="AJ180" s="59"/>
      <x:c r="AK180" s="59"/>
      <x:c r="AL180" s="59"/>
      <x:c r="AM180" s="59"/>
      <x:c r="AN180" s="59"/>
    </x:row>
    <x:row r="181">
      <x:c r="A181" s="59"/>
      <x:c r="B181" s="59"/>
      <x:c r="C181" s="59"/>
      <x:c r="D181" s="59"/>
      <x:c r="E181" s="59"/>
      <x:c r="F181" s="59"/>
      <x:c r="G181" s="59"/>
      <x:c r="H181" s="59"/>
      <x:c r="I181" s="59"/>
      <x:c r="J181" s="59"/>
      <x:c r="K181" s="59"/>
      <x:c r="L181" s="59"/>
      <x:c r="M181" s="59"/>
      <x:c r="N181" s="59"/>
      <x:c r="O181" s="59"/>
      <x:c r="P181" s="59"/>
      <x:c r="Q181" s="59"/>
      <x:c r="R181" s="59"/>
      <x:c r="S181" s="59"/>
      <x:c r="T181" s="59"/>
      <x:c r="U181" s="59"/>
      <x:c r="V181" s="59"/>
      <x:c r="W181" s="59"/>
      <x:c r="X181" s="59"/>
      <x:c r="Y181" s="59"/>
      <x:c r="Z181" s="59"/>
      <x:c r="AA181" s="59"/>
      <x:c r="AB181" s="59"/>
      <x:c r="AC181" s="59"/>
      <x:c r="AD181" s="59"/>
      <x:c r="AE181" s="59"/>
      <x:c r="AF181" s="59"/>
      <x:c r="AG181" s="59"/>
      <x:c r="AH181" s="59"/>
      <x:c r="AI181" s="59"/>
      <x:c r="AJ181" s="59"/>
      <x:c r="AK181" s="59"/>
      <x:c r="AL181" s="59"/>
      <x:c r="AM181" s="59"/>
      <x:c r="AN181" s="59"/>
    </x:row>
    <x:row r="182">
      <x:c r="A182" s="59"/>
      <x:c r="B182" s="59"/>
      <x:c r="C182" s="59"/>
      <x:c r="D182" s="59"/>
      <x:c r="E182" s="59"/>
      <x:c r="F182" s="59"/>
      <x:c r="G182" s="59"/>
      <x:c r="H182" s="59"/>
      <x:c r="I182" s="59"/>
      <x:c r="J182" s="59"/>
      <x:c r="K182" s="59"/>
      <x:c r="L182" s="59"/>
      <x:c r="M182" s="59"/>
      <x:c r="N182" s="59"/>
      <x:c r="O182" s="59"/>
      <x:c r="P182" s="59"/>
      <x:c r="Q182" s="59"/>
      <x:c r="R182" s="59"/>
      <x:c r="S182" s="59"/>
      <x:c r="T182" s="59"/>
      <x:c r="U182" s="59"/>
      <x:c r="V182" s="59"/>
      <x:c r="W182" s="59"/>
      <x:c r="X182" s="59"/>
      <x:c r="Y182" s="59"/>
      <x:c r="Z182" s="59"/>
      <x:c r="AA182" s="59"/>
      <x:c r="AB182" s="59"/>
      <x:c r="AC182" s="59"/>
      <x:c r="AD182" s="59"/>
      <x:c r="AE182" s="59"/>
      <x:c r="AF182" s="59"/>
      <x:c r="AG182" s="59"/>
      <x:c r="AH182" s="59"/>
      <x:c r="AI182" s="59"/>
      <x:c r="AJ182" s="59"/>
      <x:c r="AK182" s="59"/>
      <x:c r="AL182" s="59"/>
      <x:c r="AM182" s="59"/>
      <x:c r="AN182" s="59"/>
    </x:row>
    <x:row r="183">
      <x:c r="A183" s="59"/>
      <x:c r="B183" s="59"/>
      <x:c r="C183" s="59"/>
      <x:c r="D183" s="59"/>
      <x:c r="E183" s="59"/>
      <x:c r="F183" s="59"/>
      <x:c r="G183" s="59"/>
      <x:c r="H183" s="59"/>
      <x:c r="I183" s="59"/>
      <x:c r="J183" s="59"/>
      <x:c r="K183" s="59"/>
      <x:c r="L183" s="59"/>
      <x:c r="M183" s="59"/>
      <x:c r="N183" s="59"/>
      <x:c r="O183" s="59"/>
      <x:c r="P183" s="59"/>
      <x:c r="Q183" s="59"/>
      <x:c r="R183" s="59"/>
      <x:c r="S183" s="59"/>
      <x:c r="T183" s="59"/>
      <x:c r="U183" s="59"/>
      <x:c r="V183" s="59"/>
      <x:c r="W183" s="59"/>
      <x:c r="X183" s="59"/>
      <x:c r="Y183" s="59"/>
      <x:c r="Z183" s="59"/>
      <x:c r="AA183" s="59"/>
      <x:c r="AB183" s="59"/>
      <x:c r="AC183" s="59"/>
      <x:c r="AD183" s="59"/>
      <x:c r="AE183" s="59"/>
      <x:c r="AF183" s="59"/>
      <x:c r="AG183" s="59"/>
      <x:c r="AH183" s="59"/>
      <x:c r="AI183" s="59"/>
      <x:c r="AJ183" s="59"/>
      <x:c r="AK183" s="59"/>
      <x:c r="AL183" s="59"/>
      <x:c r="AM183" s="59"/>
      <x:c r="AN183" s="59"/>
    </x:row>
    <x:row r="184">
      <x:c r="A184" s="59"/>
      <x:c r="B184" s="59"/>
      <x:c r="C184" s="59"/>
      <x:c r="D184" s="59"/>
      <x:c r="E184" s="59"/>
      <x:c r="F184" s="59"/>
      <x:c r="G184" s="59"/>
      <x:c r="H184" s="59"/>
      <x:c r="I184" s="59"/>
      <x:c r="J184" s="59"/>
      <x:c r="K184" s="59"/>
      <x:c r="L184" s="59"/>
      <x:c r="M184" s="59"/>
      <x:c r="N184" s="59"/>
      <x:c r="O184" s="59"/>
      <x:c r="P184" s="59"/>
      <x:c r="Q184" s="59"/>
      <x:c r="R184" s="59"/>
      <x:c r="S184" s="59"/>
      <x:c r="T184" s="59"/>
      <x:c r="U184" s="59"/>
      <x:c r="V184" s="59"/>
      <x:c r="W184" s="59"/>
      <x:c r="X184" s="59"/>
      <x:c r="Y184" s="59"/>
      <x:c r="Z184" s="59"/>
      <x:c r="AA184" s="59"/>
      <x:c r="AB184" s="59"/>
      <x:c r="AC184" s="59"/>
      <x:c r="AD184" s="59"/>
      <x:c r="AE184" s="59"/>
      <x:c r="AF184" s="59"/>
      <x:c r="AG184" s="59"/>
      <x:c r="AH184" s="59"/>
      <x:c r="AI184" s="59"/>
      <x:c r="AJ184" s="59"/>
      <x:c r="AK184" s="59"/>
      <x:c r="AL184" s="59"/>
      <x:c r="AM184" s="59"/>
      <x:c r="AN184" s="59"/>
    </x:row>
    <x:row r="185">
      <x:c r="A185" s="59"/>
      <x:c r="B185" s="59"/>
      <x:c r="C185" s="59"/>
      <x:c r="D185" s="59"/>
      <x:c r="E185" s="59"/>
      <x:c r="F185" s="59"/>
      <x:c r="G185" s="59"/>
      <x:c r="H185" s="59"/>
      <x:c r="I185" s="59"/>
      <x:c r="J185" s="59"/>
      <x:c r="K185" s="59"/>
      <x:c r="L185" s="59"/>
      <x:c r="M185" s="59"/>
      <x:c r="N185" s="59"/>
      <x:c r="O185" s="59"/>
      <x:c r="P185" s="59"/>
      <x:c r="Q185" s="59"/>
      <x:c r="R185" s="59"/>
      <x:c r="S185" s="59"/>
      <x:c r="T185" s="59"/>
      <x:c r="U185" s="59"/>
      <x:c r="V185" s="59"/>
      <x:c r="W185" s="59"/>
      <x:c r="X185" s="59"/>
      <x:c r="Y185" s="59"/>
      <x:c r="Z185" s="59"/>
      <x:c r="AA185" s="59"/>
      <x:c r="AB185" s="59"/>
      <x:c r="AC185" s="59"/>
      <x:c r="AD185" s="59"/>
      <x:c r="AE185" s="59"/>
      <x:c r="AF185" s="59"/>
      <x:c r="AG185" s="59"/>
      <x:c r="AH185" s="59"/>
      <x:c r="AI185" s="59"/>
      <x:c r="AJ185" s="59"/>
      <x:c r="AK185" s="59"/>
      <x:c r="AL185" s="59"/>
      <x:c r="AM185" s="59"/>
      <x:c r="AN185" s="59"/>
    </x:row>
    <x:row r="186">
      <x:c r="A186" s="59"/>
      <x:c r="B186" s="59"/>
      <x:c r="C186" s="59"/>
      <x:c r="D186" s="59"/>
      <x:c r="E186" s="59"/>
      <x:c r="F186" s="59"/>
      <x:c r="G186" s="59"/>
      <x:c r="H186" s="59"/>
      <x:c r="I186" s="59"/>
      <x:c r="J186" s="59"/>
      <x:c r="K186" s="59"/>
      <x:c r="L186" s="59"/>
      <x:c r="M186" s="59"/>
      <x:c r="N186" s="59"/>
      <x:c r="O186" s="59"/>
      <x:c r="P186" s="59"/>
      <x:c r="Q186" s="59"/>
      <x:c r="R186" s="59"/>
      <x:c r="S186" s="59"/>
      <x:c r="T186" s="59"/>
      <x:c r="U186" s="59"/>
      <x:c r="V186" s="59"/>
      <x:c r="W186" s="59"/>
      <x:c r="X186" s="59"/>
      <x:c r="Y186" s="59"/>
      <x:c r="Z186" s="59"/>
      <x:c r="AA186" s="59"/>
      <x:c r="AB186" s="59"/>
      <x:c r="AC186" s="59"/>
      <x:c r="AD186" s="59"/>
      <x:c r="AE186" s="59"/>
      <x:c r="AF186" s="59"/>
      <x:c r="AG186" s="59"/>
      <x:c r="AH186" s="59"/>
      <x:c r="AI186" s="59"/>
      <x:c r="AJ186" s="59"/>
      <x:c r="AK186" s="59"/>
      <x:c r="AL186" s="59"/>
      <x:c r="AM186" s="59"/>
      <x:c r="AN186" s="59"/>
    </x:row>
    <x:row r="187">
      <x:c r="A187" s="59"/>
      <x:c r="B187" s="59"/>
      <x:c r="C187" s="59"/>
      <x:c r="D187" s="59"/>
      <x:c r="E187" s="59"/>
      <x:c r="F187" s="59"/>
      <x:c r="G187" s="59"/>
      <x:c r="H187" s="59"/>
      <x:c r="I187" s="59"/>
      <x:c r="J187" s="59"/>
      <x:c r="K187" s="59"/>
      <x:c r="L187" s="59"/>
      <x:c r="M187" s="59"/>
      <x:c r="N187" s="59"/>
      <x:c r="O187" s="59"/>
      <x:c r="P187" s="59"/>
      <x:c r="Q187" s="59"/>
      <x:c r="R187" s="59"/>
      <x:c r="S187" s="59"/>
      <x:c r="T187" s="59"/>
      <x:c r="U187" s="59"/>
      <x:c r="V187" s="59"/>
      <x:c r="W187" s="59"/>
      <x:c r="X187" s="59"/>
      <x:c r="Y187" s="59"/>
      <x:c r="Z187" s="59"/>
      <x:c r="AA187" s="59"/>
      <x:c r="AB187" s="59"/>
      <x:c r="AC187" s="59"/>
      <x:c r="AD187" s="59"/>
      <x:c r="AE187" s="59"/>
      <x:c r="AF187" s="59"/>
      <x:c r="AG187" s="59"/>
      <x:c r="AH187" s="59"/>
      <x:c r="AI187" s="59"/>
      <x:c r="AJ187" s="59"/>
      <x:c r="AK187" s="59"/>
      <x:c r="AL187" s="59"/>
      <x:c r="AM187" s="59"/>
      <x:c r="AN187" s="59"/>
    </x:row>
    <x:row r="188">
      <x:c r="A188" s="59"/>
      <x:c r="B188" s="59"/>
      <x:c r="C188" s="59"/>
      <x:c r="D188" s="59"/>
      <x:c r="E188" s="59"/>
      <x:c r="F188" s="59"/>
      <x:c r="G188" s="59"/>
      <x:c r="H188" s="59"/>
      <x:c r="I188" s="59"/>
      <x:c r="J188" s="59"/>
      <x:c r="K188" s="59"/>
      <x:c r="L188" s="59"/>
      <x:c r="M188" s="59"/>
      <x:c r="N188" s="59"/>
      <x:c r="O188" s="59"/>
      <x:c r="P188" s="59"/>
      <x:c r="Q188" s="59"/>
      <x:c r="R188" s="59"/>
      <x:c r="S188" s="59"/>
      <x:c r="T188" s="59"/>
      <x:c r="U188" s="59"/>
      <x:c r="V188" s="59"/>
      <x:c r="W188" s="59"/>
      <x:c r="X188" s="59"/>
      <x:c r="Y188" s="59"/>
      <x:c r="Z188" s="59"/>
      <x:c r="AA188" s="59"/>
      <x:c r="AB188" s="59"/>
      <x:c r="AC188" s="59"/>
      <x:c r="AD188" s="59"/>
      <x:c r="AE188" s="59"/>
      <x:c r="AF188" s="59"/>
      <x:c r="AG188" s="59"/>
      <x:c r="AH188" s="59"/>
      <x:c r="AI188" s="59"/>
      <x:c r="AJ188" s="59"/>
      <x:c r="AK188" s="59"/>
      <x:c r="AL188" s="59"/>
      <x:c r="AM188" s="59"/>
      <x:c r="AN188" s="59"/>
    </x:row>
    <x:row r="189">
      <x:c r="A189" s="59"/>
      <x:c r="B189" s="59"/>
      <x:c r="C189" s="59"/>
      <x:c r="D189" s="59"/>
      <x:c r="E189" s="59"/>
      <x:c r="F189" s="59"/>
      <x:c r="G189" s="59"/>
      <x:c r="H189" s="59"/>
      <x:c r="I189" s="59"/>
      <x:c r="J189" s="59"/>
      <x:c r="K189" s="59"/>
      <x:c r="L189" s="59"/>
      <x:c r="M189" s="59"/>
      <x:c r="N189" s="59"/>
      <x:c r="O189" s="59"/>
      <x:c r="P189" s="59"/>
      <x:c r="Q189" s="59"/>
      <x:c r="R189" s="59"/>
      <x:c r="S189" s="59"/>
      <x:c r="T189" s="59"/>
      <x:c r="U189" s="59"/>
      <x:c r="V189" s="59"/>
      <x:c r="W189" s="59"/>
      <x:c r="X189" s="59"/>
      <x:c r="Y189" s="59"/>
      <x:c r="Z189" s="59"/>
      <x:c r="AA189" s="59"/>
      <x:c r="AB189" s="59"/>
      <x:c r="AC189" s="59"/>
      <x:c r="AD189" s="59"/>
      <x:c r="AE189" s="59"/>
      <x:c r="AF189" s="59"/>
      <x:c r="AG189" s="59"/>
      <x:c r="AH189" s="59"/>
      <x:c r="AI189" s="59"/>
      <x:c r="AJ189" s="59"/>
      <x:c r="AK189" s="59"/>
      <x:c r="AL189" s="59"/>
      <x:c r="AM189" s="59"/>
      <x:c r="AN189" s="59"/>
    </x:row>
    <x:row r="190">
      <x:c r="A190" s="59"/>
      <x:c r="B190" s="59"/>
      <x:c r="C190" s="59"/>
      <x:c r="D190" s="59"/>
      <x:c r="E190" s="59"/>
      <x:c r="F190" s="59"/>
      <x:c r="G190" s="59"/>
      <x:c r="H190" s="59"/>
      <x:c r="I190" s="59"/>
      <x:c r="J190" s="59"/>
      <x:c r="K190" s="59"/>
      <x:c r="L190" s="59"/>
      <x:c r="M190" s="59"/>
      <x:c r="N190" s="59"/>
      <x:c r="O190" s="59"/>
      <x:c r="P190" s="59"/>
      <x:c r="Q190" s="59"/>
      <x:c r="R190" s="59"/>
      <x:c r="S190" s="59"/>
      <x:c r="T190" s="59"/>
      <x:c r="U190" s="59"/>
      <x:c r="V190" s="59"/>
      <x:c r="W190" s="59"/>
      <x:c r="X190" s="59"/>
      <x:c r="Y190" s="59"/>
      <x:c r="Z190" s="59"/>
      <x:c r="AA190" s="59"/>
      <x:c r="AB190" s="59"/>
      <x:c r="AC190" s="59"/>
      <x:c r="AD190" s="59"/>
      <x:c r="AE190" s="59"/>
      <x:c r="AF190" s="59"/>
      <x:c r="AG190" s="59"/>
      <x:c r="AH190" s="59"/>
      <x:c r="AI190" s="59"/>
      <x:c r="AJ190" s="59"/>
      <x:c r="AK190" s="59"/>
      <x:c r="AL190" s="59"/>
      <x:c r="AM190" s="59"/>
      <x:c r="AN190" s="59"/>
    </x:row>
    <x:row r="191">
      <x:c r="A191" s="59"/>
      <x:c r="B191" s="59"/>
      <x:c r="C191" s="59"/>
      <x:c r="D191" s="59"/>
      <x:c r="E191" s="59"/>
      <x:c r="F191" s="59"/>
      <x:c r="G191" s="59"/>
      <x:c r="H191" s="59"/>
      <x:c r="I191" s="59"/>
      <x:c r="J191" s="59"/>
      <x:c r="K191" s="59"/>
      <x:c r="L191" s="59"/>
      <x:c r="M191" s="59"/>
      <x:c r="N191" s="59"/>
      <x:c r="O191" s="59"/>
      <x:c r="P191" s="59"/>
      <x:c r="Q191" s="59"/>
      <x:c r="R191" s="59"/>
      <x:c r="S191" s="59"/>
      <x:c r="T191" s="59"/>
      <x:c r="U191" s="59"/>
      <x:c r="V191" s="59"/>
      <x:c r="W191" s="59"/>
      <x:c r="X191" s="59"/>
      <x:c r="Y191" s="59"/>
      <x:c r="Z191" s="59"/>
      <x:c r="AA191" s="59"/>
      <x:c r="AB191" s="59"/>
      <x:c r="AC191" s="59"/>
      <x:c r="AD191" s="59"/>
      <x:c r="AE191" s="59"/>
      <x:c r="AF191" s="59"/>
      <x:c r="AG191" s="59"/>
      <x:c r="AH191" s="59"/>
      <x:c r="AI191" s="59"/>
      <x:c r="AJ191" s="59"/>
      <x:c r="AK191" s="59"/>
      <x:c r="AL191" s="59"/>
      <x:c r="AM191" s="59"/>
      <x:c r="AN191" s="59"/>
    </x:row>
    <x:row r="192">
      <x:c r="A192" s="59"/>
      <x:c r="B192" s="59"/>
      <x:c r="C192" s="59"/>
      <x:c r="D192" s="59"/>
      <x:c r="E192" s="59"/>
      <x:c r="F192" s="59"/>
      <x:c r="G192" s="59"/>
      <x:c r="H192" s="59"/>
      <x:c r="I192" s="59"/>
      <x:c r="J192" s="59"/>
      <x:c r="K192" s="59"/>
      <x:c r="L192" s="59"/>
      <x:c r="M192" s="59"/>
      <x:c r="N192" s="59"/>
      <x:c r="O192" s="59"/>
      <x:c r="P192" s="59"/>
      <x:c r="Q192" s="59"/>
      <x:c r="R192" s="59"/>
      <x:c r="S192" s="59"/>
      <x:c r="T192" s="59"/>
      <x:c r="U192" s="59"/>
      <x:c r="V192" s="59"/>
      <x:c r="W192" s="59"/>
      <x:c r="X192" s="59"/>
      <x:c r="Y192" s="59"/>
      <x:c r="Z192" s="59"/>
      <x:c r="AA192" s="59"/>
      <x:c r="AB192" s="59"/>
      <x:c r="AC192" s="59"/>
      <x:c r="AD192" s="59"/>
      <x:c r="AE192" s="59"/>
      <x:c r="AF192" s="59"/>
      <x:c r="AG192" s="59"/>
      <x:c r="AH192" s="59"/>
      <x:c r="AI192" s="59"/>
      <x:c r="AJ192" s="59"/>
      <x:c r="AK192" s="59"/>
      <x:c r="AL192" s="59"/>
      <x:c r="AM192" s="59"/>
      <x:c r="AN192" s="59"/>
    </x:row>
    <x:row r="193">
      <x:c r="A193" s="59"/>
      <x:c r="B193" s="59"/>
      <x:c r="C193" s="59"/>
      <x:c r="D193" s="59"/>
      <x:c r="E193" s="59"/>
      <x:c r="F193" s="59"/>
      <x:c r="G193" s="59"/>
      <x:c r="H193" s="59"/>
      <x:c r="I193" s="59"/>
      <x:c r="J193" s="59"/>
      <x:c r="K193" s="59"/>
      <x:c r="L193" s="59"/>
      <x:c r="M193" s="59"/>
      <x:c r="N193" s="59"/>
      <x:c r="O193" s="59"/>
      <x:c r="P193" s="59"/>
      <x:c r="Q193" s="59"/>
      <x:c r="R193" s="59"/>
      <x:c r="S193" s="59"/>
      <x:c r="T193" s="59"/>
      <x:c r="U193" s="59"/>
      <x:c r="V193" s="59"/>
      <x:c r="W193" s="59"/>
      <x:c r="X193" s="59"/>
      <x:c r="Y193" s="59"/>
      <x:c r="Z193" s="59"/>
      <x:c r="AA193" s="59"/>
      <x:c r="AB193" s="59"/>
      <x:c r="AC193" s="59"/>
      <x:c r="AD193" s="59"/>
      <x:c r="AE193" s="59"/>
      <x:c r="AF193" s="59"/>
      <x:c r="AG193" s="59"/>
      <x:c r="AH193" s="59"/>
      <x:c r="AI193" s="59"/>
      <x:c r="AJ193" s="59"/>
      <x:c r="AK193" s="59"/>
      <x:c r="AL193" s="59"/>
      <x:c r="AM193" s="59"/>
      <x:c r="AN193" s="59"/>
    </x:row>
    <x:row r="194">
      <x:c r="A194" s="59"/>
      <x:c r="B194" s="59"/>
      <x:c r="C194" s="59"/>
      <x:c r="D194" s="59"/>
      <x:c r="E194" s="59"/>
      <x:c r="F194" s="59"/>
      <x:c r="G194" s="59"/>
      <x:c r="H194" s="59"/>
      <x:c r="I194" s="59"/>
      <x:c r="J194" s="59"/>
      <x:c r="K194" s="59"/>
      <x:c r="L194" s="59"/>
      <x:c r="M194" s="59"/>
      <x:c r="N194" s="59"/>
      <x:c r="O194" s="59"/>
      <x:c r="P194" s="59"/>
      <x:c r="Q194" s="59"/>
      <x:c r="R194" s="59"/>
      <x:c r="S194" s="59"/>
      <x:c r="T194" s="59"/>
      <x:c r="U194" s="59"/>
      <x:c r="V194" s="59"/>
      <x:c r="W194" s="59"/>
      <x:c r="X194" s="59"/>
      <x:c r="Y194" s="59"/>
      <x:c r="Z194" s="59"/>
      <x:c r="AA194" s="59"/>
      <x:c r="AB194" s="59"/>
      <x:c r="AC194" s="59"/>
      <x:c r="AD194" s="59"/>
      <x:c r="AE194" s="59"/>
      <x:c r="AF194" s="59"/>
      <x:c r="AG194" s="59"/>
      <x:c r="AH194" s="59"/>
      <x:c r="AI194" s="59"/>
      <x:c r="AJ194" s="59"/>
      <x:c r="AK194" s="59"/>
      <x:c r="AL194" s="59"/>
      <x:c r="AM194" s="59"/>
      <x:c r="AN194" s="59"/>
    </x:row>
    <x:row r="195">
      <x:c r="A195" s="59"/>
      <x:c r="B195" s="59"/>
      <x:c r="C195" s="59"/>
      <x:c r="D195" s="59"/>
      <x:c r="E195" s="59"/>
      <x:c r="F195" s="59"/>
      <x:c r="G195" s="59"/>
      <x:c r="H195" s="59"/>
      <x:c r="I195" s="59"/>
      <x:c r="J195" s="59"/>
      <x:c r="K195" s="59"/>
      <x:c r="L195" s="59"/>
      <x:c r="M195" s="59"/>
      <x:c r="N195" s="59"/>
      <x:c r="O195" s="59"/>
      <x:c r="P195" s="59"/>
      <x:c r="Q195" s="59"/>
      <x:c r="R195" s="59"/>
      <x:c r="S195" s="59"/>
      <x:c r="T195" s="59"/>
      <x:c r="U195" s="59"/>
      <x:c r="V195" s="59"/>
      <x:c r="W195" s="59"/>
      <x:c r="X195" s="59"/>
      <x:c r="Y195" s="59"/>
      <x:c r="Z195" s="59"/>
      <x:c r="AA195" s="59"/>
      <x:c r="AB195" s="59"/>
      <x:c r="AC195" s="59"/>
      <x:c r="AD195" s="59"/>
      <x:c r="AE195" s="59"/>
      <x:c r="AF195" s="59"/>
      <x:c r="AG195" s="59"/>
      <x:c r="AH195" s="59"/>
      <x:c r="AI195" s="59"/>
      <x:c r="AJ195" s="59"/>
      <x:c r="AK195" s="59"/>
      <x:c r="AL195" s="59"/>
      <x:c r="AM195" s="59"/>
      <x:c r="AN195" s="59"/>
    </x:row>
    <x:row r="196">
      <x:c r="A196" s="59"/>
      <x:c r="B196" s="59"/>
      <x:c r="C196" s="59"/>
      <x:c r="D196" s="59"/>
      <x:c r="E196" s="59"/>
      <x:c r="F196" s="59"/>
      <x:c r="G196" s="59"/>
      <x:c r="H196" s="59"/>
      <x:c r="I196" s="59"/>
      <x:c r="J196" s="59"/>
      <x:c r="K196" s="59"/>
      <x:c r="L196" s="59"/>
      <x:c r="M196" s="59"/>
      <x:c r="N196" s="59"/>
      <x:c r="O196" s="59"/>
      <x:c r="P196" s="59"/>
      <x:c r="Q196" s="59"/>
      <x:c r="R196" s="59"/>
      <x:c r="S196" s="59"/>
      <x:c r="T196" s="59"/>
      <x:c r="U196" s="59"/>
      <x:c r="V196" s="59"/>
      <x:c r="W196" s="59"/>
      <x:c r="X196" s="59"/>
      <x:c r="Y196" s="59"/>
      <x:c r="Z196" s="59"/>
      <x:c r="AA196" s="59"/>
      <x:c r="AB196" s="59"/>
      <x:c r="AC196" s="59"/>
      <x:c r="AD196" s="59"/>
      <x:c r="AE196" s="59"/>
      <x:c r="AF196" s="59"/>
      <x:c r="AG196" s="59"/>
      <x:c r="AH196" s="59"/>
      <x:c r="AI196" s="59"/>
      <x:c r="AJ196" s="59"/>
      <x:c r="AK196" s="59"/>
      <x:c r="AL196" s="59"/>
      <x:c r="AM196" s="59"/>
      <x:c r="AN196" s="59"/>
    </x:row>
    <x:row r="197">
      <x:c r="A197" s="59"/>
      <x:c r="B197" s="59"/>
      <x:c r="C197" s="59"/>
      <x:c r="D197" s="59"/>
      <x:c r="E197" s="59"/>
      <x:c r="F197" s="59"/>
      <x:c r="G197" s="59"/>
      <x:c r="H197" s="59"/>
      <x:c r="I197" s="59"/>
      <x:c r="J197" s="59"/>
      <x:c r="K197" s="59"/>
      <x:c r="L197" s="59"/>
      <x:c r="M197" s="59"/>
      <x:c r="N197" s="59"/>
      <x:c r="O197" s="59"/>
      <x:c r="P197" s="59"/>
      <x:c r="Q197" s="59"/>
      <x:c r="R197" s="59"/>
      <x:c r="S197" s="59"/>
      <x:c r="T197" s="59"/>
      <x:c r="U197" s="59"/>
      <x:c r="V197" s="59"/>
      <x:c r="W197" s="59"/>
      <x:c r="X197" s="59"/>
      <x:c r="Y197" s="59"/>
      <x:c r="Z197" s="59"/>
      <x:c r="AA197" s="59"/>
      <x:c r="AB197" s="59"/>
      <x:c r="AC197" s="59"/>
      <x:c r="AD197" s="59"/>
      <x:c r="AE197" s="59"/>
      <x:c r="AF197" s="59"/>
      <x:c r="AG197" s="59"/>
      <x:c r="AH197" s="59"/>
      <x:c r="AI197" s="59"/>
      <x:c r="AJ197" s="59"/>
      <x:c r="AK197" s="59"/>
      <x:c r="AL197" s="59"/>
      <x:c r="AM197" s="59"/>
      <x:c r="AN197" s="59"/>
    </x:row>
    <x:row r="198">
      <x:c r="A198" s="59"/>
      <x:c r="B198" s="59"/>
      <x:c r="C198" s="59"/>
      <x:c r="D198" s="59"/>
      <x:c r="E198" s="59"/>
      <x:c r="F198" s="59"/>
      <x:c r="G198" s="59"/>
      <x:c r="H198" s="59"/>
      <x:c r="I198" s="59"/>
      <x:c r="J198" s="59"/>
      <x:c r="K198" s="59"/>
      <x:c r="L198" s="59"/>
      <x:c r="M198" s="59"/>
      <x:c r="N198" s="59"/>
      <x:c r="O198" s="59"/>
      <x:c r="P198" s="59"/>
      <x:c r="Q198" s="59"/>
      <x:c r="R198" s="59"/>
      <x:c r="S198" s="59"/>
      <x:c r="T198" s="59"/>
      <x:c r="U198" s="59"/>
      <x:c r="V198" s="59"/>
      <x:c r="W198" s="59"/>
      <x:c r="X198" s="59"/>
      <x:c r="Y198" s="59"/>
      <x:c r="Z198" s="59"/>
      <x:c r="AA198" s="59"/>
      <x:c r="AB198" s="59"/>
      <x:c r="AC198" s="59"/>
      <x:c r="AD198" s="59"/>
      <x:c r="AE198" s="59"/>
      <x:c r="AF198" s="59"/>
      <x:c r="AG198" s="59"/>
      <x:c r="AH198" s="59"/>
      <x:c r="AI198" s="59"/>
      <x:c r="AJ198" s="59"/>
      <x:c r="AK198" s="59"/>
      <x:c r="AL198" s="59"/>
      <x:c r="AM198" s="59"/>
      <x:c r="AN198" s="59"/>
    </x:row>
    <x:row r="199">
      <x:c r="A199" s="59"/>
      <x:c r="B199" s="59"/>
      <x:c r="C199" s="59"/>
      <x:c r="D199" s="59"/>
      <x:c r="E199" s="59"/>
      <x:c r="F199" s="59"/>
      <x:c r="G199" s="59"/>
      <x:c r="H199" s="59"/>
      <x:c r="I199" s="59"/>
      <x:c r="J199" s="59"/>
      <x:c r="K199" s="59"/>
      <x:c r="L199" s="59"/>
      <x:c r="M199" s="59"/>
      <x:c r="N199" s="59"/>
      <x:c r="O199" s="59"/>
      <x:c r="P199" s="59"/>
      <x:c r="Q199" s="59"/>
      <x:c r="R199" s="59"/>
      <x:c r="S199" s="59"/>
      <x:c r="T199" s="59"/>
      <x:c r="U199" s="59"/>
      <x:c r="V199" s="59"/>
      <x:c r="W199" s="59"/>
      <x:c r="X199" s="59"/>
      <x:c r="Y199" s="59"/>
      <x:c r="Z199" s="59"/>
      <x:c r="AA199" s="59"/>
      <x:c r="AB199" s="59"/>
      <x:c r="AC199" s="59"/>
      <x:c r="AD199" s="59"/>
      <x:c r="AE199" s="59"/>
      <x:c r="AF199" s="59"/>
      <x:c r="AG199" s="59"/>
      <x:c r="AH199" s="59"/>
      <x:c r="AI199" s="59"/>
      <x:c r="AJ199" s="59"/>
      <x:c r="AK199" s="59"/>
      <x:c r="AL199" s="59"/>
      <x:c r="AM199" s="59"/>
      <x:c r="AN199" s="59"/>
    </x:row>
    <x:row r="200">
      <x:c r="A200" s="59"/>
      <x:c r="B200" s="59"/>
      <x:c r="C200" s="59"/>
      <x:c r="D200" s="59"/>
      <x:c r="E200" s="59"/>
      <x:c r="F200" s="59"/>
      <x:c r="G200" s="59"/>
      <x:c r="H200" s="59"/>
      <x:c r="I200" s="59"/>
      <x:c r="J200" s="59"/>
      <x:c r="K200" s="59"/>
      <x:c r="L200" s="59"/>
      <x:c r="M200" s="59"/>
      <x:c r="N200" s="59"/>
      <x:c r="O200" s="59"/>
      <x:c r="P200" s="59"/>
      <x:c r="Q200" s="59"/>
      <x:c r="R200" s="59"/>
      <x:c r="S200" s="59"/>
      <x:c r="T200" s="59"/>
      <x:c r="U200" s="59"/>
      <x:c r="V200" s="59"/>
      <x:c r="W200" s="59"/>
      <x:c r="X200" s="59"/>
      <x:c r="Y200" s="59"/>
      <x:c r="Z200" s="59"/>
      <x:c r="AA200" s="59"/>
      <x:c r="AB200" s="59"/>
      <x:c r="AC200" s="59"/>
      <x:c r="AD200" s="59"/>
      <x:c r="AE200" s="59"/>
      <x:c r="AF200" s="59"/>
      <x:c r="AG200" s="59"/>
      <x:c r="AH200" s="59"/>
      <x:c r="AI200" s="59"/>
      <x:c r="AJ200" s="59"/>
      <x:c r="AK200" s="59"/>
      <x:c r="AL200" s="59"/>
      <x:c r="AM200" s="59"/>
      <x:c r="AN200" s="59"/>
    </x:row>
  </x:sheetData>
  <x:pageMargins left="0.7" right="0.7" top="0.75" bottom="0.75" header="0.3" footer="0.3"/>
  <x:tableParts count="1">
    <x:tablePart xmlns:r="http://schemas.openxmlformats.org/officeDocument/2006/relationships" r:id="R7f1ff62dada145cb"/>
  </x:tableParts>
</x:worksheet>
</file>

<file path=xl/worksheets/sheet10.xml><?xml version="1.0" encoding="utf-8"?>
<x:worksheet xmlns:x="http://schemas.openxmlformats.org/spreadsheetml/2006/main">
  <x:sheetFormatPr defaultRowHeight="15"/>
  <x:cols>
    <x:col min="1" max="1" width="8.479999542236328" hidden="0" customWidth="1"/>
    <x:col min="2" max="2" width="18.709999084472656" hidden="0" customWidth="1"/>
    <x:col min="3" max="3" width="12.109999656677246" hidden="0" customWidth="1"/>
    <x:col min="4" max="4" width="12.649999618530273" hidden="0" customWidth="1"/>
    <x:col min="5" max="5" width="16.420000076293945" hidden="0" customWidth="1"/>
    <x:col min="6" max="6" width="10.630000114440918" hidden="0" customWidth="1"/>
  </x:cols>
  <x:sheetData>
    <x:row r="1">
      <x:c r="A1" s="36" t="str">
        <x:v>Applicable</x:v>
      </x:c>
      <x:c r="B1" s="36" t="str">
        <x:v>Implementation Status</x:v>
      </x:c>
      <x:c r="C1" s="36" t="str">
        <x:v>Maturity Score</x:v>
      </x:c>
      <x:c r="D1" s="36" t="str">
        <x:v>Evidence Status</x:v>
      </x:c>
      <x:c r="E1" s="36" t="str">
        <x:v>Test Result</x:v>
      </x:c>
      <x:c r="F1" s="36" t="str">
        <x:v>Residual Risk</x:v>
      </x:c>
    </x:row>
    <x:row r="2">
      <x:c r="A2" s="21" t="str">
        <x:v>Yes</x:v>
      </x:c>
      <x:c r="B2" s="21" t="str">
        <x:v>Not Assessed</x:v>
      </x:c>
      <x:c r="C2" s="21" t="n">
        <x:v>0</x:v>
      </x:c>
      <x:c r="D2" s="21" t="str">
        <x:v>Not Provided</x:v>
      </x:c>
      <x:c r="E2" s="21" t="str">
        <x:v>Not Tested</x:v>
      </x:c>
      <x:c r="F2" s="21" t="str">
        <x:v>Not Assessed</x:v>
      </x:c>
    </x:row>
    <x:row r="3">
      <x:c r="A3" s="21" t="str">
        <x:v>No</x:v>
      </x:c>
      <x:c r="B3" s="21" t="str">
        <x:v>Not Started</x:v>
      </x:c>
      <x:c r="C3" s="21" t="n">
        <x:v>1</x:v>
      </x:c>
      <x:c r="D3" s="21" t="str">
        <x:v>In Progress</x:v>
      </x:c>
      <x:c r="E3" s="21" t="str">
        <x:v>Pass</x:v>
      </x:c>
      <x:c r="F3" s="21" t="str">
        <x:v>Low</x:v>
      </x:c>
    </x:row>
    <x:row r="4">
      <x:c r="A4" s="21" t="str">
        <x:v>Not Sure</x:v>
      </x:c>
      <x:c r="B4" s="21" t="str">
        <x:v>Planned</x:v>
      </x:c>
      <x:c r="C4" s="21" t="n">
        <x:v>2</x:v>
      </x:c>
      <x:c r="D4" s="21" t="str">
        <x:v>Provided</x:v>
      </x:c>
      <x:c r="E4" s="21" t="str">
        <x:v>Pass with Exceptions</x:v>
      </x:c>
      <x:c r="F4" s="21" t="str">
        <x:v>Medium</x:v>
      </x:c>
    </x:row>
    <x:row r="5">
      <x:c r="A5" s="21"/>
      <x:c r="B5" s="21" t="str">
        <x:v>Partially Implemented</x:v>
      </x:c>
      <x:c r="C5" s="21" t="n">
        <x:v>3</x:v>
      </x:c>
      <x:c r="D5" s="21" t="str">
        <x:v>Reviewed</x:v>
      </x:c>
      <x:c r="E5" s="21" t="str">
        <x:v>Fail</x:v>
      </x:c>
      <x:c r="F5" s="21" t="str">
        <x:v>High</x:v>
      </x:c>
    </x:row>
    <x:row r="6">
      <x:c r="A6" s="21"/>
      <x:c r="B6" s="21" t="str">
        <x:v>Implemented</x:v>
      </x:c>
      <x:c r="C6" s="21" t="n">
        <x:v>4</x:v>
      </x:c>
      <x:c r="D6" s="21" t="str">
        <x:v>Validated</x:v>
      </x:c>
      <x:c r="E6" s="21" t="str">
        <x:v>Not Applicable</x:v>
      </x:c>
      <x:c r="F6" s="21" t="str">
        <x:v>Critical</x:v>
      </x:c>
    </x:row>
    <x:row r="7">
      <x:c r="A7" s="21"/>
      <x:c r="B7" s="21" t="str">
        <x:v>Optimized</x:v>
      </x:c>
      <x:c r="C7" s="21" t="n">
        <x:v>5</x:v>
      </x:c>
      <x:c r="D7" s="21" t="str">
        <x:v>Rejected</x:v>
      </x:c>
      <x:c r="E7" s="21"/>
      <x:c r="F7" s="21"/>
    </x:row>
    <x:row r="8">
      <x:c r="A8" s="21"/>
      <x:c r="B8" s="21" t="str">
        <x:v>Not Applicable</x:v>
      </x:c>
      <x:c r="C8" s="21"/>
      <x:c r="D8" s="21"/>
      <x:c r="E8" s="21"/>
      <x:c r="F8" s="21"/>
    </x:row>
  </x:sheetData>
  <x:pageMargins left="0.7" right="0.7" top="0.75" bottom="0.75" header="0.3" footer="0.3"/>
</x:worksheet>
</file>